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ndalamia\Documents\LUXDEV\Week 1\week1notesassignmentsubmissiondeadline\"/>
    </mc:Choice>
  </mc:AlternateContent>
  <xr:revisionPtr revIDLastSave="0" documentId="13_ncr:2001_{24E345D2-DA55-42C0-8722-955F1DB374F0}" xr6:coauthVersionLast="47" xr6:coauthVersionMax="47" xr10:uidLastSave="{00000000-0000-0000-0000-000000000000}"/>
  <bookViews>
    <workbookView xWindow="-120" yWindow="-120" windowWidth="29040" windowHeight="15720" firstSheet="11" activeTab="17" xr2:uid="{00000000-000D-0000-FFFF-FFFF00000000}"/>
  </bookViews>
  <sheets>
    <sheet name="Brief" sheetId="2" r:id="rId1"/>
    <sheet name="Original Data" sheetId="1" r:id="rId2"/>
    <sheet name="MonthyRevenue by Country" sheetId="9" r:id="rId3"/>
    <sheet name="ABC Analysis by SKU" sheetId="13" r:id="rId4"/>
    <sheet name="RevenueByChannel" sheetId="19" r:id="rId5"/>
    <sheet name="PriceCompliance Pivot" sheetId="30" r:id="rId6"/>
    <sheet name="HighDiscount" sheetId="33" r:id="rId7"/>
    <sheet name="PriceCompliance" sheetId="31" r:id="rId8"/>
    <sheet name="KPI Pivot" sheetId="35" r:id="rId9"/>
    <sheet name="Profit by channel and Region" sheetId="37" r:id="rId10"/>
    <sheet name="Top 10 SKUs" sheetId="38" r:id="rId11"/>
    <sheet name="Discountpivot" sheetId="39" r:id="rId12"/>
    <sheet name="Discount Scatter plot" sheetId="40" r:id="rId13"/>
    <sheet name="Revenue by Month" sheetId="41" r:id="rId14"/>
    <sheet name="ServiceLevelProxy" sheetId="20" r:id="rId15"/>
    <sheet name="Scenario Modeling" sheetId="32" r:id="rId16"/>
    <sheet name="Staging Table" sheetId="3" r:id="rId17"/>
    <sheet name="Dashboard" sheetId="34" r:id="rId18"/>
  </sheets>
  <definedNames>
    <definedName name="_xlnm._FilterDatabase" localSheetId="16" hidden="1">'Staging Table'!$A$1:$X$633</definedName>
    <definedName name="_xlchart.v1.0" hidden="1">'Discount Scatter plot'!$A$2:$A$17</definedName>
    <definedName name="_xlchart.v1.1" hidden="1">'Discount Scatter plot'!$B$1</definedName>
    <definedName name="_xlchart.v1.2" hidden="1">'Discount Scatter plot'!$B$2:$B$17</definedName>
    <definedName name="_xlchart.v1.3" hidden="1">'Discount Scatter plot'!$A$2:$A$17</definedName>
    <definedName name="_xlchart.v1.4" hidden="1">'Discount Scatter plot'!$B$1</definedName>
    <definedName name="_xlchart.v1.5" hidden="1">'Discount Scatter plot'!$B$2:$B$17</definedName>
    <definedName name="_xlchart.v1.6" hidden="1">'Discount Scatter plot'!$A$2:$A$17</definedName>
    <definedName name="_xlchart.v1.7" hidden="1">'Discount Scatter plot'!$B$1</definedName>
    <definedName name="_xlchart.v1.8" hidden="1">'Discount Scatter plot'!$B$2:$B$17</definedName>
    <definedName name="Slicer_Channel">#N/A</definedName>
    <definedName name="Slicer_Country1">#N/A</definedName>
    <definedName name="Slicer_MonthIndex">#N/A</definedName>
    <definedName name="Slicer_Months__StarndardizedDate">#N/A</definedName>
    <definedName name="Slicer_ProductCategory">#N/A</definedName>
    <definedName name="Slicer_Region">#N/A</definedName>
    <definedName name="Slicer_Salesperson1">#N/A</definedName>
  </definedNames>
  <calcPr calcId="191029"/>
  <pivotCaches>
    <pivotCache cacheId="13" r:id="rId19"/>
    <pivotCache cacheId="1" r:id="rId20"/>
    <pivotCache cacheId="2" r:id="rId21"/>
    <pivotCache cacheId="22" r:id="rId22"/>
  </pivotCaches>
  <fileRecoveryPr repairLoad="1"/>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34" i="3" l="1"/>
  <c r="AE634"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2" i="3"/>
  <c r="AB634"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2" i="3"/>
  <c r="X10" i="32"/>
  <c r="X9" i="32"/>
  <c r="N3" i="32" l="1"/>
  <c r="N4" i="32"/>
  <c r="N5" i="32"/>
  <c r="N6" i="32"/>
  <c r="N7" i="32"/>
  <c r="N8" i="32"/>
  <c r="N9" i="32"/>
  <c r="N10" i="32"/>
  <c r="N11" i="32"/>
  <c r="N12" i="32"/>
  <c r="N13" i="32"/>
  <c r="N14" i="32"/>
  <c r="N15" i="32"/>
  <c r="N16" i="32"/>
  <c r="N17" i="32"/>
  <c r="N18" i="32"/>
  <c r="N19" i="32"/>
  <c r="N20" i="32"/>
  <c r="N21" i="32"/>
  <c r="N22" i="32"/>
  <c r="N23" i="32"/>
  <c r="N24" i="32"/>
  <c r="N25" i="32"/>
  <c r="N26" i="32"/>
  <c r="N27" i="32"/>
  <c r="N28" i="32"/>
  <c r="N29" i="32"/>
  <c r="N30" i="32"/>
  <c r="N31" i="32"/>
  <c r="N32" i="32"/>
  <c r="N33" i="32"/>
  <c r="N34" i="32"/>
  <c r="N35" i="32"/>
  <c r="N36" i="32"/>
  <c r="N37" i="32"/>
  <c r="N38" i="32"/>
  <c r="N39" i="32"/>
  <c r="N40" i="32"/>
  <c r="N41" i="32"/>
  <c r="N42" i="32"/>
  <c r="N43" i="32"/>
  <c r="N44" i="32"/>
  <c r="N45" i="32"/>
  <c r="N46" i="32"/>
  <c r="N47" i="32"/>
  <c r="N48" i="32"/>
  <c r="N49" i="32"/>
  <c r="N50" i="32"/>
  <c r="N51" i="32"/>
  <c r="N52" i="32"/>
  <c r="N53" i="32"/>
  <c r="N54" i="32"/>
  <c r="N55" i="32"/>
  <c r="N56" i="32"/>
  <c r="N57" i="32"/>
  <c r="N58" i="32"/>
  <c r="N59" i="32"/>
  <c r="N60" i="32"/>
  <c r="N61" i="32"/>
  <c r="N62" i="32"/>
  <c r="N63" i="32"/>
  <c r="N64" i="32"/>
  <c r="N65" i="32"/>
  <c r="N66" i="32"/>
  <c r="N67" i="32"/>
  <c r="N68" i="32"/>
  <c r="N69" i="32"/>
  <c r="N70" i="32"/>
  <c r="N71" i="32"/>
  <c r="N72" i="32"/>
  <c r="N73" i="32"/>
  <c r="N74" i="32"/>
  <c r="N75" i="32"/>
  <c r="N76" i="32"/>
  <c r="N77" i="32"/>
  <c r="N78" i="32"/>
  <c r="N79" i="32"/>
  <c r="N80" i="32"/>
  <c r="N81" i="32"/>
  <c r="N82" i="32"/>
  <c r="N83" i="32"/>
  <c r="N84" i="32"/>
  <c r="N85" i="32"/>
  <c r="N86" i="32"/>
  <c r="N87" i="32"/>
  <c r="N88" i="32"/>
  <c r="N89" i="32"/>
  <c r="N90" i="32"/>
  <c r="N91" i="32"/>
  <c r="N92" i="32"/>
  <c r="N93" i="32"/>
  <c r="N94" i="32"/>
  <c r="N95" i="32"/>
  <c r="N96" i="32"/>
  <c r="N97" i="32"/>
  <c r="N98" i="32"/>
  <c r="N99" i="32"/>
  <c r="N100" i="32"/>
  <c r="N101" i="32"/>
  <c r="N102" i="32"/>
  <c r="N103" i="32"/>
  <c r="N104" i="32"/>
  <c r="N105" i="32"/>
  <c r="N106" i="32"/>
  <c r="N107" i="32"/>
  <c r="N108" i="32"/>
  <c r="N109" i="32"/>
  <c r="N110" i="32"/>
  <c r="N111" i="32"/>
  <c r="N112" i="32"/>
  <c r="N113" i="32"/>
  <c r="N114" i="32"/>
  <c r="N115" i="32"/>
  <c r="N116" i="32"/>
  <c r="N117" i="32"/>
  <c r="N118" i="32"/>
  <c r="N119" i="32"/>
  <c r="N120" i="32"/>
  <c r="N121" i="32"/>
  <c r="N122" i="32"/>
  <c r="N123" i="32"/>
  <c r="N124" i="32"/>
  <c r="N125" i="32"/>
  <c r="N126" i="32"/>
  <c r="N127" i="32"/>
  <c r="N128" i="32"/>
  <c r="N129" i="32"/>
  <c r="N130" i="32"/>
  <c r="N131" i="32"/>
  <c r="N132" i="32"/>
  <c r="N133" i="32"/>
  <c r="N134" i="32"/>
  <c r="N135" i="32"/>
  <c r="N136" i="32"/>
  <c r="N137" i="32"/>
  <c r="N138" i="32"/>
  <c r="N139" i="32"/>
  <c r="N140" i="32"/>
  <c r="N141" i="32"/>
  <c r="N142" i="32"/>
  <c r="N143" i="32"/>
  <c r="N144" i="32"/>
  <c r="N145" i="32"/>
  <c r="N146" i="32"/>
  <c r="N147" i="32"/>
  <c r="N148" i="32"/>
  <c r="N149" i="32"/>
  <c r="N150" i="32"/>
  <c r="N151" i="32"/>
  <c r="N152" i="32"/>
  <c r="N153" i="32"/>
  <c r="N154" i="32"/>
  <c r="N155" i="32"/>
  <c r="N156" i="32"/>
  <c r="N157" i="32"/>
  <c r="N158" i="32"/>
  <c r="N159" i="32"/>
  <c r="N160" i="32"/>
  <c r="N161" i="32"/>
  <c r="N162" i="32"/>
  <c r="N163" i="32"/>
  <c r="N164" i="32"/>
  <c r="N165" i="32"/>
  <c r="N166" i="32"/>
  <c r="N167" i="32"/>
  <c r="N168" i="32"/>
  <c r="N169" i="32"/>
  <c r="N170" i="32"/>
  <c r="N171" i="32"/>
  <c r="N172" i="32"/>
  <c r="N173" i="32"/>
  <c r="N174" i="32"/>
  <c r="N175" i="32"/>
  <c r="N176" i="32"/>
  <c r="N177" i="32"/>
  <c r="N178" i="32"/>
  <c r="N179" i="32"/>
  <c r="N180" i="32"/>
  <c r="N181" i="32"/>
  <c r="N182" i="32"/>
  <c r="N183" i="32"/>
  <c r="N184" i="32"/>
  <c r="N185" i="32"/>
  <c r="N186" i="32"/>
  <c r="N187" i="32"/>
  <c r="N188" i="32"/>
  <c r="N189" i="32"/>
  <c r="N190" i="32"/>
  <c r="N191" i="32"/>
  <c r="N192" i="32"/>
  <c r="N193" i="32"/>
  <c r="N194" i="32"/>
  <c r="N195" i="32"/>
  <c r="N196" i="32"/>
  <c r="N197" i="32"/>
  <c r="N198" i="32"/>
  <c r="N199" i="32"/>
  <c r="N200" i="32"/>
  <c r="N201" i="32"/>
  <c r="N202" i="32"/>
  <c r="N203" i="32"/>
  <c r="N204" i="32"/>
  <c r="N205" i="32"/>
  <c r="N206" i="32"/>
  <c r="N207" i="32"/>
  <c r="N208" i="32"/>
  <c r="N209" i="32"/>
  <c r="N210" i="32"/>
  <c r="N211" i="32"/>
  <c r="N212" i="32"/>
  <c r="N213" i="32"/>
  <c r="N214" i="32"/>
  <c r="N215" i="32"/>
  <c r="N216" i="32"/>
  <c r="N217" i="32"/>
  <c r="N218" i="32"/>
  <c r="N219" i="32"/>
  <c r="N220" i="32"/>
  <c r="N221" i="32"/>
  <c r="N222" i="32"/>
  <c r="N223" i="32"/>
  <c r="N224" i="32"/>
  <c r="N225" i="32"/>
  <c r="N226" i="32"/>
  <c r="N227" i="32"/>
  <c r="N228" i="32"/>
  <c r="N229" i="32"/>
  <c r="N230" i="32"/>
  <c r="N231" i="32"/>
  <c r="N232" i="32"/>
  <c r="N233" i="32"/>
  <c r="N234" i="32"/>
  <c r="N235" i="32"/>
  <c r="N236" i="32"/>
  <c r="N237" i="32"/>
  <c r="N238" i="32"/>
  <c r="N239" i="32"/>
  <c r="N240" i="32"/>
  <c r="N241" i="32"/>
  <c r="N242" i="32"/>
  <c r="N243" i="32"/>
  <c r="N244" i="32"/>
  <c r="N245" i="32"/>
  <c r="N246" i="32"/>
  <c r="N247" i="32"/>
  <c r="N248" i="32"/>
  <c r="N249" i="32"/>
  <c r="N250" i="32"/>
  <c r="N251" i="32"/>
  <c r="N252" i="32"/>
  <c r="N253" i="32"/>
  <c r="N254" i="32"/>
  <c r="N255" i="32"/>
  <c r="N256" i="32"/>
  <c r="N257" i="32"/>
  <c r="N258" i="32"/>
  <c r="N259" i="32"/>
  <c r="N260" i="32"/>
  <c r="N261" i="32"/>
  <c r="N262" i="32"/>
  <c r="N263" i="32"/>
  <c r="N264" i="32"/>
  <c r="N265" i="32"/>
  <c r="N266" i="32"/>
  <c r="N267" i="32"/>
  <c r="N268" i="32"/>
  <c r="N269" i="32"/>
  <c r="N270" i="32"/>
  <c r="N271" i="32"/>
  <c r="N272" i="32"/>
  <c r="N273" i="32"/>
  <c r="N274" i="32"/>
  <c r="N275" i="32"/>
  <c r="N276" i="32"/>
  <c r="N277" i="32"/>
  <c r="N278" i="32"/>
  <c r="N279" i="32"/>
  <c r="N280" i="32"/>
  <c r="N281" i="32"/>
  <c r="N282" i="32"/>
  <c r="N283" i="32"/>
  <c r="N284" i="32"/>
  <c r="N285" i="32"/>
  <c r="N286" i="32"/>
  <c r="N287" i="32"/>
  <c r="N288" i="32"/>
  <c r="N289" i="32"/>
  <c r="N290" i="32"/>
  <c r="N291" i="32"/>
  <c r="N292" i="32"/>
  <c r="N293" i="32"/>
  <c r="N294" i="32"/>
  <c r="N295" i="32"/>
  <c r="N296" i="32"/>
  <c r="N297" i="32"/>
  <c r="N298" i="32"/>
  <c r="N299" i="32"/>
  <c r="N300" i="32"/>
  <c r="N301" i="32"/>
  <c r="N302" i="32"/>
  <c r="N303" i="32"/>
  <c r="N304" i="32"/>
  <c r="N305" i="32"/>
  <c r="N306" i="32"/>
  <c r="N307" i="32"/>
  <c r="N308" i="32"/>
  <c r="N309" i="32"/>
  <c r="N310" i="32"/>
  <c r="N311" i="32"/>
  <c r="N312" i="32"/>
  <c r="N313" i="32"/>
  <c r="N314" i="32"/>
  <c r="N315" i="32"/>
  <c r="N316" i="32"/>
  <c r="N317" i="32"/>
  <c r="N318" i="32"/>
  <c r="N319" i="32"/>
  <c r="N320" i="32"/>
  <c r="N321" i="32"/>
  <c r="N322" i="32"/>
  <c r="N323" i="32"/>
  <c r="N324" i="32"/>
  <c r="N325" i="32"/>
  <c r="N326" i="32"/>
  <c r="N327" i="32"/>
  <c r="N328" i="32"/>
  <c r="N329" i="32"/>
  <c r="N330" i="32"/>
  <c r="N331" i="32"/>
  <c r="N332" i="32"/>
  <c r="N333" i="32"/>
  <c r="N334" i="32"/>
  <c r="N335" i="32"/>
  <c r="N336" i="32"/>
  <c r="N337" i="32"/>
  <c r="N338" i="32"/>
  <c r="N339" i="32"/>
  <c r="N340" i="32"/>
  <c r="N341" i="32"/>
  <c r="N342" i="32"/>
  <c r="N343" i="32"/>
  <c r="N344" i="32"/>
  <c r="N345" i="32"/>
  <c r="N346" i="32"/>
  <c r="N347" i="32"/>
  <c r="N348" i="32"/>
  <c r="N349" i="32"/>
  <c r="N350" i="32"/>
  <c r="N351" i="32"/>
  <c r="N352" i="32"/>
  <c r="N353" i="32"/>
  <c r="N354" i="32"/>
  <c r="N355" i="32"/>
  <c r="N356" i="32"/>
  <c r="N357" i="32"/>
  <c r="N358" i="32"/>
  <c r="N359" i="32"/>
  <c r="N360" i="32"/>
  <c r="N361" i="32"/>
  <c r="N362" i="32"/>
  <c r="N363" i="32"/>
  <c r="N364" i="32"/>
  <c r="N365" i="32"/>
  <c r="N366" i="32"/>
  <c r="N367" i="32"/>
  <c r="N368" i="32"/>
  <c r="N369" i="32"/>
  <c r="N370" i="32"/>
  <c r="N371" i="32"/>
  <c r="N372" i="32"/>
  <c r="N373" i="32"/>
  <c r="N374" i="32"/>
  <c r="N375" i="32"/>
  <c r="N376" i="32"/>
  <c r="N377" i="32"/>
  <c r="N378" i="32"/>
  <c r="N379" i="32"/>
  <c r="N380" i="32"/>
  <c r="N381" i="32"/>
  <c r="N382" i="32"/>
  <c r="N383" i="32"/>
  <c r="N384" i="32"/>
  <c r="N385" i="32"/>
  <c r="N386" i="32"/>
  <c r="N387" i="32"/>
  <c r="N388" i="32"/>
  <c r="N389" i="32"/>
  <c r="N390" i="32"/>
  <c r="N391" i="32"/>
  <c r="N392" i="32"/>
  <c r="N393" i="32"/>
  <c r="N394" i="32"/>
  <c r="N395" i="32"/>
  <c r="N396" i="32"/>
  <c r="N397" i="32"/>
  <c r="N398" i="32"/>
  <c r="N399" i="32"/>
  <c r="N400" i="32"/>
  <c r="N401" i="32"/>
  <c r="N402" i="32"/>
  <c r="N403" i="32"/>
  <c r="N404" i="32"/>
  <c r="N405" i="32"/>
  <c r="N406" i="32"/>
  <c r="N407" i="32"/>
  <c r="N408" i="32"/>
  <c r="N409" i="32"/>
  <c r="N410" i="32"/>
  <c r="N411" i="32"/>
  <c r="N412" i="32"/>
  <c r="N413" i="32"/>
  <c r="N414" i="32"/>
  <c r="N415" i="32"/>
  <c r="N416" i="32"/>
  <c r="N417" i="32"/>
  <c r="N418" i="32"/>
  <c r="N419" i="32"/>
  <c r="N420" i="32"/>
  <c r="N421" i="32"/>
  <c r="N422" i="32"/>
  <c r="N423" i="32"/>
  <c r="N424" i="32"/>
  <c r="N425" i="32"/>
  <c r="N426" i="32"/>
  <c r="N427" i="32"/>
  <c r="N428" i="32"/>
  <c r="N429" i="32"/>
  <c r="N430" i="32"/>
  <c r="N431" i="32"/>
  <c r="N432" i="32"/>
  <c r="N433" i="32"/>
  <c r="N434" i="32"/>
  <c r="N435" i="32"/>
  <c r="N436" i="32"/>
  <c r="N437" i="32"/>
  <c r="N438" i="32"/>
  <c r="N439" i="32"/>
  <c r="N440" i="32"/>
  <c r="N441" i="32"/>
  <c r="N442" i="32"/>
  <c r="N443" i="32"/>
  <c r="N444" i="32"/>
  <c r="N445" i="32"/>
  <c r="N446" i="32"/>
  <c r="N447" i="32"/>
  <c r="N448" i="32"/>
  <c r="N449" i="32"/>
  <c r="N450" i="32"/>
  <c r="R450" i="32" s="1"/>
  <c r="N451" i="32"/>
  <c r="N452" i="32"/>
  <c r="N453" i="32"/>
  <c r="N454" i="32"/>
  <c r="N455" i="32"/>
  <c r="N456" i="32"/>
  <c r="N457" i="32"/>
  <c r="N458" i="32"/>
  <c r="N459" i="32"/>
  <c r="N460" i="32"/>
  <c r="N461" i="32"/>
  <c r="N462" i="32"/>
  <c r="N463" i="32"/>
  <c r="N464" i="32"/>
  <c r="N465" i="32"/>
  <c r="N466" i="32"/>
  <c r="N467" i="32"/>
  <c r="N468" i="32"/>
  <c r="N469" i="32"/>
  <c r="N470" i="32"/>
  <c r="N471" i="32"/>
  <c r="N472" i="32"/>
  <c r="N473" i="32"/>
  <c r="N474" i="32"/>
  <c r="N475" i="32"/>
  <c r="N476" i="32"/>
  <c r="N477" i="32"/>
  <c r="N478" i="32"/>
  <c r="N479" i="32"/>
  <c r="N480" i="32"/>
  <c r="N481" i="32"/>
  <c r="N482" i="32"/>
  <c r="N483" i="32"/>
  <c r="N484" i="32"/>
  <c r="N485" i="32"/>
  <c r="N486" i="32"/>
  <c r="N487" i="32"/>
  <c r="N488" i="32"/>
  <c r="N489" i="32"/>
  <c r="N490" i="32"/>
  <c r="N491" i="32"/>
  <c r="N492" i="32"/>
  <c r="N493" i="32"/>
  <c r="N494" i="32"/>
  <c r="N495" i="32"/>
  <c r="N496" i="32"/>
  <c r="N497" i="32"/>
  <c r="N498" i="32"/>
  <c r="N499" i="32"/>
  <c r="N500" i="32"/>
  <c r="N501" i="32"/>
  <c r="N502" i="32"/>
  <c r="N503" i="32"/>
  <c r="N504" i="32"/>
  <c r="N505" i="32"/>
  <c r="N506" i="32"/>
  <c r="N507" i="32"/>
  <c r="N508" i="32"/>
  <c r="N509" i="32"/>
  <c r="N510" i="32"/>
  <c r="N511" i="32"/>
  <c r="N512" i="32"/>
  <c r="N513" i="32"/>
  <c r="N514" i="32"/>
  <c r="N515" i="32"/>
  <c r="N516" i="32"/>
  <c r="N517" i="32"/>
  <c r="N518" i="32"/>
  <c r="N519" i="32"/>
  <c r="N520" i="32"/>
  <c r="N521" i="32"/>
  <c r="N522" i="32"/>
  <c r="N523" i="32"/>
  <c r="N524" i="32"/>
  <c r="N525" i="32"/>
  <c r="N526" i="32"/>
  <c r="N527" i="32"/>
  <c r="N528" i="32"/>
  <c r="N529" i="32"/>
  <c r="N530" i="32"/>
  <c r="N531" i="32"/>
  <c r="N532" i="32"/>
  <c r="N533" i="32"/>
  <c r="N534" i="32"/>
  <c r="N535" i="32"/>
  <c r="N536" i="32"/>
  <c r="N537" i="32"/>
  <c r="N538" i="32"/>
  <c r="N539" i="32"/>
  <c r="N540" i="32"/>
  <c r="N541" i="32"/>
  <c r="N542" i="32"/>
  <c r="N543" i="32"/>
  <c r="N544" i="32"/>
  <c r="N545" i="32"/>
  <c r="N546" i="32"/>
  <c r="N547" i="32"/>
  <c r="N548" i="32"/>
  <c r="N549" i="32"/>
  <c r="N550" i="32"/>
  <c r="N551" i="32"/>
  <c r="N552" i="32"/>
  <c r="N553" i="32"/>
  <c r="N554" i="32"/>
  <c r="N555" i="32"/>
  <c r="N556" i="32"/>
  <c r="N557" i="32"/>
  <c r="N558" i="32"/>
  <c r="N559" i="32"/>
  <c r="N560" i="32"/>
  <c r="N561" i="32"/>
  <c r="N562" i="32"/>
  <c r="N563" i="32"/>
  <c r="N564" i="32"/>
  <c r="N565" i="32"/>
  <c r="N566" i="32"/>
  <c r="N567" i="32"/>
  <c r="N568" i="32"/>
  <c r="N569" i="32"/>
  <c r="N570" i="32"/>
  <c r="N571" i="32"/>
  <c r="N572" i="32"/>
  <c r="N573" i="32"/>
  <c r="N574" i="32"/>
  <c r="N575" i="32"/>
  <c r="N576" i="32"/>
  <c r="N577" i="32"/>
  <c r="N578" i="32"/>
  <c r="N579" i="32"/>
  <c r="N580" i="32"/>
  <c r="N581" i="32"/>
  <c r="N582" i="32"/>
  <c r="N583" i="32"/>
  <c r="N584" i="32"/>
  <c r="N585" i="32"/>
  <c r="N586" i="32"/>
  <c r="N587" i="32"/>
  <c r="N588" i="32"/>
  <c r="N589" i="32"/>
  <c r="N590" i="32"/>
  <c r="N591" i="32"/>
  <c r="N592" i="32"/>
  <c r="N593" i="32"/>
  <c r="N594" i="32"/>
  <c r="N595" i="32"/>
  <c r="N596" i="32"/>
  <c r="N597" i="32"/>
  <c r="N598" i="32"/>
  <c r="N599" i="32"/>
  <c r="N600" i="32"/>
  <c r="N601" i="32"/>
  <c r="N602" i="32"/>
  <c r="N603" i="32"/>
  <c r="N604" i="32"/>
  <c r="N605" i="32"/>
  <c r="N606" i="32"/>
  <c r="N607" i="32"/>
  <c r="N608" i="32"/>
  <c r="N609" i="32"/>
  <c r="N610" i="32"/>
  <c r="N611" i="32"/>
  <c r="N612" i="32"/>
  <c r="N613" i="32"/>
  <c r="N614" i="32"/>
  <c r="N615" i="32"/>
  <c r="N616" i="32"/>
  <c r="N617" i="32"/>
  <c r="N618" i="32"/>
  <c r="N619" i="32"/>
  <c r="N620" i="32"/>
  <c r="N621" i="32"/>
  <c r="N622" i="32"/>
  <c r="N623" i="32"/>
  <c r="N624" i="32"/>
  <c r="N625" i="32"/>
  <c r="N626" i="32"/>
  <c r="N627" i="32"/>
  <c r="N628" i="32"/>
  <c r="N629" i="32"/>
  <c r="N630" i="32"/>
  <c r="N631" i="32"/>
  <c r="N632" i="32"/>
  <c r="N633" i="32"/>
  <c r="N2" i="32"/>
  <c r="L3" i="32"/>
  <c r="L4" i="32"/>
  <c r="L5" i="32"/>
  <c r="L6" i="32"/>
  <c r="L7" i="32"/>
  <c r="L8" i="32"/>
  <c r="L9" i="32"/>
  <c r="L10" i="32"/>
  <c r="L11" i="32"/>
  <c r="L12" i="32"/>
  <c r="L13" i="32"/>
  <c r="L14" i="32"/>
  <c r="L15" i="32"/>
  <c r="L16" i="32"/>
  <c r="L17" i="32"/>
  <c r="L18" i="32"/>
  <c r="L19" i="32"/>
  <c r="L20" i="32"/>
  <c r="L21" i="32"/>
  <c r="L22" i="32"/>
  <c r="L23" i="32"/>
  <c r="L24" i="32"/>
  <c r="L25" i="32"/>
  <c r="L26" i="32"/>
  <c r="P26" i="32" s="1"/>
  <c r="L27" i="32"/>
  <c r="L28" i="32"/>
  <c r="L29" i="32"/>
  <c r="L30" i="32"/>
  <c r="L31" i="32"/>
  <c r="L32" i="32"/>
  <c r="L33" i="32"/>
  <c r="P33" i="32" s="1"/>
  <c r="L34" i="32"/>
  <c r="L35" i="32"/>
  <c r="L36" i="32"/>
  <c r="L37" i="32"/>
  <c r="L38" i="32"/>
  <c r="L39" i="32"/>
  <c r="L40" i="32"/>
  <c r="L41" i="32"/>
  <c r="P41" i="32" s="1"/>
  <c r="L42" i="32"/>
  <c r="P42" i="32" s="1"/>
  <c r="L43" i="32"/>
  <c r="L44" i="32"/>
  <c r="L45" i="32"/>
  <c r="L46" i="32"/>
  <c r="L47" i="32"/>
  <c r="L48" i="32"/>
  <c r="L49" i="32"/>
  <c r="L50" i="32"/>
  <c r="L51" i="32"/>
  <c r="L52" i="32"/>
  <c r="L53" i="32"/>
  <c r="L54" i="32"/>
  <c r="L55" i="32"/>
  <c r="L56" i="32"/>
  <c r="L57" i="32"/>
  <c r="L58" i="32"/>
  <c r="L59" i="32"/>
  <c r="L60" i="32"/>
  <c r="L61" i="32"/>
  <c r="L62" i="32"/>
  <c r="L63" i="32"/>
  <c r="L64" i="32"/>
  <c r="L65" i="32"/>
  <c r="L66" i="32"/>
  <c r="P66" i="32" s="1"/>
  <c r="L67" i="32"/>
  <c r="L68" i="32"/>
  <c r="L69" i="32"/>
  <c r="L70" i="32"/>
  <c r="L71" i="32"/>
  <c r="L72" i="32"/>
  <c r="L73" i="32"/>
  <c r="L74" i="32"/>
  <c r="P74" i="32" s="1"/>
  <c r="L75" i="32"/>
  <c r="L76" i="32"/>
  <c r="L77" i="32"/>
  <c r="L78" i="32"/>
  <c r="L79" i="32"/>
  <c r="L80" i="32"/>
  <c r="L81" i="32"/>
  <c r="L82" i="32"/>
  <c r="L83" i="32"/>
  <c r="L84" i="32"/>
  <c r="L85" i="32"/>
  <c r="L86" i="32"/>
  <c r="L87" i="32"/>
  <c r="L88" i="32"/>
  <c r="L89" i="32"/>
  <c r="L90" i="32"/>
  <c r="P90" i="32" s="1"/>
  <c r="L91" i="32"/>
  <c r="L92" i="32"/>
  <c r="L93" i="32"/>
  <c r="L94" i="32"/>
  <c r="L95" i="32"/>
  <c r="L96" i="32"/>
  <c r="L97" i="32"/>
  <c r="L98" i="32"/>
  <c r="P98" i="32" s="1"/>
  <c r="L99" i="32"/>
  <c r="L100" i="32"/>
  <c r="L101" i="32"/>
  <c r="L102" i="32"/>
  <c r="L103" i="32"/>
  <c r="L104" i="32"/>
  <c r="L105" i="32"/>
  <c r="L106" i="32"/>
  <c r="L107" i="32"/>
  <c r="L108" i="32"/>
  <c r="L109" i="32"/>
  <c r="L110" i="32"/>
  <c r="L111" i="32"/>
  <c r="L112" i="32"/>
  <c r="L113" i="32"/>
  <c r="L114" i="32"/>
  <c r="L115" i="32"/>
  <c r="L116" i="32"/>
  <c r="L117" i="32"/>
  <c r="L118" i="32"/>
  <c r="L119" i="32"/>
  <c r="L120" i="32"/>
  <c r="L121" i="32"/>
  <c r="L122" i="32"/>
  <c r="L123" i="32"/>
  <c r="L124" i="32"/>
  <c r="L125" i="32"/>
  <c r="L126" i="32"/>
  <c r="L127" i="32"/>
  <c r="L128" i="32"/>
  <c r="L129" i="32"/>
  <c r="L130" i="32"/>
  <c r="P130" i="32" s="1"/>
  <c r="L131" i="32"/>
  <c r="L132" i="32"/>
  <c r="L133" i="32"/>
  <c r="L134" i="32"/>
  <c r="L135" i="32"/>
  <c r="L136" i="32"/>
  <c r="L137" i="32"/>
  <c r="P137" i="32" s="1"/>
  <c r="L138" i="32"/>
  <c r="L139" i="32"/>
  <c r="L140" i="32"/>
  <c r="L141" i="32"/>
  <c r="L142" i="32"/>
  <c r="L143" i="32"/>
  <c r="L144" i="32"/>
  <c r="L145" i="32"/>
  <c r="P145" i="32" s="1"/>
  <c r="L146" i="32"/>
  <c r="P146" i="32" s="1"/>
  <c r="L147" i="32"/>
  <c r="L148" i="32"/>
  <c r="L149" i="32"/>
  <c r="L150" i="32"/>
  <c r="L151" i="32"/>
  <c r="L152" i="32"/>
  <c r="L153" i="32"/>
  <c r="L154" i="32"/>
  <c r="L155" i="32"/>
  <c r="L156" i="32"/>
  <c r="L157" i="32"/>
  <c r="L158" i="32"/>
  <c r="L159" i="32"/>
  <c r="L160" i="32"/>
  <c r="L161" i="32"/>
  <c r="L162" i="32"/>
  <c r="P162" i="32" s="1"/>
  <c r="L163" i="32"/>
  <c r="L164" i="32"/>
  <c r="L165" i="32"/>
  <c r="L166" i="32"/>
  <c r="L167" i="32"/>
  <c r="L168" i="32"/>
  <c r="L169" i="32"/>
  <c r="P169" i="32" s="1"/>
  <c r="L170" i="32"/>
  <c r="L171" i="32"/>
  <c r="L172" i="32"/>
  <c r="L173" i="32"/>
  <c r="L174" i="32"/>
  <c r="L175" i="32"/>
  <c r="L176" i="32"/>
  <c r="L177" i="32"/>
  <c r="P177" i="32" s="1"/>
  <c r="L178" i="32"/>
  <c r="P178" i="32" s="1"/>
  <c r="L179" i="32"/>
  <c r="L180" i="32"/>
  <c r="L181" i="32"/>
  <c r="L182" i="32"/>
  <c r="L183" i="32"/>
  <c r="L184" i="32"/>
  <c r="L185" i="32"/>
  <c r="L186" i="32"/>
  <c r="L187" i="32"/>
  <c r="L188" i="32"/>
  <c r="L189" i="32"/>
  <c r="L190" i="32"/>
  <c r="L191" i="32"/>
  <c r="L192" i="32"/>
  <c r="L193" i="32"/>
  <c r="L194" i="32"/>
  <c r="P194" i="32" s="1"/>
  <c r="L195" i="32"/>
  <c r="L196" i="32"/>
  <c r="L197" i="32"/>
  <c r="L198" i="32"/>
  <c r="L199" i="32"/>
  <c r="L200" i="32"/>
  <c r="L201" i="32"/>
  <c r="P201" i="32" s="1"/>
  <c r="L202" i="32"/>
  <c r="L203" i="32"/>
  <c r="L204" i="32"/>
  <c r="L205" i="32"/>
  <c r="L206" i="32"/>
  <c r="L207" i="32"/>
  <c r="L208" i="32"/>
  <c r="L209" i="32"/>
  <c r="P209" i="32" s="1"/>
  <c r="L210" i="32"/>
  <c r="P210" i="32" s="1"/>
  <c r="L211" i="32"/>
  <c r="L212" i="32"/>
  <c r="L213" i="32"/>
  <c r="L214" i="32"/>
  <c r="L215" i="32"/>
  <c r="L216" i="32"/>
  <c r="L217" i="32"/>
  <c r="L218" i="32"/>
  <c r="L219" i="32"/>
  <c r="L220" i="32"/>
  <c r="L221" i="32"/>
  <c r="L222" i="32"/>
  <c r="L223" i="32"/>
  <c r="L224" i="32"/>
  <c r="L225" i="32"/>
  <c r="L226" i="32"/>
  <c r="P226" i="32" s="1"/>
  <c r="L227" i="32"/>
  <c r="L228" i="32"/>
  <c r="L229" i="32"/>
  <c r="L230" i="32"/>
  <c r="L231" i="32"/>
  <c r="L232" i="32"/>
  <c r="L233" i="32"/>
  <c r="P233" i="32" s="1"/>
  <c r="L234" i="32"/>
  <c r="L235" i="32"/>
  <c r="L236" i="32"/>
  <c r="L237" i="32"/>
  <c r="L238" i="32"/>
  <c r="L239" i="32"/>
  <c r="L240" i="32"/>
  <c r="L241" i="32"/>
  <c r="P241" i="32" s="1"/>
  <c r="L242" i="32"/>
  <c r="P242" i="32" s="1"/>
  <c r="L243" i="32"/>
  <c r="L244" i="32"/>
  <c r="L245" i="32"/>
  <c r="L246" i="32"/>
  <c r="L247" i="32"/>
  <c r="L248" i="32"/>
  <c r="L249" i="32"/>
  <c r="L250" i="32"/>
  <c r="L251" i="32"/>
  <c r="L252" i="32"/>
  <c r="L253" i="32"/>
  <c r="L254" i="32"/>
  <c r="L255" i="32"/>
  <c r="L256" i="32"/>
  <c r="L257" i="32"/>
  <c r="L258" i="32"/>
  <c r="P258" i="32" s="1"/>
  <c r="L259" i="32"/>
  <c r="L260" i="32"/>
  <c r="L261" i="32"/>
  <c r="L262" i="32"/>
  <c r="L263" i="32"/>
  <c r="L264" i="32"/>
  <c r="L265" i="32"/>
  <c r="P265" i="32" s="1"/>
  <c r="L266" i="32"/>
  <c r="L267" i="32"/>
  <c r="L268" i="32"/>
  <c r="L269" i="32"/>
  <c r="L270" i="32"/>
  <c r="L271" i="32"/>
  <c r="L272" i="32"/>
  <c r="L273" i="32"/>
  <c r="P273" i="32" s="1"/>
  <c r="L274" i="32"/>
  <c r="P274" i="32" s="1"/>
  <c r="L275" i="32"/>
  <c r="L276" i="32"/>
  <c r="L277" i="32"/>
  <c r="L278" i="32"/>
  <c r="L279" i="32"/>
  <c r="L280" i="32"/>
  <c r="L281" i="32"/>
  <c r="L282" i="32"/>
  <c r="L283" i="32"/>
  <c r="L284" i="32"/>
  <c r="L285" i="32"/>
  <c r="L286" i="32"/>
  <c r="L287" i="32"/>
  <c r="L288" i="32"/>
  <c r="L289" i="32"/>
  <c r="L290" i="32"/>
  <c r="P290" i="32" s="1"/>
  <c r="L291" i="32"/>
  <c r="L292" i="32"/>
  <c r="L293" i="32"/>
  <c r="L294" i="32"/>
  <c r="L295" i="32"/>
  <c r="L296" i="32"/>
  <c r="L297" i="32"/>
  <c r="P297" i="32" s="1"/>
  <c r="L298" i="32"/>
  <c r="L299" i="32"/>
  <c r="L300" i="32"/>
  <c r="L301" i="32"/>
  <c r="L302" i="32"/>
  <c r="L303" i="32"/>
  <c r="L304" i="32"/>
  <c r="L305" i="32"/>
  <c r="P305" i="32" s="1"/>
  <c r="L306" i="32"/>
  <c r="P306" i="32" s="1"/>
  <c r="L307" i="32"/>
  <c r="L308" i="32"/>
  <c r="L309" i="32"/>
  <c r="L310" i="32"/>
  <c r="L311" i="32"/>
  <c r="L312" i="32"/>
  <c r="L313" i="32"/>
  <c r="L314" i="32"/>
  <c r="L315" i="32"/>
  <c r="L316" i="32"/>
  <c r="L317" i="32"/>
  <c r="L318" i="32"/>
  <c r="L319" i="32"/>
  <c r="L320" i="32"/>
  <c r="L321" i="32"/>
  <c r="L322" i="32"/>
  <c r="P322" i="32" s="1"/>
  <c r="L323" i="32"/>
  <c r="L324" i="32"/>
  <c r="L325" i="32"/>
  <c r="L326" i="32"/>
  <c r="L327" i="32"/>
  <c r="L328" i="32"/>
  <c r="L329" i="32"/>
  <c r="P329" i="32" s="1"/>
  <c r="L330" i="32"/>
  <c r="L331" i="32"/>
  <c r="L332" i="32"/>
  <c r="L333" i="32"/>
  <c r="L334" i="32"/>
  <c r="L335" i="32"/>
  <c r="L336" i="32"/>
  <c r="L337" i="32"/>
  <c r="P337" i="32" s="1"/>
  <c r="L338" i="32"/>
  <c r="P338" i="32" s="1"/>
  <c r="L339" i="32"/>
  <c r="L340" i="32"/>
  <c r="L341" i="32"/>
  <c r="L342" i="32"/>
  <c r="L343" i="32"/>
  <c r="L344" i="32"/>
  <c r="L345" i="32"/>
  <c r="L346" i="32"/>
  <c r="L347" i="32"/>
  <c r="L348" i="32"/>
  <c r="L349" i="32"/>
  <c r="L350" i="32"/>
  <c r="L351" i="32"/>
  <c r="L352" i="32"/>
  <c r="L353" i="32"/>
  <c r="L354" i="32"/>
  <c r="P354" i="32" s="1"/>
  <c r="L355" i="32"/>
  <c r="L356" i="32"/>
  <c r="L357" i="32"/>
  <c r="L358" i="32"/>
  <c r="L359" i="32"/>
  <c r="L360" i="32"/>
  <c r="L361" i="32"/>
  <c r="P361" i="32" s="1"/>
  <c r="L362" i="32"/>
  <c r="L363" i="32"/>
  <c r="L364" i="32"/>
  <c r="L365" i="32"/>
  <c r="L366" i="32"/>
  <c r="L367" i="32"/>
  <c r="L368" i="32"/>
  <c r="L369" i="32"/>
  <c r="P369" i="32" s="1"/>
  <c r="L370" i="32"/>
  <c r="P370" i="32" s="1"/>
  <c r="L371" i="32"/>
  <c r="L372" i="32"/>
  <c r="L373" i="32"/>
  <c r="L374" i="32"/>
  <c r="L375" i="32"/>
  <c r="L376" i="32"/>
  <c r="L377" i="32"/>
  <c r="L378" i="32"/>
  <c r="L379" i="32"/>
  <c r="L380" i="32"/>
  <c r="L381" i="32"/>
  <c r="L382" i="32"/>
  <c r="L383" i="32"/>
  <c r="L384" i="32"/>
  <c r="L385" i="32"/>
  <c r="L386" i="32"/>
  <c r="P386" i="32" s="1"/>
  <c r="L387" i="32"/>
  <c r="L388" i="32"/>
  <c r="L389" i="32"/>
  <c r="L390" i="32"/>
  <c r="L391" i="32"/>
  <c r="L392" i="32"/>
  <c r="L393" i="32"/>
  <c r="P393" i="32" s="1"/>
  <c r="L394" i="32"/>
  <c r="L395" i="32"/>
  <c r="L396" i="32"/>
  <c r="L397" i="32"/>
  <c r="L398" i="32"/>
  <c r="L399" i="32"/>
  <c r="L400" i="32"/>
  <c r="L401" i="32"/>
  <c r="P401" i="32" s="1"/>
  <c r="L402" i="32"/>
  <c r="P402" i="32" s="1"/>
  <c r="L403" i="32"/>
  <c r="L404" i="32"/>
  <c r="L405" i="32"/>
  <c r="L406" i="32"/>
  <c r="L407" i="32"/>
  <c r="L408" i="32"/>
  <c r="L409" i="32"/>
  <c r="L410" i="32"/>
  <c r="L411" i="32"/>
  <c r="L412" i="32"/>
  <c r="L413" i="32"/>
  <c r="L414" i="32"/>
  <c r="L415" i="32"/>
  <c r="L416" i="32"/>
  <c r="L417" i="32"/>
  <c r="L418" i="32"/>
  <c r="P418" i="32" s="1"/>
  <c r="L419" i="32"/>
  <c r="L420" i="32"/>
  <c r="L421" i="32"/>
  <c r="L422" i="32"/>
  <c r="L423" i="32"/>
  <c r="L424" i="32"/>
  <c r="L425" i="32"/>
  <c r="P425" i="32" s="1"/>
  <c r="L426" i="32"/>
  <c r="L427" i="32"/>
  <c r="L428" i="32"/>
  <c r="L429" i="32"/>
  <c r="L430" i="32"/>
  <c r="L431" i="32"/>
  <c r="L432" i="32"/>
  <c r="L433" i="32"/>
  <c r="P433" i="32" s="1"/>
  <c r="L434" i="32"/>
  <c r="P434" i="32" s="1"/>
  <c r="L435" i="32"/>
  <c r="L436" i="32"/>
  <c r="L437" i="32"/>
  <c r="L438" i="32"/>
  <c r="L439" i="32"/>
  <c r="L440" i="32"/>
  <c r="L441" i="32"/>
  <c r="L442" i="32"/>
  <c r="L443" i="32"/>
  <c r="L444" i="32"/>
  <c r="L445" i="32"/>
  <c r="L446" i="32"/>
  <c r="L447" i="32"/>
  <c r="L448" i="32"/>
  <c r="L449" i="32"/>
  <c r="L450" i="32"/>
  <c r="P450" i="32" s="1"/>
  <c r="L451" i="32"/>
  <c r="L452" i="32"/>
  <c r="L453" i="32"/>
  <c r="L454" i="32"/>
  <c r="L455" i="32"/>
  <c r="L456" i="32"/>
  <c r="L457" i="32"/>
  <c r="P457" i="32" s="1"/>
  <c r="L458" i="32"/>
  <c r="L459" i="32"/>
  <c r="L460" i="32"/>
  <c r="L461" i="32"/>
  <c r="L462" i="32"/>
  <c r="L463" i="32"/>
  <c r="L464" i="32"/>
  <c r="L465" i="32"/>
  <c r="P465" i="32" s="1"/>
  <c r="L466" i="32"/>
  <c r="P466" i="32" s="1"/>
  <c r="L467" i="32"/>
  <c r="L468" i="32"/>
  <c r="L469" i="32"/>
  <c r="L470" i="32"/>
  <c r="L471" i="32"/>
  <c r="L472" i="32"/>
  <c r="L473" i="32"/>
  <c r="L474" i="32"/>
  <c r="L475" i="32"/>
  <c r="L476" i="32"/>
  <c r="L477" i="32"/>
  <c r="L478" i="32"/>
  <c r="L479" i="32"/>
  <c r="L480" i="32"/>
  <c r="L481" i="32"/>
  <c r="L482" i="32"/>
  <c r="P482" i="32" s="1"/>
  <c r="L483" i="32"/>
  <c r="L484" i="32"/>
  <c r="L485" i="32"/>
  <c r="L486" i="32"/>
  <c r="L487" i="32"/>
  <c r="L488" i="32"/>
  <c r="L489" i="32"/>
  <c r="P489" i="32" s="1"/>
  <c r="L490" i="32"/>
  <c r="L491" i="32"/>
  <c r="L492" i="32"/>
  <c r="L493" i="32"/>
  <c r="L494" i="32"/>
  <c r="L495" i="32"/>
  <c r="L496" i="32"/>
  <c r="L497" i="32"/>
  <c r="P497" i="32" s="1"/>
  <c r="L498" i="32"/>
  <c r="P498" i="32" s="1"/>
  <c r="L499" i="32"/>
  <c r="L500" i="32"/>
  <c r="L501" i="32"/>
  <c r="L502" i="32"/>
  <c r="L503" i="32"/>
  <c r="L504" i="32"/>
  <c r="L505" i="32"/>
  <c r="L506" i="32"/>
  <c r="L507" i="32"/>
  <c r="L508" i="32"/>
  <c r="L509" i="32"/>
  <c r="L510" i="32"/>
  <c r="L511" i="32"/>
  <c r="L512" i="32"/>
  <c r="L513" i="32"/>
  <c r="L514" i="32"/>
  <c r="P514" i="32" s="1"/>
  <c r="L515" i="32"/>
  <c r="L516" i="32"/>
  <c r="L517" i="32"/>
  <c r="L518" i="32"/>
  <c r="L519" i="32"/>
  <c r="L520" i="32"/>
  <c r="L521" i="32"/>
  <c r="P521" i="32" s="1"/>
  <c r="L522" i="32"/>
  <c r="L523" i="32"/>
  <c r="L524" i="32"/>
  <c r="L525" i="32"/>
  <c r="L526" i="32"/>
  <c r="L527" i="32"/>
  <c r="L528" i="32"/>
  <c r="L529" i="32"/>
  <c r="P529" i="32" s="1"/>
  <c r="L530" i="32"/>
  <c r="P530" i="32" s="1"/>
  <c r="L531" i="32"/>
  <c r="L532" i="32"/>
  <c r="L533" i="32"/>
  <c r="L534" i="32"/>
  <c r="L535" i="32"/>
  <c r="L536" i="32"/>
  <c r="L537" i="32"/>
  <c r="L538" i="32"/>
  <c r="L539" i="32"/>
  <c r="L540" i="32"/>
  <c r="L541" i="32"/>
  <c r="L542" i="32"/>
  <c r="L543" i="32"/>
  <c r="L544" i="32"/>
  <c r="L545" i="32"/>
  <c r="L546" i="32"/>
  <c r="P546" i="32" s="1"/>
  <c r="L547" i="32"/>
  <c r="L548" i="32"/>
  <c r="L549" i="32"/>
  <c r="L550" i="32"/>
  <c r="L551" i="32"/>
  <c r="L552" i="32"/>
  <c r="L553" i="32"/>
  <c r="P553" i="32" s="1"/>
  <c r="L554" i="32"/>
  <c r="L555" i="32"/>
  <c r="L556" i="32"/>
  <c r="L557" i="32"/>
  <c r="L558" i="32"/>
  <c r="L559" i="32"/>
  <c r="L560" i="32"/>
  <c r="L561" i="32"/>
  <c r="P561" i="32" s="1"/>
  <c r="L562" i="32"/>
  <c r="P562" i="32" s="1"/>
  <c r="L563" i="32"/>
  <c r="L564" i="32"/>
  <c r="L565" i="32"/>
  <c r="L566" i="32"/>
  <c r="L567" i="32"/>
  <c r="L568" i="32"/>
  <c r="L569" i="32"/>
  <c r="L570" i="32"/>
  <c r="L571" i="32"/>
  <c r="L572" i="32"/>
  <c r="L573" i="32"/>
  <c r="L574" i="32"/>
  <c r="L575" i="32"/>
  <c r="L576" i="32"/>
  <c r="L577" i="32"/>
  <c r="L578" i="32"/>
  <c r="P578" i="32" s="1"/>
  <c r="L579" i="32"/>
  <c r="L580" i="32"/>
  <c r="L581" i="32"/>
  <c r="L582" i="32"/>
  <c r="L583" i="32"/>
  <c r="L584" i="32"/>
  <c r="L585" i="32"/>
  <c r="P585" i="32" s="1"/>
  <c r="L586" i="32"/>
  <c r="L587" i="32"/>
  <c r="L588" i="32"/>
  <c r="L589" i="32"/>
  <c r="L590" i="32"/>
  <c r="L591" i="32"/>
  <c r="L592" i="32"/>
  <c r="L593" i="32"/>
  <c r="P593" i="32" s="1"/>
  <c r="L594" i="32"/>
  <c r="P594" i="32" s="1"/>
  <c r="L595" i="32"/>
  <c r="L596" i="32"/>
  <c r="L597" i="32"/>
  <c r="L598" i="32"/>
  <c r="L599" i="32"/>
  <c r="L600" i="32"/>
  <c r="L601" i="32"/>
  <c r="L602" i="32"/>
  <c r="L603" i="32"/>
  <c r="L604" i="32"/>
  <c r="L605" i="32"/>
  <c r="L606" i="32"/>
  <c r="L607" i="32"/>
  <c r="L608" i="32"/>
  <c r="L609" i="32"/>
  <c r="L610" i="32"/>
  <c r="P610" i="32" s="1"/>
  <c r="L611" i="32"/>
  <c r="L612" i="32"/>
  <c r="L613" i="32"/>
  <c r="L614" i="32"/>
  <c r="L615" i="32"/>
  <c r="L616" i="32"/>
  <c r="L617" i="32"/>
  <c r="P617" i="32" s="1"/>
  <c r="L618" i="32"/>
  <c r="L619" i="32"/>
  <c r="L620" i="32"/>
  <c r="L621" i="32"/>
  <c r="L622" i="32"/>
  <c r="L623" i="32"/>
  <c r="L624" i="32"/>
  <c r="L625" i="32"/>
  <c r="P625" i="32" s="1"/>
  <c r="L626" i="32"/>
  <c r="P626" i="32" s="1"/>
  <c r="L627" i="32"/>
  <c r="L628" i="32"/>
  <c r="L629" i="32"/>
  <c r="L630" i="32"/>
  <c r="L631" i="32"/>
  <c r="L632" i="32"/>
  <c r="L633" i="32"/>
  <c r="L2" i="32"/>
  <c r="F3" i="32"/>
  <c r="R3" i="32" s="1"/>
  <c r="F4" i="32"/>
  <c r="R4" i="32" s="1"/>
  <c r="F5" i="32"/>
  <c r="R5" i="32" s="1"/>
  <c r="F6" i="32"/>
  <c r="R6" i="32" s="1"/>
  <c r="F7" i="32"/>
  <c r="R7" i="32" s="1"/>
  <c r="F8" i="32"/>
  <c r="R8" i="32" s="1"/>
  <c r="F9" i="32"/>
  <c r="R9" i="32" s="1"/>
  <c r="F10" i="32"/>
  <c r="R10" i="32" s="1"/>
  <c r="F11" i="32"/>
  <c r="R11" i="32" s="1"/>
  <c r="F12" i="32"/>
  <c r="R12" i="32" s="1"/>
  <c r="F13" i="32"/>
  <c r="R13" i="32" s="1"/>
  <c r="F14" i="32"/>
  <c r="R14" i="32" s="1"/>
  <c r="F15" i="32"/>
  <c r="R15" i="32" s="1"/>
  <c r="F16" i="32"/>
  <c r="R16" i="32" s="1"/>
  <c r="F17" i="32"/>
  <c r="R17" i="32" s="1"/>
  <c r="F18" i="32"/>
  <c r="R18" i="32" s="1"/>
  <c r="F19" i="32"/>
  <c r="R19" i="32" s="1"/>
  <c r="F20" i="32"/>
  <c r="R20" i="32" s="1"/>
  <c r="F21" i="32"/>
  <c r="R21" i="32" s="1"/>
  <c r="F22" i="32"/>
  <c r="R22" i="32" s="1"/>
  <c r="F23" i="32"/>
  <c r="R23" i="32" s="1"/>
  <c r="F24" i="32"/>
  <c r="R24" i="32" s="1"/>
  <c r="F25" i="32"/>
  <c r="R25" i="32" s="1"/>
  <c r="F26" i="32"/>
  <c r="R26" i="32" s="1"/>
  <c r="F27" i="32"/>
  <c r="R27" i="32" s="1"/>
  <c r="F28" i="32"/>
  <c r="R28" i="32" s="1"/>
  <c r="F29" i="32"/>
  <c r="R29" i="32" s="1"/>
  <c r="F30" i="32"/>
  <c r="R30" i="32" s="1"/>
  <c r="F31" i="32"/>
  <c r="R31" i="32" s="1"/>
  <c r="F32" i="32"/>
  <c r="R32" i="32" s="1"/>
  <c r="F33" i="32"/>
  <c r="R33" i="32" s="1"/>
  <c r="F34" i="32"/>
  <c r="R34" i="32" s="1"/>
  <c r="F35" i="32"/>
  <c r="R35" i="32" s="1"/>
  <c r="F36" i="32"/>
  <c r="R36" i="32" s="1"/>
  <c r="F37" i="32"/>
  <c r="R37" i="32" s="1"/>
  <c r="F38" i="32"/>
  <c r="R38" i="32" s="1"/>
  <c r="F39" i="32"/>
  <c r="R39" i="32" s="1"/>
  <c r="F40" i="32"/>
  <c r="R40" i="32" s="1"/>
  <c r="F41" i="32"/>
  <c r="R41" i="32" s="1"/>
  <c r="F42" i="32"/>
  <c r="R42" i="32" s="1"/>
  <c r="F43" i="32"/>
  <c r="R43" i="32" s="1"/>
  <c r="F44" i="32"/>
  <c r="R44" i="32" s="1"/>
  <c r="F45" i="32"/>
  <c r="R45" i="32" s="1"/>
  <c r="F46" i="32"/>
  <c r="R46" i="32" s="1"/>
  <c r="F47" i="32"/>
  <c r="R47" i="32" s="1"/>
  <c r="F48" i="32"/>
  <c r="R48" i="32" s="1"/>
  <c r="F49" i="32"/>
  <c r="R49" i="32" s="1"/>
  <c r="F50" i="32"/>
  <c r="R50" i="32" s="1"/>
  <c r="F51" i="32"/>
  <c r="R51" i="32" s="1"/>
  <c r="F52" i="32"/>
  <c r="R52" i="32" s="1"/>
  <c r="F53" i="32"/>
  <c r="R53" i="32" s="1"/>
  <c r="F54" i="32"/>
  <c r="R54" i="32" s="1"/>
  <c r="F55" i="32"/>
  <c r="R55" i="32" s="1"/>
  <c r="F56" i="32"/>
  <c r="R56" i="32" s="1"/>
  <c r="F57" i="32"/>
  <c r="R57" i="32" s="1"/>
  <c r="F58" i="32"/>
  <c r="R58" i="32" s="1"/>
  <c r="F59" i="32"/>
  <c r="R59" i="32" s="1"/>
  <c r="F60" i="32"/>
  <c r="R60" i="32" s="1"/>
  <c r="F61" i="32"/>
  <c r="R61" i="32" s="1"/>
  <c r="F62" i="32"/>
  <c r="R62" i="32" s="1"/>
  <c r="F63" i="32"/>
  <c r="R63" i="32" s="1"/>
  <c r="F64" i="32"/>
  <c r="R64" i="32" s="1"/>
  <c r="F65" i="32"/>
  <c r="R65" i="32" s="1"/>
  <c r="F66" i="32"/>
  <c r="R66" i="32" s="1"/>
  <c r="F67" i="32"/>
  <c r="R67" i="32" s="1"/>
  <c r="F68" i="32"/>
  <c r="R68" i="32" s="1"/>
  <c r="F69" i="32"/>
  <c r="R69" i="32" s="1"/>
  <c r="F70" i="32"/>
  <c r="R70" i="32" s="1"/>
  <c r="F71" i="32"/>
  <c r="R71" i="32" s="1"/>
  <c r="F72" i="32"/>
  <c r="R72" i="32" s="1"/>
  <c r="F73" i="32"/>
  <c r="R73" i="32" s="1"/>
  <c r="F74" i="32"/>
  <c r="R74" i="32" s="1"/>
  <c r="F75" i="32"/>
  <c r="R75" i="32" s="1"/>
  <c r="F76" i="32"/>
  <c r="R76" i="32" s="1"/>
  <c r="F77" i="32"/>
  <c r="R77" i="32" s="1"/>
  <c r="F78" i="32"/>
  <c r="R78" i="32" s="1"/>
  <c r="F79" i="32"/>
  <c r="R79" i="32" s="1"/>
  <c r="F80" i="32"/>
  <c r="R80" i="32" s="1"/>
  <c r="F81" i="32"/>
  <c r="R81" i="32" s="1"/>
  <c r="F82" i="32"/>
  <c r="R82" i="32" s="1"/>
  <c r="F83" i="32"/>
  <c r="R83" i="32" s="1"/>
  <c r="F84" i="32"/>
  <c r="R84" i="32" s="1"/>
  <c r="F85" i="32"/>
  <c r="R85" i="32" s="1"/>
  <c r="F86" i="32"/>
  <c r="R86" i="32" s="1"/>
  <c r="F87" i="32"/>
  <c r="R87" i="32" s="1"/>
  <c r="F88" i="32"/>
  <c r="R88" i="32" s="1"/>
  <c r="F89" i="32"/>
  <c r="R89" i="32" s="1"/>
  <c r="F90" i="32"/>
  <c r="R90" i="32" s="1"/>
  <c r="F91" i="32"/>
  <c r="R91" i="32" s="1"/>
  <c r="F92" i="32"/>
  <c r="R92" i="32" s="1"/>
  <c r="F93" i="32"/>
  <c r="R93" i="32" s="1"/>
  <c r="F94" i="32"/>
  <c r="R94" i="32" s="1"/>
  <c r="F95" i="32"/>
  <c r="R95" i="32" s="1"/>
  <c r="F96" i="32"/>
  <c r="R96" i="32" s="1"/>
  <c r="F97" i="32"/>
  <c r="R97" i="32" s="1"/>
  <c r="F98" i="32"/>
  <c r="R98" i="32" s="1"/>
  <c r="F99" i="32"/>
  <c r="R99" i="32" s="1"/>
  <c r="F100" i="32"/>
  <c r="R100" i="32" s="1"/>
  <c r="F101" i="32"/>
  <c r="R101" i="32" s="1"/>
  <c r="F102" i="32"/>
  <c r="R102" i="32" s="1"/>
  <c r="F103" i="32"/>
  <c r="R103" i="32" s="1"/>
  <c r="F104" i="32"/>
  <c r="R104" i="32" s="1"/>
  <c r="F105" i="32"/>
  <c r="R105" i="32" s="1"/>
  <c r="F106" i="32"/>
  <c r="R106" i="32" s="1"/>
  <c r="F107" i="32"/>
  <c r="R107" i="32" s="1"/>
  <c r="F108" i="32"/>
  <c r="R108" i="32" s="1"/>
  <c r="F109" i="32"/>
  <c r="R109" i="32" s="1"/>
  <c r="F110" i="32"/>
  <c r="R110" i="32" s="1"/>
  <c r="F111" i="32"/>
  <c r="R111" i="32" s="1"/>
  <c r="F112" i="32"/>
  <c r="R112" i="32" s="1"/>
  <c r="F113" i="32"/>
  <c r="R113" i="32" s="1"/>
  <c r="F114" i="32"/>
  <c r="R114" i="32" s="1"/>
  <c r="F115" i="32"/>
  <c r="R115" i="32" s="1"/>
  <c r="F116" i="32"/>
  <c r="R116" i="32" s="1"/>
  <c r="F117" i="32"/>
  <c r="R117" i="32" s="1"/>
  <c r="F118" i="32"/>
  <c r="R118" i="32" s="1"/>
  <c r="F119" i="32"/>
  <c r="R119" i="32" s="1"/>
  <c r="F120" i="32"/>
  <c r="R120" i="32" s="1"/>
  <c r="F121" i="32"/>
  <c r="R121" i="32" s="1"/>
  <c r="F122" i="32"/>
  <c r="R122" i="32" s="1"/>
  <c r="F123" i="32"/>
  <c r="R123" i="32" s="1"/>
  <c r="F124" i="32"/>
  <c r="R124" i="32" s="1"/>
  <c r="F125" i="32"/>
  <c r="R125" i="32" s="1"/>
  <c r="F126" i="32"/>
  <c r="R126" i="32" s="1"/>
  <c r="F127" i="32"/>
  <c r="R127" i="32" s="1"/>
  <c r="F128" i="32"/>
  <c r="R128" i="32" s="1"/>
  <c r="F129" i="32"/>
  <c r="R129" i="32" s="1"/>
  <c r="F130" i="32"/>
  <c r="R130" i="32" s="1"/>
  <c r="F131" i="32"/>
  <c r="R131" i="32" s="1"/>
  <c r="F132" i="32"/>
  <c r="R132" i="32" s="1"/>
  <c r="F133" i="32"/>
  <c r="R133" i="32" s="1"/>
  <c r="F134" i="32"/>
  <c r="R134" i="32" s="1"/>
  <c r="F135" i="32"/>
  <c r="R135" i="32" s="1"/>
  <c r="F136" i="32"/>
  <c r="R136" i="32" s="1"/>
  <c r="F137" i="32"/>
  <c r="R137" i="32" s="1"/>
  <c r="F138" i="32"/>
  <c r="R138" i="32" s="1"/>
  <c r="F139" i="32"/>
  <c r="R139" i="32" s="1"/>
  <c r="F140" i="32"/>
  <c r="R140" i="32" s="1"/>
  <c r="F141" i="32"/>
  <c r="R141" i="32" s="1"/>
  <c r="F142" i="32"/>
  <c r="R142" i="32" s="1"/>
  <c r="F143" i="32"/>
  <c r="R143" i="32" s="1"/>
  <c r="F144" i="32"/>
  <c r="R144" i="32" s="1"/>
  <c r="F145" i="32"/>
  <c r="R145" i="32" s="1"/>
  <c r="F146" i="32"/>
  <c r="R146" i="32" s="1"/>
  <c r="F147" i="32"/>
  <c r="R147" i="32" s="1"/>
  <c r="F148" i="32"/>
  <c r="R148" i="32" s="1"/>
  <c r="F149" i="32"/>
  <c r="R149" i="32" s="1"/>
  <c r="F150" i="32"/>
  <c r="R150" i="32" s="1"/>
  <c r="F151" i="32"/>
  <c r="R151" i="32" s="1"/>
  <c r="F152" i="32"/>
  <c r="R152" i="32" s="1"/>
  <c r="F153" i="32"/>
  <c r="R153" i="32" s="1"/>
  <c r="F154" i="32"/>
  <c r="R154" i="32" s="1"/>
  <c r="F155" i="32"/>
  <c r="R155" i="32" s="1"/>
  <c r="F156" i="32"/>
  <c r="R156" i="32" s="1"/>
  <c r="F157" i="32"/>
  <c r="R157" i="32" s="1"/>
  <c r="F158" i="32"/>
  <c r="R158" i="32" s="1"/>
  <c r="F159" i="32"/>
  <c r="R159" i="32" s="1"/>
  <c r="F160" i="32"/>
  <c r="R160" i="32" s="1"/>
  <c r="F161" i="32"/>
  <c r="R161" i="32" s="1"/>
  <c r="F162" i="32"/>
  <c r="R162" i="32" s="1"/>
  <c r="F163" i="32"/>
  <c r="R163" i="32" s="1"/>
  <c r="F164" i="32"/>
  <c r="R164" i="32" s="1"/>
  <c r="F165" i="32"/>
  <c r="R165" i="32" s="1"/>
  <c r="F166" i="32"/>
  <c r="R166" i="32" s="1"/>
  <c r="F167" i="32"/>
  <c r="R167" i="32" s="1"/>
  <c r="F168" i="32"/>
  <c r="R168" i="32" s="1"/>
  <c r="F169" i="32"/>
  <c r="R169" i="32" s="1"/>
  <c r="F170" i="32"/>
  <c r="R170" i="32" s="1"/>
  <c r="F171" i="32"/>
  <c r="R171" i="32" s="1"/>
  <c r="F172" i="32"/>
  <c r="R172" i="32" s="1"/>
  <c r="F173" i="32"/>
  <c r="R173" i="32" s="1"/>
  <c r="F174" i="32"/>
  <c r="R174" i="32" s="1"/>
  <c r="F175" i="32"/>
  <c r="R175" i="32" s="1"/>
  <c r="F176" i="32"/>
  <c r="R176" i="32" s="1"/>
  <c r="F177" i="32"/>
  <c r="R177" i="32" s="1"/>
  <c r="F178" i="32"/>
  <c r="R178" i="32" s="1"/>
  <c r="F179" i="32"/>
  <c r="R179" i="32" s="1"/>
  <c r="F180" i="32"/>
  <c r="R180" i="32" s="1"/>
  <c r="F181" i="32"/>
  <c r="R181" i="32" s="1"/>
  <c r="F182" i="32"/>
  <c r="R182" i="32" s="1"/>
  <c r="F183" i="32"/>
  <c r="R183" i="32" s="1"/>
  <c r="F184" i="32"/>
  <c r="R184" i="32" s="1"/>
  <c r="F185" i="32"/>
  <c r="R185" i="32" s="1"/>
  <c r="F186" i="32"/>
  <c r="R186" i="32" s="1"/>
  <c r="F187" i="32"/>
  <c r="R187" i="32" s="1"/>
  <c r="F188" i="32"/>
  <c r="R188" i="32" s="1"/>
  <c r="F189" i="32"/>
  <c r="R189" i="32" s="1"/>
  <c r="F190" i="32"/>
  <c r="R190" i="32" s="1"/>
  <c r="F191" i="32"/>
  <c r="R191" i="32" s="1"/>
  <c r="F192" i="32"/>
  <c r="R192" i="32" s="1"/>
  <c r="F193" i="32"/>
  <c r="R193" i="32" s="1"/>
  <c r="F194" i="32"/>
  <c r="R194" i="32" s="1"/>
  <c r="F195" i="32"/>
  <c r="R195" i="32" s="1"/>
  <c r="F196" i="32"/>
  <c r="R196" i="32" s="1"/>
  <c r="F197" i="32"/>
  <c r="R197" i="32" s="1"/>
  <c r="F198" i="32"/>
  <c r="R198" i="32" s="1"/>
  <c r="F199" i="32"/>
  <c r="R199" i="32" s="1"/>
  <c r="F200" i="32"/>
  <c r="R200" i="32" s="1"/>
  <c r="F201" i="32"/>
  <c r="R201" i="32" s="1"/>
  <c r="F202" i="32"/>
  <c r="R202" i="32" s="1"/>
  <c r="F203" i="32"/>
  <c r="R203" i="32" s="1"/>
  <c r="F204" i="32"/>
  <c r="R204" i="32" s="1"/>
  <c r="F205" i="32"/>
  <c r="R205" i="32" s="1"/>
  <c r="F206" i="32"/>
  <c r="R206" i="32" s="1"/>
  <c r="F207" i="32"/>
  <c r="R207" i="32" s="1"/>
  <c r="F208" i="32"/>
  <c r="R208" i="32" s="1"/>
  <c r="F209" i="32"/>
  <c r="R209" i="32" s="1"/>
  <c r="F210" i="32"/>
  <c r="R210" i="32" s="1"/>
  <c r="F211" i="32"/>
  <c r="R211" i="32" s="1"/>
  <c r="F212" i="32"/>
  <c r="R212" i="32" s="1"/>
  <c r="F213" i="32"/>
  <c r="R213" i="32" s="1"/>
  <c r="F214" i="32"/>
  <c r="R214" i="32" s="1"/>
  <c r="F215" i="32"/>
  <c r="R215" i="32" s="1"/>
  <c r="F216" i="32"/>
  <c r="R216" i="32" s="1"/>
  <c r="F217" i="32"/>
  <c r="R217" i="32" s="1"/>
  <c r="F218" i="32"/>
  <c r="R218" i="32" s="1"/>
  <c r="F219" i="32"/>
  <c r="R219" i="32" s="1"/>
  <c r="F220" i="32"/>
  <c r="R220" i="32" s="1"/>
  <c r="F221" i="32"/>
  <c r="R221" i="32" s="1"/>
  <c r="F222" i="32"/>
  <c r="R222" i="32" s="1"/>
  <c r="F223" i="32"/>
  <c r="R223" i="32" s="1"/>
  <c r="F224" i="32"/>
  <c r="R224" i="32" s="1"/>
  <c r="F225" i="32"/>
  <c r="R225" i="32" s="1"/>
  <c r="F226" i="32"/>
  <c r="R226" i="32" s="1"/>
  <c r="F227" i="32"/>
  <c r="R227" i="32" s="1"/>
  <c r="F228" i="32"/>
  <c r="R228" i="32" s="1"/>
  <c r="F229" i="32"/>
  <c r="R229" i="32" s="1"/>
  <c r="F230" i="32"/>
  <c r="R230" i="32" s="1"/>
  <c r="F231" i="32"/>
  <c r="R231" i="32" s="1"/>
  <c r="F232" i="32"/>
  <c r="R232" i="32" s="1"/>
  <c r="F233" i="32"/>
  <c r="R233" i="32" s="1"/>
  <c r="F234" i="32"/>
  <c r="R234" i="32" s="1"/>
  <c r="F235" i="32"/>
  <c r="R235" i="32" s="1"/>
  <c r="F236" i="32"/>
  <c r="R236" i="32" s="1"/>
  <c r="F237" i="32"/>
  <c r="R237" i="32" s="1"/>
  <c r="F238" i="32"/>
  <c r="R238" i="32" s="1"/>
  <c r="F239" i="32"/>
  <c r="R239" i="32" s="1"/>
  <c r="F240" i="32"/>
  <c r="R240" i="32" s="1"/>
  <c r="F241" i="32"/>
  <c r="R241" i="32" s="1"/>
  <c r="F242" i="32"/>
  <c r="R242" i="32" s="1"/>
  <c r="F243" i="32"/>
  <c r="R243" i="32" s="1"/>
  <c r="F244" i="32"/>
  <c r="R244" i="32" s="1"/>
  <c r="F245" i="32"/>
  <c r="R245" i="32" s="1"/>
  <c r="F246" i="32"/>
  <c r="R246" i="32" s="1"/>
  <c r="F247" i="32"/>
  <c r="R247" i="32" s="1"/>
  <c r="F248" i="32"/>
  <c r="R248" i="32" s="1"/>
  <c r="F249" i="32"/>
  <c r="R249" i="32" s="1"/>
  <c r="F250" i="32"/>
  <c r="R250" i="32" s="1"/>
  <c r="F251" i="32"/>
  <c r="R251" i="32" s="1"/>
  <c r="F252" i="32"/>
  <c r="R252" i="32" s="1"/>
  <c r="F253" i="32"/>
  <c r="R253" i="32" s="1"/>
  <c r="F254" i="32"/>
  <c r="R254" i="32" s="1"/>
  <c r="F255" i="32"/>
  <c r="R255" i="32" s="1"/>
  <c r="F256" i="32"/>
  <c r="R256" i="32" s="1"/>
  <c r="F257" i="32"/>
  <c r="R257" i="32" s="1"/>
  <c r="F258" i="32"/>
  <c r="R258" i="32" s="1"/>
  <c r="F259" i="32"/>
  <c r="R259" i="32" s="1"/>
  <c r="F260" i="32"/>
  <c r="R260" i="32" s="1"/>
  <c r="F261" i="32"/>
  <c r="R261" i="32" s="1"/>
  <c r="F262" i="32"/>
  <c r="R262" i="32" s="1"/>
  <c r="F263" i="32"/>
  <c r="R263" i="32" s="1"/>
  <c r="F264" i="32"/>
  <c r="R264" i="32" s="1"/>
  <c r="F265" i="32"/>
  <c r="R265" i="32" s="1"/>
  <c r="F266" i="32"/>
  <c r="R266" i="32" s="1"/>
  <c r="F267" i="32"/>
  <c r="R267" i="32" s="1"/>
  <c r="F268" i="32"/>
  <c r="R268" i="32" s="1"/>
  <c r="F269" i="32"/>
  <c r="R269" i="32" s="1"/>
  <c r="F270" i="32"/>
  <c r="R270" i="32" s="1"/>
  <c r="F271" i="32"/>
  <c r="R271" i="32" s="1"/>
  <c r="F272" i="32"/>
  <c r="R272" i="32" s="1"/>
  <c r="F273" i="32"/>
  <c r="R273" i="32" s="1"/>
  <c r="F274" i="32"/>
  <c r="R274" i="32" s="1"/>
  <c r="F275" i="32"/>
  <c r="R275" i="32" s="1"/>
  <c r="F276" i="32"/>
  <c r="R276" i="32" s="1"/>
  <c r="F277" i="32"/>
  <c r="R277" i="32" s="1"/>
  <c r="F278" i="32"/>
  <c r="R278" i="32" s="1"/>
  <c r="F279" i="32"/>
  <c r="R279" i="32" s="1"/>
  <c r="F280" i="32"/>
  <c r="R280" i="32" s="1"/>
  <c r="F281" i="32"/>
  <c r="R281" i="32" s="1"/>
  <c r="F282" i="32"/>
  <c r="R282" i="32" s="1"/>
  <c r="F283" i="32"/>
  <c r="R283" i="32" s="1"/>
  <c r="F284" i="32"/>
  <c r="R284" i="32" s="1"/>
  <c r="F285" i="32"/>
  <c r="R285" i="32" s="1"/>
  <c r="F286" i="32"/>
  <c r="R286" i="32" s="1"/>
  <c r="F287" i="32"/>
  <c r="R287" i="32" s="1"/>
  <c r="F288" i="32"/>
  <c r="R288" i="32" s="1"/>
  <c r="F289" i="32"/>
  <c r="R289" i="32" s="1"/>
  <c r="F290" i="32"/>
  <c r="R290" i="32" s="1"/>
  <c r="F291" i="32"/>
  <c r="R291" i="32" s="1"/>
  <c r="F292" i="32"/>
  <c r="R292" i="32" s="1"/>
  <c r="F293" i="32"/>
  <c r="R293" i="32" s="1"/>
  <c r="F294" i="32"/>
  <c r="R294" i="32" s="1"/>
  <c r="F295" i="32"/>
  <c r="R295" i="32" s="1"/>
  <c r="F296" i="32"/>
  <c r="R296" i="32" s="1"/>
  <c r="F297" i="32"/>
  <c r="R297" i="32" s="1"/>
  <c r="F298" i="32"/>
  <c r="R298" i="32" s="1"/>
  <c r="F299" i="32"/>
  <c r="R299" i="32" s="1"/>
  <c r="F300" i="32"/>
  <c r="R300" i="32" s="1"/>
  <c r="F301" i="32"/>
  <c r="R301" i="32" s="1"/>
  <c r="F302" i="32"/>
  <c r="R302" i="32" s="1"/>
  <c r="F303" i="32"/>
  <c r="R303" i="32" s="1"/>
  <c r="F304" i="32"/>
  <c r="R304" i="32" s="1"/>
  <c r="F305" i="32"/>
  <c r="R305" i="32" s="1"/>
  <c r="F306" i="32"/>
  <c r="R306" i="32" s="1"/>
  <c r="F307" i="32"/>
  <c r="R307" i="32" s="1"/>
  <c r="F308" i="32"/>
  <c r="R308" i="32" s="1"/>
  <c r="F309" i="32"/>
  <c r="R309" i="32" s="1"/>
  <c r="F310" i="32"/>
  <c r="R310" i="32" s="1"/>
  <c r="F311" i="32"/>
  <c r="R311" i="32" s="1"/>
  <c r="F312" i="32"/>
  <c r="R312" i="32" s="1"/>
  <c r="F313" i="32"/>
  <c r="R313" i="32" s="1"/>
  <c r="F314" i="32"/>
  <c r="R314" i="32" s="1"/>
  <c r="F315" i="32"/>
  <c r="R315" i="32" s="1"/>
  <c r="F316" i="32"/>
  <c r="R316" i="32" s="1"/>
  <c r="F317" i="32"/>
  <c r="R317" i="32" s="1"/>
  <c r="F318" i="32"/>
  <c r="R318" i="32" s="1"/>
  <c r="F319" i="32"/>
  <c r="R319" i="32" s="1"/>
  <c r="F320" i="32"/>
  <c r="R320" i="32" s="1"/>
  <c r="F321" i="32"/>
  <c r="R321" i="32" s="1"/>
  <c r="F322" i="32"/>
  <c r="R322" i="32" s="1"/>
  <c r="F323" i="32"/>
  <c r="R323" i="32" s="1"/>
  <c r="F324" i="32"/>
  <c r="R324" i="32" s="1"/>
  <c r="F325" i="32"/>
  <c r="R325" i="32" s="1"/>
  <c r="F326" i="32"/>
  <c r="R326" i="32" s="1"/>
  <c r="F327" i="32"/>
  <c r="R327" i="32" s="1"/>
  <c r="F328" i="32"/>
  <c r="R328" i="32" s="1"/>
  <c r="F329" i="32"/>
  <c r="R329" i="32" s="1"/>
  <c r="F330" i="32"/>
  <c r="R330" i="32" s="1"/>
  <c r="F331" i="32"/>
  <c r="R331" i="32" s="1"/>
  <c r="F332" i="32"/>
  <c r="R332" i="32" s="1"/>
  <c r="F333" i="32"/>
  <c r="R333" i="32" s="1"/>
  <c r="F334" i="32"/>
  <c r="R334" i="32" s="1"/>
  <c r="F335" i="32"/>
  <c r="R335" i="32" s="1"/>
  <c r="F336" i="32"/>
  <c r="R336" i="32" s="1"/>
  <c r="F337" i="32"/>
  <c r="R337" i="32" s="1"/>
  <c r="F338" i="32"/>
  <c r="R338" i="32" s="1"/>
  <c r="F339" i="32"/>
  <c r="R339" i="32" s="1"/>
  <c r="F340" i="32"/>
  <c r="R340" i="32" s="1"/>
  <c r="F341" i="32"/>
  <c r="R341" i="32" s="1"/>
  <c r="F342" i="32"/>
  <c r="R342" i="32" s="1"/>
  <c r="F343" i="32"/>
  <c r="R343" i="32" s="1"/>
  <c r="F344" i="32"/>
  <c r="R344" i="32" s="1"/>
  <c r="F345" i="32"/>
  <c r="R345" i="32" s="1"/>
  <c r="F346" i="32"/>
  <c r="R346" i="32" s="1"/>
  <c r="F347" i="32"/>
  <c r="R347" i="32" s="1"/>
  <c r="F348" i="32"/>
  <c r="R348" i="32" s="1"/>
  <c r="F349" i="32"/>
  <c r="R349" i="32" s="1"/>
  <c r="F350" i="32"/>
  <c r="R350" i="32" s="1"/>
  <c r="F351" i="32"/>
  <c r="R351" i="32" s="1"/>
  <c r="F352" i="32"/>
  <c r="R352" i="32" s="1"/>
  <c r="F353" i="32"/>
  <c r="R353" i="32" s="1"/>
  <c r="F354" i="32"/>
  <c r="R354" i="32" s="1"/>
  <c r="F355" i="32"/>
  <c r="R355" i="32" s="1"/>
  <c r="F356" i="32"/>
  <c r="R356" i="32" s="1"/>
  <c r="F357" i="32"/>
  <c r="R357" i="32" s="1"/>
  <c r="F358" i="32"/>
  <c r="R358" i="32" s="1"/>
  <c r="F359" i="32"/>
  <c r="R359" i="32" s="1"/>
  <c r="F360" i="32"/>
  <c r="R360" i="32" s="1"/>
  <c r="F361" i="32"/>
  <c r="R361" i="32" s="1"/>
  <c r="F362" i="32"/>
  <c r="R362" i="32" s="1"/>
  <c r="F363" i="32"/>
  <c r="R363" i="32" s="1"/>
  <c r="F364" i="32"/>
  <c r="R364" i="32" s="1"/>
  <c r="F365" i="32"/>
  <c r="R365" i="32" s="1"/>
  <c r="F366" i="32"/>
  <c r="R366" i="32" s="1"/>
  <c r="F367" i="32"/>
  <c r="R367" i="32" s="1"/>
  <c r="F368" i="32"/>
  <c r="R368" i="32" s="1"/>
  <c r="F369" i="32"/>
  <c r="R369" i="32" s="1"/>
  <c r="F370" i="32"/>
  <c r="R370" i="32" s="1"/>
  <c r="F371" i="32"/>
  <c r="R371" i="32" s="1"/>
  <c r="F372" i="32"/>
  <c r="R372" i="32" s="1"/>
  <c r="F373" i="32"/>
  <c r="R373" i="32" s="1"/>
  <c r="F374" i="32"/>
  <c r="R374" i="32" s="1"/>
  <c r="F375" i="32"/>
  <c r="R375" i="32" s="1"/>
  <c r="F376" i="32"/>
  <c r="R376" i="32" s="1"/>
  <c r="F377" i="32"/>
  <c r="R377" i="32" s="1"/>
  <c r="F378" i="32"/>
  <c r="R378" i="32" s="1"/>
  <c r="F379" i="32"/>
  <c r="R379" i="32" s="1"/>
  <c r="F380" i="32"/>
  <c r="R380" i="32" s="1"/>
  <c r="F381" i="32"/>
  <c r="R381" i="32" s="1"/>
  <c r="F382" i="32"/>
  <c r="R382" i="32" s="1"/>
  <c r="F383" i="32"/>
  <c r="R383" i="32" s="1"/>
  <c r="F384" i="32"/>
  <c r="R384" i="32" s="1"/>
  <c r="F385" i="32"/>
  <c r="R385" i="32" s="1"/>
  <c r="F386" i="32"/>
  <c r="R386" i="32" s="1"/>
  <c r="F387" i="32"/>
  <c r="R387" i="32" s="1"/>
  <c r="F388" i="32"/>
  <c r="R388" i="32" s="1"/>
  <c r="F389" i="32"/>
  <c r="R389" i="32" s="1"/>
  <c r="F390" i="32"/>
  <c r="R390" i="32" s="1"/>
  <c r="F391" i="32"/>
  <c r="R391" i="32" s="1"/>
  <c r="F392" i="32"/>
  <c r="R392" i="32" s="1"/>
  <c r="F393" i="32"/>
  <c r="R393" i="32" s="1"/>
  <c r="F394" i="32"/>
  <c r="R394" i="32" s="1"/>
  <c r="F395" i="32"/>
  <c r="R395" i="32" s="1"/>
  <c r="F396" i="32"/>
  <c r="R396" i="32" s="1"/>
  <c r="F397" i="32"/>
  <c r="R397" i="32" s="1"/>
  <c r="F398" i="32"/>
  <c r="R398" i="32" s="1"/>
  <c r="F399" i="32"/>
  <c r="R399" i="32" s="1"/>
  <c r="F400" i="32"/>
  <c r="R400" i="32" s="1"/>
  <c r="F401" i="32"/>
  <c r="R401" i="32" s="1"/>
  <c r="F402" i="32"/>
  <c r="R402" i="32" s="1"/>
  <c r="F403" i="32"/>
  <c r="R403" i="32" s="1"/>
  <c r="F404" i="32"/>
  <c r="R404" i="32" s="1"/>
  <c r="F405" i="32"/>
  <c r="R405" i="32" s="1"/>
  <c r="F406" i="32"/>
  <c r="R406" i="32" s="1"/>
  <c r="F407" i="32"/>
  <c r="R407" i="32" s="1"/>
  <c r="F408" i="32"/>
  <c r="R408" i="32" s="1"/>
  <c r="F409" i="32"/>
  <c r="R409" i="32" s="1"/>
  <c r="F410" i="32"/>
  <c r="R410" i="32" s="1"/>
  <c r="F411" i="32"/>
  <c r="R411" i="32" s="1"/>
  <c r="F412" i="32"/>
  <c r="R412" i="32" s="1"/>
  <c r="F413" i="32"/>
  <c r="R413" i="32" s="1"/>
  <c r="F414" i="32"/>
  <c r="R414" i="32" s="1"/>
  <c r="F415" i="32"/>
  <c r="R415" i="32" s="1"/>
  <c r="F416" i="32"/>
  <c r="R416" i="32" s="1"/>
  <c r="F417" i="32"/>
  <c r="R417" i="32" s="1"/>
  <c r="F418" i="32"/>
  <c r="R418" i="32" s="1"/>
  <c r="F419" i="32"/>
  <c r="R419" i="32" s="1"/>
  <c r="F420" i="32"/>
  <c r="R420" i="32" s="1"/>
  <c r="F421" i="32"/>
  <c r="R421" i="32" s="1"/>
  <c r="F422" i="32"/>
  <c r="R422" i="32" s="1"/>
  <c r="F423" i="32"/>
  <c r="R423" i="32" s="1"/>
  <c r="F424" i="32"/>
  <c r="R424" i="32" s="1"/>
  <c r="F425" i="32"/>
  <c r="R425" i="32" s="1"/>
  <c r="F426" i="32"/>
  <c r="R426" i="32" s="1"/>
  <c r="F427" i="32"/>
  <c r="R427" i="32" s="1"/>
  <c r="F428" i="32"/>
  <c r="R428" i="32" s="1"/>
  <c r="F429" i="32"/>
  <c r="R429" i="32" s="1"/>
  <c r="F430" i="32"/>
  <c r="R430" i="32" s="1"/>
  <c r="F431" i="32"/>
  <c r="R431" i="32" s="1"/>
  <c r="F432" i="32"/>
  <c r="R432" i="32" s="1"/>
  <c r="F433" i="32"/>
  <c r="R433" i="32" s="1"/>
  <c r="F434" i="32"/>
  <c r="R434" i="32" s="1"/>
  <c r="F435" i="32"/>
  <c r="R435" i="32" s="1"/>
  <c r="F436" i="32"/>
  <c r="R436" i="32" s="1"/>
  <c r="F437" i="32"/>
  <c r="R437" i="32" s="1"/>
  <c r="F438" i="32"/>
  <c r="R438" i="32" s="1"/>
  <c r="F439" i="32"/>
  <c r="R439" i="32" s="1"/>
  <c r="F440" i="32"/>
  <c r="R440" i="32" s="1"/>
  <c r="F441" i="32"/>
  <c r="R441" i="32" s="1"/>
  <c r="F442" i="32"/>
  <c r="R442" i="32" s="1"/>
  <c r="F443" i="32"/>
  <c r="R443" i="32" s="1"/>
  <c r="F444" i="32"/>
  <c r="R444" i="32" s="1"/>
  <c r="F445" i="32"/>
  <c r="R445" i="32" s="1"/>
  <c r="F446" i="32"/>
  <c r="R446" i="32" s="1"/>
  <c r="F447" i="32"/>
  <c r="R447" i="32" s="1"/>
  <c r="F448" i="32"/>
  <c r="R448" i="32" s="1"/>
  <c r="F449" i="32"/>
  <c r="R449" i="32" s="1"/>
  <c r="F450" i="32"/>
  <c r="F451" i="32"/>
  <c r="R451" i="32" s="1"/>
  <c r="F452" i="32"/>
  <c r="R452" i="32" s="1"/>
  <c r="F453" i="32"/>
  <c r="R453" i="32" s="1"/>
  <c r="F454" i="32"/>
  <c r="R454" i="32" s="1"/>
  <c r="F455" i="32"/>
  <c r="R455" i="32" s="1"/>
  <c r="F456" i="32"/>
  <c r="R456" i="32" s="1"/>
  <c r="F457" i="32"/>
  <c r="R457" i="32" s="1"/>
  <c r="F458" i="32"/>
  <c r="R458" i="32" s="1"/>
  <c r="F459" i="32"/>
  <c r="R459" i="32" s="1"/>
  <c r="F460" i="32"/>
  <c r="R460" i="32" s="1"/>
  <c r="F461" i="32"/>
  <c r="R461" i="32" s="1"/>
  <c r="F462" i="32"/>
  <c r="R462" i="32" s="1"/>
  <c r="F463" i="32"/>
  <c r="R463" i="32" s="1"/>
  <c r="F464" i="32"/>
  <c r="R464" i="32" s="1"/>
  <c r="F465" i="32"/>
  <c r="R465" i="32" s="1"/>
  <c r="F466" i="32"/>
  <c r="R466" i="32" s="1"/>
  <c r="F467" i="32"/>
  <c r="R467" i="32" s="1"/>
  <c r="F468" i="32"/>
  <c r="R468" i="32" s="1"/>
  <c r="F469" i="32"/>
  <c r="R469" i="32" s="1"/>
  <c r="F470" i="32"/>
  <c r="R470" i="32" s="1"/>
  <c r="F471" i="32"/>
  <c r="R471" i="32" s="1"/>
  <c r="F472" i="32"/>
  <c r="R472" i="32" s="1"/>
  <c r="F473" i="32"/>
  <c r="R473" i="32" s="1"/>
  <c r="F474" i="32"/>
  <c r="R474" i="32" s="1"/>
  <c r="F475" i="32"/>
  <c r="R475" i="32" s="1"/>
  <c r="F476" i="32"/>
  <c r="R476" i="32" s="1"/>
  <c r="F477" i="32"/>
  <c r="R477" i="32" s="1"/>
  <c r="F478" i="32"/>
  <c r="R478" i="32" s="1"/>
  <c r="F479" i="32"/>
  <c r="R479" i="32" s="1"/>
  <c r="F480" i="32"/>
  <c r="R480" i="32" s="1"/>
  <c r="F481" i="32"/>
  <c r="R481" i="32" s="1"/>
  <c r="F482" i="32"/>
  <c r="R482" i="32" s="1"/>
  <c r="F483" i="32"/>
  <c r="R483" i="32" s="1"/>
  <c r="F484" i="32"/>
  <c r="R484" i="32" s="1"/>
  <c r="F485" i="32"/>
  <c r="R485" i="32" s="1"/>
  <c r="F486" i="32"/>
  <c r="R486" i="32" s="1"/>
  <c r="F487" i="32"/>
  <c r="R487" i="32" s="1"/>
  <c r="F488" i="32"/>
  <c r="R488" i="32" s="1"/>
  <c r="F489" i="32"/>
  <c r="R489" i="32" s="1"/>
  <c r="F490" i="32"/>
  <c r="R490" i="32" s="1"/>
  <c r="F491" i="32"/>
  <c r="R491" i="32" s="1"/>
  <c r="F492" i="32"/>
  <c r="R492" i="32" s="1"/>
  <c r="F493" i="32"/>
  <c r="R493" i="32" s="1"/>
  <c r="F494" i="32"/>
  <c r="R494" i="32" s="1"/>
  <c r="F495" i="32"/>
  <c r="R495" i="32" s="1"/>
  <c r="F496" i="32"/>
  <c r="R496" i="32" s="1"/>
  <c r="F497" i="32"/>
  <c r="R497" i="32" s="1"/>
  <c r="F498" i="32"/>
  <c r="R498" i="32" s="1"/>
  <c r="F499" i="32"/>
  <c r="R499" i="32" s="1"/>
  <c r="F500" i="32"/>
  <c r="R500" i="32" s="1"/>
  <c r="F501" i="32"/>
  <c r="R501" i="32" s="1"/>
  <c r="F502" i="32"/>
  <c r="R502" i="32" s="1"/>
  <c r="F503" i="32"/>
  <c r="R503" i="32" s="1"/>
  <c r="F504" i="32"/>
  <c r="R504" i="32" s="1"/>
  <c r="F505" i="32"/>
  <c r="R505" i="32" s="1"/>
  <c r="F506" i="32"/>
  <c r="R506" i="32" s="1"/>
  <c r="F507" i="32"/>
  <c r="F508" i="32"/>
  <c r="R508" i="32" s="1"/>
  <c r="F509" i="32"/>
  <c r="R509" i="32" s="1"/>
  <c r="F510" i="32"/>
  <c r="R510" i="32" s="1"/>
  <c r="F511" i="32"/>
  <c r="R511" i="32" s="1"/>
  <c r="F512" i="32"/>
  <c r="R512" i="32" s="1"/>
  <c r="F513" i="32"/>
  <c r="R513" i="32" s="1"/>
  <c r="F514" i="32"/>
  <c r="R514" i="32" s="1"/>
  <c r="F515" i="32"/>
  <c r="R515" i="32" s="1"/>
  <c r="F516" i="32"/>
  <c r="R516" i="32" s="1"/>
  <c r="F517" i="32"/>
  <c r="R517" i="32" s="1"/>
  <c r="F518" i="32"/>
  <c r="R518" i="32" s="1"/>
  <c r="F519" i="32"/>
  <c r="R519" i="32" s="1"/>
  <c r="F520" i="32"/>
  <c r="R520" i="32" s="1"/>
  <c r="F521" i="32"/>
  <c r="R521" i="32" s="1"/>
  <c r="F522" i="32"/>
  <c r="R522" i="32" s="1"/>
  <c r="F523" i="32"/>
  <c r="R523" i="32" s="1"/>
  <c r="F524" i="32"/>
  <c r="R524" i="32" s="1"/>
  <c r="F525" i="32"/>
  <c r="R525" i="32" s="1"/>
  <c r="F526" i="32"/>
  <c r="R526" i="32" s="1"/>
  <c r="F527" i="32"/>
  <c r="R527" i="32" s="1"/>
  <c r="F528" i="32"/>
  <c r="R528" i="32" s="1"/>
  <c r="F529" i="32"/>
  <c r="R529" i="32" s="1"/>
  <c r="F530" i="32"/>
  <c r="R530" i="32" s="1"/>
  <c r="F531" i="32"/>
  <c r="R531" i="32" s="1"/>
  <c r="F532" i="32"/>
  <c r="R532" i="32" s="1"/>
  <c r="F533" i="32"/>
  <c r="R533" i="32" s="1"/>
  <c r="F534" i="32"/>
  <c r="R534" i="32" s="1"/>
  <c r="F535" i="32"/>
  <c r="R535" i="32" s="1"/>
  <c r="F536" i="32"/>
  <c r="R536" i="32" s="1"/>
  <c r="F537" i="32"/>
  <c r="R537" i="32" s="1"/>
  <c r="F538" i="32"/>
  <c r="R538" i="32" s="1"/>
  <c r="F539" i="32"/>
  <c r="R539" i="32" s="1"/>
  <c r="F540" i="32"/>
  <c r="R540" i="32" s="1"/>
  <c r="F541" i="32"/>
  <c r="R541" i="32" s="1"/>
  <c r="F542" i="32"/>
  <c r="R542" i="32" s="1"/>
  <c r="F543" i="32"/>
  <c r="R543" i="32" s="1"/>
  <c r="F544" i="32"/>
  <c r="R544" i="32" s="1"/>
  <c r="F545" i="32"/>
  <c r="R545" i="32" s="1"/>
  <c r="F546" i="32"/>
  <c r="R546" i="32" s="1"/>
  <c r="F547" i="32"/>
  <c r="R547" i="32" s="1"/>
  <c r="F548" i="32"/>
  <c r="R548" i="32" s="1"/>
  <c r="F549" i="32"/>
  <c r="R549" i="32" s="1"/>
  <c r="F550" i="32"/>
  <c r="R550" i="32" s="1"/>
  <c r="F551" i="32"/>
  <c r="R551" i="32" s="1"/>
  <c r="F552" i="32"/>
  <c r="R552" i="32" s="1"/>
  <c r="F553" i="32"/>
  <c r="R553" i="32" s="1"/>
  <c r="F554" i="32"/>
  <c r="R554" i="32" s="1"/>
  <c r="F555" i="32"/>
  <c r="R555" i="32" s="1"/>
  <c r="F556" i="32"/>
  <c r="R556" i="32" s="1"/>
  <c r="F557" i="32"/>
  <c r="R557" i="32" s="1"/>
  <c r="F558" i="32"/>
  <c r="R558" i="32" s="1"/>
  <c r="F559" i="32"/>
  <c r="R559" i="32" s="1"/>
  <c r="F560" i="32"/>
  <c r="R560" i="32" s="1"/>
  <c r="F561" i="32"/>
  <c r="R561" i="32" s="1"/>
  <c r="F562" i="32"/>
  <c r="R562" i="32" s="1"/>
  <c r="F563" i="32"/>
  <c r="R563" i="32" s="1"/>
  <c r="F564" i="32"/>
  <c r="R564" i="32" s="1"/>
  <c r="F565" i="32"/>
  <c r="R565" i="32" s="1"/>
  <c r="F566" i="32"/>
  <c r="R566" i="32" s="1"/>
  <c r="F567" i="32"/>
  <c r="R567" i="32" s="1"/>
  <c r="F568" i="32"/>
  <c r="R568" i="32" s="1"/>
  <c r="F569" i="32"/>
  <c r="R569" i="32" s="1"/>
  <c r="F570" i="32"/>
  <c r="R570" i="32" s="1"/>
  <c r="F571" i="32"/>
  <c r="R571" i="32" s="1"/>
  <c r="F572" i="32"/>
  <c r="R572" i="32" s="1"/>
  <c r="F573" i="32"/>
  <c r="R573" i="32" s="1"/>
  <c r="F574" i="32"/>
  <c r="R574" i="32" s="1"/>
  <c r="F575" i="32"/>
  <c r="R575" i="32" s="1"/>
  <c r="F576" i="32"/>
  <c r="R576" i="32" s="1"/>
  <c r="F577" i="32"/>
  <c r="R577" i="32" s="1"/>
  <c r="F578" i="32"/>
  <c r="R578" i="32" s="1"/>
  <c r="F579" i="32"/>
  <c r="R579" i="32" s="1"/>
  <c r="F580" i="32"/>
  <c r="R580" i="32" s="1"/>
  <c r="F581" i="32"/>
  <c r="R581" i="32" s="1"/>
  <c r="F582" i="32"/>
  <c r="R582" i="32" s="1"/>
  <c r="F583" i="32"/>
  <c r="R583" i="32" s="1"/>
  <c r="F584" i="32"/>
  <c r="R584" i="32" s="1"/>
  <c r="F585" i="32"/>
  <c r="R585" i="32" s="1"/>
  <c r="F586" i="32"/>
  <c r="R586" i="32" s="1"/>
  <c r="F587" i="32"/>
  <c r="R587" i="32" s="1"/>
  <c r="F588" i="32"/>
  <c r="R588" i="32" s="1"/>
  <c r="F589" i="32"/>
  <c r="R589" i="32" s="1"/>
  <c r="F590" i="32"/>
  <c r="R590" i="32" s="1"/>
  <c r="F591" i="32"/>
  <c r="R591" i="32" s="1"/>
  <c r="F592" i="32"/>
  <c r="R592" i="32" s="1"/>
  <c r="F593" i="32"/>
  <c r="R593" i="32" s="1"/>
  <c r="F594" i="32"/>
  <c r="R594" i="32" s="1"/>
  <c r="F595" i="32"/>
  <c r="R595" i="32" s="1"/>
  <c r="F596" i="32"/>
  <c r="R596" i="32" s="1"/>
  <c r="F597" i="32"/>
  <c r="R597" i="32" s="1"/>
  <c r="F598" i="32"/>
  <c r="R598" i="32" s="1"/>
  <c r="F599" i="32"/>
  <c r="R599" i="32" s="1"/>
  <c r="F600" i="32"/>
  <c r="R600" i="32" s="1"/>
  <c r="F601" i="32"/>
  <c r="R601" i="32" s="1"/>
  <c r="F602" i="32"/>
  <c r="R602" i="32" s="1"/>
  <c r="F603" i="32"/>
  <c r="R603" i="32" s="1"/>
  <c r="F604" i="32"/>
  <c r="R604" i="32" s="1"/>
  <c r="F605" i="32"/>
  <c r="R605" i="32" s="1"/>
  <c r="F606" i="32"/>
  <c r="R606" i="32" s="1"/>
  <c r="F607" i="32"/>
  <c r="R607" i="32" s="1"/>
  <c r="F608" i="32"/>
  <c r="R608" i="32" s="1"/>
  <c r="F609" i="32"/>
  <c r="R609" i="32" s="1"/>
  <c r="F610" i="32"/>
  <c r="R610" i="32" s="1"/>
  <c r="F611" i="32"/>
  <c r="R611" i="32" s="1"/>
  <c r="F612" i="32"/>
  <c r="R612" i="32" s="1"/>
  <c r="F613" i="32"/>
  <c r="R613" i="32" s="1"/>
  <c r="F614" i="32"/>
  <c r="R614" i="32" s="1"/>
  <c r="F615" i="32"/>
  <c r="R615" i="32" s="1"/>
  <c r="F616" i="32"/>
  <c r="R616" i="32" s="1"/>
  <c r="F617" i="32"/>
  <c r="R617" i="32" s="1"/>
  <c r="F618" i="32"/>
  <c r="R618" i="32" s="1"/>
  <c r="F619" i="32"/>
  <c r="R619" i="32" s="1"/>
  <c r="F620" i="32"/>
  <c r="R620" i="32" s="1"/>
  <c r="F621" i="32"/>
  <c r="R621" i="32" s="1"/>
  <c r="F622" i="32"/>
  <c r="R622" i="32" s="1"/>
  <c r="F623" i="32"/>
  <c r="R623" i="32" s="1"/>
  <c r="F624" i="32"/>
  <c r="R624" i="32" s="1"/>
  <c r="F625" i="32"/>
  <c r="R625" i="32" s="1"/>
  <c r="F626" i="32"/>
  <c r="R626" i="32" s="1"/>
  <c r="F627" i="32"/>
  <c r="R627" i="32" s="1"/>
  <c r="F628" i="32"/>
  <c r="R628" i="32" s="1"/>
  <c r="F629" i="32"/>
  <c r="R629" i="32" s="1"/>
  <c r="F630" i="32"/>
  <c r="R630" i="32" s="1"/>
  <c r="F631" i="32"/>
  <c r="R631" i="32" s="1"/>
  <c r="F632" i="32"/>
  <c r="R632" i="32" s="1"/>
  <c r="F633" i="32"/>
  <c r="R633" i="32" s="1"/>
  <c r="F2" i="32"/>
  <c r="R2" i="32" s="1"/>
  <c r="E5"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4" i="30"/>
  <c r="R507" i="32" l="1"/>
  <c r="T626" i="32"/>
  <c r="T610" i="32"/>
  <c r="T594" i="32"/>
  <c r="T578" i="32"/>
  <c r="T562" i="32"/>
  <c r="T546" i="32"/>
  <c r="T530" i="32"/>
  <c r="T514" i="32"/>
  <c r="T498" i="32"/>
  <c r="T482" i="32"/>
  <c r="T466" i="32"/>
  <c r="T450" i="32"/>
  <c r="T434" i="32"/>
  <c r="T418" i="32"/>
  <c r="T402" i="32"/>
  <c r="T386" i="32"/>
  <c r="T370" i="32"/>
  <c r="T354" i="32"/>
  <c r="T338" i="32"/>
  <c r="T322" i="32"/>
  <c r="T306" i="32"/>
  <c r="T290" i="32"/>
  <c r="T274" i="32"/>
  <c r="T258" i="32"/>
  <c r="T242" i="32"/>
  <c r="T226" i="32"/>
  <c r="T210" i="32"/>
  <c r="T194" i="32"/>
  <c r="T178" i="32"/>
  <c r="T162" i="32"/>
  <c r="T146" i="32"/>
  <c r="T130" i="32"/>
  <c r="T98" i="32"/>
  <c r="T90" i="32"/>
  <c r="T74" i="32"/>
  <c r="T66" i="32"/>
  <c r="T42" i="32"/>
  <c r="T26" i="32"/>
  <c r="T625" i="32"/>
  <c r="T617" i="32"/>
  <c r="T593" i="32"/>
  <c r="T585" i="32"/>
  <c r="T561" i="32"/>
  <c r="T553" i="32"/>
  <c r="T529" i="32"/>
  <c r="T521" i="32"/>
  <c r="T497" i="32"/>
  <c r="T489" i="32"/>
  <c r="T465" i="32"/>
  <c r="T457" i="32"/>
  <c r="T433" i="32"/>
  <c r="T425" i="32"/>
  <c r="T401" i="32"/>
  <c r="T393" i="32"/>
  <c r="T369" i="32"/>
  <c r="T361" i="32"/>
  <c r="T337" i="32"/>
  <c r="T329" i="32"/>
  <c r="T305" i="32"/>
  <c r="T297" i="32"/>
  <c r="T273" i="32"/>
  <c r="T265" i="32"/>
  <c r="T241" i="32"/>
  <c r="T233" i="32"/>
  <c r="T209" i="32"/>
  <c r="T201" i="32"/>
  <c r="T177" i="32"/>
  <c r="T169" i="32"/>
  <c r="T145" i="32"/>
  <c r="T137" i="32"/>
  <c r="T41" i="32"/>
  <c r="T33" i="32"/>
  <c r="P584" i="32"/>
  <c r="T584" i="32" s="1"/>
  <c r="P632" i="32"/>
  <c r="T632" i="32" s="1"/>
  <c r="P592" i="32"/>
  <c r="T592" i="32" s="1"/>
  <c r="P576" i="32"/>
  <c r="T576" i="32" s="1"/>
  <c r="P560" i="32"/>
  <c r="T560" i="32" s="1"/>
  <c r="P544" i="32"/>
  <c r="T544" i="32" s="1"/>
  <c r="P536" i="32"/>
  <c r="T536" i="32" s="1"/>
  <c r="P528" i="32"/>
  <c r="T528" i="32" s="1"/>
  <c r="P520" i="32"/>
  <c r="T520" i="32" s="1"/>
  <c r="P496" i="32"/>
  <c r="T496" i="32" s="1"/>
  <c r="P631" i="32"/>
  <c r="T631" i="32" s="1"/>
  <c r="P623" i="32"/>
  <c r="T623" i="32" s="1"/>
  <c r="P615" i="32"/>
  <c r="T615" i="32" s="1"/>
  <c r="P607" i="32"/>
  <c r="T607" i="32" s="1"/>
  <c r="P599" i="32"/>
  <c r="T599" i="32" s="1"/>
  <c r="P591" i="32"/>
  <c r="T591" i="32" s="1"/>
  <c r="P583" i="32"/>
  <c r="T583" i="32" s="1"/>
  <c r="P575" i="32"/>
  <c r="T575" i="32" s="1"/>
  <c r="P567" i="32"/>
  <c r="T567" i="32" s="1"/>
  <c r="P559" i="32"/>
  <c r="T559" i="32" s="1"/>
  <c r="P551" i="32"/>
  <c r="T551" i="32" s="1"/>
  <c r="P543" i="32"/>
  <c r="T543" i="32" s="1"/>
  <c r="P535" i="32"/>
  <c r="T535" i="32" s="1"/>
  <c r="P527" i="32"/>
  <c r="T527" i="32" s="1"/>
  <c r="P519" i="32"/>
  <c r="T519" i="32" s="1"/>
  <c r="P511" i="32"/>
  <c r="T511" i="32" s="1"/>
  <c r="P503" i="32"/>
  <c r="T503" i="32" s="1"/>
  <c r="P495" i="32"/>
  <c r="T495" i="32" s="1"/>
  <c r="P487" i="32"/>
  <c r="T487" i="32" s="1"/>
  <c r="P479" i="32"/>
  <c r="T479" i="32" s="1"/>
  <c r="P512" i="32"/>
  <c r="T512" i="32" s="1"/>
  <c r="P630" i="32"/>
  <c r="T630" i="32" s="1"/>
  <c r="P622" i="32"/>
  <c r="T622" i="32" s="1"/>
  <c r="P614" i="32"/>
  <c r="T614" i="32" s="1"/>
  <c r="P606" i="32"/>
  <c r="T606" i="32" s="1"/>
  <c r="P598" i="32"/>
  <c r="T598" i="32" s="1"/>
  <c r="P590" i="32"/>
  <c r="T590" i="32" s="1"/>
  <c r="P582" i="32"/>
  <c r="T582" i="32" s="1"/>
  <c r="P574" i="32"/>
  <c r="T574" i="32" s="1"/>
  <c r="P566" i="32"/>
  <c r="T566" i="32" s="1"/>
  <c r="P558" i="32"/>
  <c r="T558" i="32" s="1"/>
  <c r="P550" i="32"/>
  <c r="T550" i="32" s="1"/>
  <c r="P542" i="32"/>
  <c r="T542" i="32" s="1"/>
  <c r="P534" i="32"/>
  <c r="T534" i="32" s="1"/>
  <c r="P526" i="32"/>
  <c r="T526" i="32" s="1"/>
  <c r="P518" i="32"/>
  <c r="T518" i="32" s="1"/>
  <c r="P510" i="32"/>
  <c r="T510" i="32" s="1"/>
  <c r="P502" i="32"/>
  <c r="T502" i="32" s="1"/>
  <c r="P494" i="32"/>
  <c r="T494" i="32" s="1"/>
  <c r="P486" i="32"/>
  <c r="T486" i="32" s="1"/>
  <c r="P478" i="32"/>
  <c r="T478" i="32" s="1"/>
  <c r="P470" i="32"/>
  <c r="T470" i="32" s="1"/>
  <c r="P462" i="32"/>
  <c r="T462" i="32" s="1"/>
  <c r="P454" i="32"/>
  <c r="T454" i="32" s="1"/>
  <c r="P446" i="32"/>
  <c r="T446" i="32" s="1"/>
  <c r="P438" i="32"/>
  <c r="T438" i="32" s="1"/>
  <c r="P430" i="32"/>
  <c r="T430" i="32" s="1"/>
  <c r="P422" i="32"/>
  <c r="T422" i="32" s="1"/>
  <c r="P414" i="32"/>
  <c r="T414" i="32" s="1"/>
  <c r="P406" i="32"/>
  <c r="T406" i="32" s="1"/>
  <c r="P398" i="32"/>
  <c r="T398" i="32" s="1"/>
  <c r="P390" i="32"/>
  <c r="T390" i="32" s="1"/>
  <c r="P382" i="32"/>
  <c r="T382" i="32" s="1"/>
  <c r="P374" i="32"/>
  <c r="T374" i="32" s="1"/>
  <c r="P366" i="32"/>
  <c r="T366" i="32" s="1"/>
  <c r="P358" i="32"/>
  <c r="T358" i="32" s="1"/>
  <c r="P350" i="32"/>
  <c r="T350" i="32" s="1"/>
  <c r="P342" i="32"/>
  <c r="T342" i="32" s="1"/>
  <c r="P334" i="32"/>
  <c r="T334" i="32" s="1"/>
  <c r="P326" i="32"/>
  <c r="T326" i="32" s="1"/>
  <c r="P318" i="32"/>
  <c r="T318" i="32" s="1"/>
  <c r="P310" i="32"/>
  <c r="T310" i="32" s="1"/>
  <c r="P302" i="32"/>
  <c r="T302" i="32" s="1"/>
  <c r="P294" i="32"/>
  <c r="T294" i="32" s="1"/>
  <c r="P286" i="32"/>
  <c r="T286" i="32" s="1"/>
  <c r="P278" i="32"/>
  <c r="T278" i="32" s="1"/>
  <c r="P270" i="32"/>
  <c r="T270" i="32" s="1"/>
  <c r="P262" i="32"/>
  <c r="T262" i="32" s="1"/>
  <c r="P254" i="32"/>
  <c r="T254" i="32" s="1"/>
  <c r="P246" i="32"/>
  <c r="T246" i="32" s="1"/>
  <c r="P238" i="32"/>
  <c r="T238" i="32" s="1"/>
  <c r="P230" i="32"/>
  <c r="T230" i="32" s="1"/>
  <c r="P222" i="32"/>
  <c r="T222" i="32" s="1"/>
  <c r="P214" i="32"/>
  <c r="T214" i="32" s="1"/>
  <c r="P206" i="32"/>
  <c r="T206" i="32" s="1"/>
  <c r="P198" i="32"/>
  <c r="T198" i="32" s="1"/>
  <c r="P190" i="32"/>
  <c r="T190" i="32" s="1"/>
  <c r="P182" i="32"/>
  <c r="T182" i="32" s="1"/>
  <c r="P174" i="32"/>
  <c r="T174" i="32" s="1"/>
  <c r="P166" i="32"/>
  <c r="T166" i="32" s="1"/>
  <c r="P158" i="32"/>
  <c r="T158" i="32" s="1"/>
  <c r="P150" i="32"/>
  <c r="T150" i="32" s="1"/>
  <c r="P142" i="32"/>
  <c r="T142" i="32" s="1"/>
  <c r="P134" i="32"/>
  <c r="T134" i="32" s="1"/>
  <c r="P126" i="32"/>
  <c r="T126" i="32" s="1"/>
  <c r="P118" i="32"/>
  <c r="T118" i="32" s="1"/>
  <c r="P110" i="32"/>
  <c r="T110" i="32" s="1"/>
  <c r="P102" i="32"/>
  <c r="T102" i="32" s="1"/>
  <c r="P94" i="32"/>
  <c r="T94" i="32" s="1"/>
  <c r="P86" i="32"/>
  <c r="T86" i="32" s="1"/>
  <c r="P78" i="32"/>
  <c r="T78" i="32" s="1"/>
  <c r="P70" i="32"/>
  <c r="T70" i="32" s="1"/>
  <c r="P62" i="32"/>
  <c r="T62" i="32" s="1"/>
  <c r="P54" i="32"/>
  <c r="T54" i="32" s="1"/>
  <c r="P46" i="32"/>
  <c r="T46" i="32" s="1"/>
  <c r="P38" i="32"/>
  <c r="T38" i="32" s="1"/>
  <c r="P30" i="32"/>
  <c r="T30" i="32" s="1"/>
  <c r="P22" i="32"/>
  <c r="T22" i="32" s="1"/>
  <c r="P14" i="32"/>
  <c r="T14" i="32" s="1"/>
  <c r="P6" i="32"/>
  <c r="T6" i="32" s="1"/>
  <c r="P600" i="32"/>
  <c r="T600" i="32" s="1"/>
  <c r="P552" i="32"/>
  <c r="T552" i="32" s="1"/>
  <c r="P629" i="32"/>
  <c r="T629" i="32" s="1"/>
  <c r="P621" i="32"/>
  <c r="T621" i="32" s="1"/>
  <c r="P613" i="32"/>
  <c r="T613" i="32" s="1"/>
  <c r="P605" i="32"/>
  <c r="T605" i="32" s="1"/>
  <c r="P597" i="32"/>
  <c r="T597" i="32" s="1"/>
  <c r="P589" i="32"/>
  <c r="T589" i="32" s="1"/>
  <c r="P581" i="32"/>
  <c r="T581" i="32" s="1"/>
  <c r="P573" i="32"/>
  <c r="T573" i="32" s="1"/>
  <c r="P565" i="32"/>
  <c r="T565" i="32" s="1"/>
  <c r="P557" i="32"/>
  <c r="T557" i="32" s="1"/>
  <c r="P549" i="32"/>
  <c r="T549" i="32" s="1"/>
  <c r="P608" i="32"/>
  <c r="T608" i="32" s="1"/>
  <c r="P568" i="32"/>
  <c r="T568" i="32" s="1"/>
  <c r="P488" i="32"/>
  <c r="T488" i="32" s="1"/>
  <c r="P628" i="32"/>
  <c r="T628" i="32" s="1"/>
  <c r="P620" i="32"/>
  <c r="T620" i="32" s="1"/>
  <c r="P612" i="32"/>
  <c r="T612" i="32" s="1"/>
  <c r="P604" i="32"/>
  <c r="T604" i="32" s="1"/>
  <c r="P596" i="32"/>
  <c r="T596" i="32" s="1"/>
  <c r="P588" i="32"/>
  <c r="T588" i="32" s="1"/>
  <c r="P580" i="32"/>
  <c r="T580" i="32" s="1"/>
  <c r="P572" i="32"/>
  <c r="T572" i="32" s="1"/>
  <c r="P564" i="32"/>
  <c r="T564" i="32" s="1"/>
  <c r="P556" i="32"/>
  <c r="T556" i="32" s="1"/>
  <c r="P548" i="32"/>
  <c r="T548" i="32" s="1"/>
  <c r="P540" i="32"/>
  <c r="T540" i="32" s="1"/>
  <c r="P532" i="32"/>
  <c r="T532" i="32" s="1"/>
  <c r="P524" i="32"/>
  <c r="T524" i="32" s="1"/>
  <c r="P516" i="32"/>
  <c r="T516" i="32" s="1"/>
  <c r="P508" i="32"/>
  <c r="T508" i="32" s="1"/>
  <c r="P500" i="32"/>
  <c r="T500" i="32" s="1"/>
  <c r="P492" i="32"/>
  <c r="T492" i="32" s="1"/>
  <c r="P484" i="32"/>
  <c r="T484" i="32" s="1"/>
  <c r="P476" i="32"/>
  <c r="T476" i="32" s="1"/>
  <c r="P468" i="32"/>
  <c r="T468" i="32" s="1"/>
  <c r="P460" i="32"/>
  <c r="T460" i="32" s="1"/>
  <c r="P452" i="32"/>
  <c r="T452" i="32" s="1"/>
  <c r="P444" i="32"/>
  <c r="T444" i="32" s="1"/>
  <c r="P436" i="32"/>
  <c r="T436" i="32" s="1"/>
  <c r="P428" i="32"/>
  <c r="T428" i="32" s="1"/>
  <c r="P420" i="32"/>
  <c r="T420" i="32" s="1"/>
  <c r="P412" i="32"/>
  <c r="T412" i="32" s="1"/>
  <c r="P404" i="32"/>
  <c r="T404" i="32" s="1"/>
  <c r="P396" i="32"/>
  <c r="T396" i="32" s="1"/>
  <c r="P388" i="32"/>
  <c r="T388" i="32" s="1"/>
  <c r="P380" i="32"/>
  <c r="T380" i="32" s="1"/>
  <c r="P372" i="32"/>
  <c r="T372" i="32" s="1"/>
  <c r="P364" i="32"/>
  <c r="T364" i="32" s="1"/>
  <c r="P356" i="32"/>
  <c r="T356" i="32" s="1"/>
  <c r="P348" i="32"/>
  <c r="T348" i="32" s="1"/>
  <c r="P340" i="32"/>
  <c r="T340" i="32" s="1"/>
  <c r="P332" i="32"/>
  <c r="T332" i="32" s="1"/>
  <c r="P324" i="32"/>
  <c r="T324" i="32" s="1"/>
  <c r="P316" i="32"/>
  <c r="T316" i="32" s="1"/>
  <c r="P308" i="32"/>
  <c r="T308" i="32" s="1"/>
  <c r="P300" i="32"/>
  <c r="T300" i="32" s="1"/>
  <c r="P292" i="32"/>
  <c r="T292" i="32" s="1"/>
  <c r="P284" i="32"/>
  <c r="T284" i="32" s="1"/>
  <c r="P276" i="32"/>
  <c r="T276" i="32" s="1"/>
  <c r="P268" i="32"/>
  <c r="T268" i="32" s="1"/>
  <c r="P260" i="32"/>
  <c r="T260" i="32" s="1"/>
  <c r="P252" i="32"/>
  <c r="T252" i="32" s="1"/>
  <c r="P244" i="32"/>
  <c r="T244" i="32" s="1"/>
  <c r="P616" i="32"/>
  <c r="T616" i="32" s="1"/>
  <c r="P480" i="32"/>
  <c r="T480" i="32" s="1"/>
  <c r="P627" i="32"/>
  <c r="T627" i="32" s="1"/>
  <c r="P619" i="32"/>
  <c r="T619" i="32" s="1"/>
  <c r="P611" i="32"/>
  <c r="T611" i="32" s="1"/>
  <c r="P603" i="32"/>
  <c r="T603" i="32" s="1"/>
  <c r="P595" i="32"/>
  <c r="T595" i="32" s="1"/>
  <c r="P587" i="32"/>
  <c r="T587" i="32" s="1"/>
  <c r="P579" i="32"/>
  <c r="T579" i="32" s="1"/>
  <c r="P571" i="32"/>
  <c r="T571" i="32" s="1"/>
  <c r="P563" i="32"/>
  <c r="T563" i="32" s="1"/>
  <c r="P624" i="32"/>
  <c r="T624" i="32" s="1"/>
  <c r="P504" i="32"/>
  <c r="T504" i="32" s="1"/>
  <c r="P541" i="32"/>
  <c r="T541" i="32" s="1"/>
  <c r="P533" i="32"/>
  <c r="T533" i="32" s="1"/>
  <c r="P525" i="32"/>
  <c r="T525" i="32" s="1"/>
  <c r="P517" i="32"/>
  <c r="T517" i="32" s="1"/>
  <c r="P509" i="32"/>
  <c r="T509" i="32" s="1"/>
  <c r="P501" i="32"/>
  <c r="T501" i="32" s="1"/>
  <c r="P493" i="32"/>
  <c r="T493" i="32" s="1"/>
  <c r="P485" i="32"/>
  <c r="T485" i="32" s="1"/>
  <c r="P477" i="32"/>
  <c r="T477" i="32" s="1"/>
  <c r="P469" i="32"/>
  <c r="T469" i="32" s="1"/>
  <c r="P461" i="32"/>
  <c r="T461" i="32" s="1"/>
  <c r="P453" i="32"/>
  <c r="T453" i="32" s="1"/>
  <c r="P445" i="32"/>
  <c r="T445" i="32" s="1"/>
  <c r="P437" i="32"/>
  <c r="T437" i="32" s="1"/>
  <c r="P429" i="32"/>
  <c r="T429" i="32" s="1"/>
  <c r="P421" i="32"/>
  <c r="T421" i="32" s="1"/>
  <c r="P413" i="32"/>
  <c r="T413" i="32" s="1"/>
  <c r="P405" i="32"/>
  <c r="T405" i="32" s="1"/>
  <c r="P397" i="32"/>
  <c r="T397" i="32" s="1"/>
  <c r="P389" i="32"/>
  <c r="T389" i="32" s="1"/>
  <c r="P381" i="32"/>
  <c r="T381" i="32" s="1"/>
  <c r="P373" i="32"/>
  <c r="T373" i="32" s="1"/>
  <c r="P365" i="32"/>
  <c r="T365" i="32" s="1"/>
  <c r="P357" i="32"/>
  <c r="T357" i="32" s="1"/>
  <c r="P349" i="32"/>
  <c r="T349" i="32" s="1"/>
  <c r="P341" i="32"/>
  <c r="T341" i="32" s="1"/>
  <c r="P333" i="32"/>
  <c r="T333" i="32" s="1"/>
  <c r="P325" i="32"/>
  <c r="T325" i="32" s="1"/>
  <c r="P317" i="32"/>
  <c r="T317" i="32" s="1"/>
  <c r="P309" i="32"/>
  <c r="T309" i="32" s="1"/>
  <c r="P301" i="32"/>
  <c r="T301" i="32" s="1"/>
  <c r="P293" i="32"/>
  <c r="T293" i="32" s="1"/>
  <c r="P285" i="32"/>
  <c r="T285" i="32" s="1"/>
  <c r="P277" i="32"/>
  <c r="T277" i="32" s="1"/>
  <c r="P269" i="32"/>
  <c r="T269" i="32" s="1"/>
  <c r="P261" i="32"/>
  <c r="T261" i="32" s="1"/>
  <c r="P253" i="32"/>
  <c r="T253" i="32" s="1"/>
  <c r="P245" i="32"/>
  <c r="T245" i="32" s="1"/>
  <c r="P237" i="32"/>
  <c r="T237" i="32" s="1"/>
  <c r="P229" i="32"/>
  <c r="T229" i="32" s="1"/>
  <c r="P221" i="32"/>
  <c r="T221" i="32" s="1"/>
  <c r="P213" i="32"/>
  <c r="T213" i="32" s="1"/>
  <c r="P205" i="32"/>
  <c r="T205" i="32" s="1"/>
  <c r="P197" i="32"/>
  <c r="T197" i="32" s="1"/>
  <c r="P189" i="32"/>
  <c r="T189" i="32" s="1"/>
  <c r="P181" i="32"/>
  <c r="T181" i="32" s="1"/>
  <c r="P173" i="32"/>
  <c r="T173" i="32" s="1"/>
  <c r="P165" i="32"/>
  <c r="T165" i="32" s="1"/>
  <c r="P157" i="32"/>
  <c r="T157" i="32" s="1"/>
  <c r="P149" i="32"/>
  <c r="T149" i="32" s="1"/>
  <c r="P141" i="32"/>
  <c r="T141" i="32" s="1"/>
  <c r="P133" i="32"/>
  <c r="T133" i="32" s="1"/>
  <c r="P125" i="32"/>
  <c r="T125" i="32" s="1"/>
  <c r="P117" i="32"/>
  <c r="T117" i="32" s="1"/>
  <c r="P109" i="32"/>
  <c r="T109" i="32" s="1"/>
  <c r="P101" i="32"/>
  <c r="T101" i="32" s="1"/>
  <c r="P93" i="32"/>
  <c r="T93" i="32" s="1"/>
  <c r="P85" i="32"/>
  <c r="T85" i="32" s="1"/>
  <c r="P77" i="32"/>
  <c r="T77" i="32" s="1"/>
  <c r="P69" i="32"/>
  <c r="T69" i="32" s="1"/>
  <c r="P61" i="32"/>
  <c r="T61" i="32" s="1"/>
  <c r="P53" i="32"/>
  <c r="T53" i="32" s="1"/>
  <c r="P45" i="32"/>
  <c r="T45" i="32" s="1"/>
  <c r="P37" i="32"/>
  <c r="T37" i="32" s="1"/>
  <c r="P29" i="32"/>
  <c r="T29" i="32" s="1"/>
  <c r="P21" i="32"/>
  <c r="T21" i="32" s="1"/>
  <c r="P13" i="32"/>
  <c r="T13" i="32" s="1"/>
  <c r="P5" i="32"/>
  <c r="T5" i="32" s="1"/>
  <c r="P236" i="32"/>
  <c r="T236" i="32" s="1"/>
  <c r="P228" i="32"/>
  <c r="T228" i="32" s="1"/>
  <c r="P220" i="32"/>
  <c r="T220" i="32" s="1"/>
  <c r="P212" i="32"/>
  <c r="T212" i="32" s="1"/>
  <c r="P204" i="32"/>
  <c r="T204" i="32" s="1"/>
  <c r="P196" i="32"/>
  <c r="T196" i="32" s="1"/>
  <c r="P188" i="32"/>
  <c r="T188" i="32" s="1"/>
  <c r="P180" i="32"/>
  <c r="T180" i="32" s="1"/>
  <c r="P172" i="32"/>
  <c r="T172" i="32" s="1"/>
  <c r="P164" i="32"/>
  <c r="T164" i="32" s="1"/>
  <c r="P156" i="32"/>
  <c r="T156" i="32" s="1"/>
  <c r="P148" i="32"/>
  <c r="T148" i="32" s="1"/>
  <c r="P140" i="32"/>
  <c r="T140" i="32" s="1"/>
  <c r="P132" i="32"/>
  <c r="T132" i="32" s="1"/>
  <c r="P124" i="32"/>
  <c r="T124" i="32" s="1"/>
  <c r="P116" i="32"/>
  <c r="T116" i="32" s="1"/>
  <c r="P108" i="32"/>
  <c r="T108" i="32" s="1"/>
  <c r="P100" i="32"/>
  <c r="T100" i="32" s="1"/>
  <c r="P92" i="32"/>
  <c r="T92" i="32" s="1"/>
  <c r="P84" i="32"/>
  <c r="T84" i="32" s="1"/>
  <c r="P76" i="32"/>
  <c r="T76" i="32" s="1"/>
  <c r="P68" i="32"/>
  <c r="T68" i="32" s="1"/>
  <c r="P60" i="32"/>
  <c r="T60" i="32" s="1"/>
  <c r="P52" i="32"/>
  <c r="T52" i="32" s="1"/>
  <c r="P44" i="32"/>
  <c r="T44" i="32" s="1"/>
  <c r="P36" i="32"/>
  <c r="T36" i="32" s="1"/>
  <c r="P28" i="32"/>
  <c r="T28" i="32" s="1"/>
  <c r="P20" i="32"/>
  <c r="T20" i="32" s="1"/>
  <c r="P12" i="32"/>
  <c r="T12" i="32" s="1"/>
  <c r="P4" i="32"/>
  <c r="T4" i="32" s="1"/>
  <c r="P555" i="32"/>
  <c r="T555" i="32" s="1"/>
  <c r="P547" i="32"/>
  <c r="T547" i="32" s="1"/>
  <c r="P539" i="32"/>
  <c r="T539" i="32" s="1"/>
  <c r="P531" i="32"/>
  <c r="T531" i="32" s="1"/>
  <c r="P523" i="32"/>
  <c r="T523" i="32" s="1"/>
  <c r="P515" i="32"/>
  <c r="T515" i="32" s="1"/>
  <c r="P507" i="32"/>
  <c r="P499" i="32"/>
  <c r="T499" i="32" s="1"/>
  <c r="P491" i="32"/>
  <c r="T491" i="32" s="1"/>
  <c r="P483" i="32"/>
  <c r="T483" i="32" s="1"/>
  <c r="P475" i="32"/>
  <c r="T475" i="32" s="1"/>
  <c r="P467" i="32"/>
  <c r="T467" i="32" s="1"/>
  <c r="P459" i="32"/>
  <c r="T459" i="32" s="1"/>
  <c r="P451" i="32"/>
  <c r="T451" i="32" s="1"/>
  <c r="P443" i="32"/>
  <c r="T443" i="32" s="1"/>
  <c r="P435" i="32"/>
  <c r="T435" i="32" s="1"/>
  <c r="P427" i="32"/>
  <c r="T427" i="32" s="1"/>
  <c r="P419" i="32"/>
  <c r="T419" i="32" s="1"/>
  <c r="P411" i="32"/>
  <c r="T411" i="32" s="1"/>
  <c r="P403" i="32"/>
  <c r="T403" i="32" s="1"/>
  <c r="P395" i="32"/>
  <c r="T395" i="32" s="1"/>
  <c r="P387" i="32"/>
  <c r="T387" i="32" s="1"/>
  <c r="P379" i="32"/>
  <c r="T379" i="32" s="1"/>
  <c r="P371" i="32"/>
  <c r="T371" i="32" s="1"/>
  <c r="P363" i="32"/>
  <c r="T363" i="32" s="1"/>
  <c r="P355" i="32"/>
  <c r="T355" i="32" s="1"/>
  <c r="P347" i="32"/>
  <c r="T347" i="32" s="1"/>
  <c r="P339" i="32"/>
  <c r="T339" i="32" s="1"/>
  <c r="P331" i="32"/>
  <c r="T331" i="32" s="1"/>
  <c r="P323" i="32"/>
  <c r="T323" i="32" s="1"/>
  <c r="P315" i="32"/>
  <c r="T315" i="32" s="1"/>
  <c r="P307" i="32"/>
  <c r="T307" i="32" s="1"/>
  <c r="P299" i="32"/>
  <c r="T299" i="32" s="1"/>
  <c r="P291" i="32"/>
  <c r="T291" i="32" s="1"/>
  <c r="P283" i="32"/>
  <c r="T283" i="32" s="1"/>
  <c r="P275" i="32"/>
  <c r="T275" i="32" s="1"/>
  <c r="P267" i="32"/>
  <c r="T267" i="32" s="1"/>
  <c r="P259" i="32"/>
  <c r="T259" i="32" s="1"/>
  <c r="P251" i="32"/>
  <c r="T251" i="32" s="1"/>
  <c r="P243" i="32"/>
  <c r="T243" i="32" s="1"/>
  <c r="P235" i="32"/>
  <c r="T235" i="32" s="1"/>
  <c r="P227" i="32"/>
  <c r="T227" i="32" s="1"/>
  <c r="P219" i="32"/>
  <c r="T219" i="32" s="1"/>
  <c r="P211" i="32"/>
  <c r="T211" i="32" s="1"/>
  <c r="P203" i="32"/>
  <c r="T203" i="32" s="1"/>
  <c r="P195" i="32"/>
  <c r="T195" i="32" s="1"/>
  <c r="P187" i="32"/>
  <c r="T187" i="32" s="1"/>
  <c r="P179" i="32"/>
  <c r="T179" i="32" s="1"/>
  <c r="P171" i="32"/>
  <c r="T171" i="32" s="1"/>
  <c r="P163" i="32"/>
  <c r="T163" i="32" s="1"/>
  <c r="P155" i="32"/>
  <c r="T155" i="32" s="1"/>
  <c r="P147" i="32"/>
  <c r="T147" i="32" s="1"/>
  <c r="P139" i="32"/>
  <c r="T139" i="32" s="1"/>
  <c r="P131" i="32"/>
  <c r="T131" i="32" s="1"/>
  <c r="P123" i="32"/>
  <c r="T123" i="32" s="1"/>
  <c r="P115" i="32"/>
  <c r="T115" i="32" s="1"/>
  <c r="P107" i="32"/>
  <c r="T107" i="32" s="1"/>
  <c r="P99" i="32"/>
  <c r="T99" i="32" s="1"/>
  <c r="P91" i="32"/>
  <c r="T91" i="32" s="1"/>
  <c r="P83" i="32"/>
  <c r="T83" i="32" s="1"/>
  <c r="P75" i="32"/>
  <c r="T75" i="32" s="1"/>
  <c r="P67" i="32"/>
  <c r="T67" i="32" s="1"/>
  <c r="P59" i="32"/>
  <c r="T59" i="32" s="1"/>
  <c r="P51" i="32"/>
  <c r="T51" i="32" s="1"/>
  <c r="P43" i="32"/>
  <c r="T43" i="32" s="1"/>
  <c r="P35" i="32"/>
  <c r="T35" i="32" s="1"/>
  <c r="P27" i="32"/>
  <c r="T27" i="32" s="1"/>
  <c r="P19" i="32"/>
  <c r="T19" i="32" s="1"/>
  <c r="P11" i="32"/>
  <c r="T11" i="32" s="1"/>
  <c r="P3" i="32"/>
  <c r="T3" i="32" s="1"/>
  <c r="P2" i="32"/>
  <c r="P618" i="32"/>
  <c r="T618" i="32" s="1"/>
  <c r="P602" i="32"/>
  <c r="T602" i="32" s="1"/>
  <c r="P586" i="32"/>
  <c r="T586" i="32" s="1"/>
  <c r="P570" i="32"/>
  <c r="T570" i="32" s="1"/>
  <c r="P554" i="32"/>
  <c r="T554" i="32" s="1"/>
  <c r="P538" i="32"/>
  <c r="T538" i="32" s="1"/>
  <c r="P522" i="32"/>
  <c r="T522" i="32" s="1"/>
  <c r="P506" i="32"/>
  <c r="T506" i="32" s="1"/>
  <c r="P490" i="32"/>
  <c r="T490" i="32" s="1"/>
  <c r="P474" i="32"/>
  <c r="T474" i="32" s="1"/>
  <c r="P458" i="32"/>
  <c r="T458" i="32" s="1"/>
  <c r="P442" i="32"/>
  <c r="T442" i="32" s="1"/>
  <c r="P426" i="32"/>
  <c r="T426" i="32" s="1"/>
  <c r="P410" i="32"/>
  <c r="T410" i="32" s="1"/>
  <c r="P394" i="32"/>
  <c r="T394" i="32" s="1"/>
  <c r="P378" i="32"/>
  <c r="T378" i="32" s="1"/>
  <c r="P362" i="32"/>
  <c r="T362" i="32" s="1"/>
  <c r="P346" i="32"/>
  <c r="T346" i="32" s="1"/>
  <c r="P330" i="32"/>
  <c r="T330" i="32" s="1"/>
  <c r="P314" i="32"/>
  <c r="T314" i="32" s="1"/>
  <c r="P298" i="32"/>
  <c r="T298" i="32" s="1"/>
  <c r="P282" i="32"/>
  <c r="T282" i="32" s="1"/>
  <c r="P266" i="32"/>
  <c r="T266" i="32" s="1"/>
  <c r="P250" i="32"/>
  <c r="T250" i="32" s="1"/>
  <c r="P234" i="32"/>
  <c r="T234" i="32" s="1"/>
  <c r="P218" i="32"/>
  <c r="T218" i="32" s="1"/>
  <c r="P202" i="32"/>
  <c r="T202" i="32" s="1"/>
  <c r="P186" i="32"/>
  <c r="T186" i="32" s="1"/>
  <c r="P170" i="32"/>
  <c r="T170" i="32" s="1"/>
  <c r="P154" i="32"/>
  <c r="T154" i="32" s="1"/>
  <c r="P138" i="32"/>
  <c r="T138" i="32" s="1"/>
  <c r="P122" i="32"/>
  <c r="T122" i="32" s="1"/>
  <c r="P114" i="32"/>
  <c r="T114" i="32" s="1"/>
  <c r="P106" i="32"/>
  <c r="T106" i="32" s="1"/>
  <c r="P82" i="32"/>
  <c r="T82" i="32" s="1"/>
  <c r="P58" i="32"/>
  <c r="T58" i="32" s="1"/>
  <c r="P50" i="32"/>
  <c r="T50" i="32" s="1"/>
  <c r="P34" i="32"/>
  <c r="T34" i="32" s="1"/>
  <c r="P18" i="32"/>
  <c r="T18" i="32" s="1"/>
  <c r="P10" i="32"/>
  <c r="T10" i="32" s="1"/>
  <c r="P633" i="32"/>
  <c r="T633" i="32" s="1"/>
  <c r="P609" i="32"/>
  <c r="T609" i="32" s="1"/>
  <c r="P601" i="32"/>
  <c r="T601" i="32" s="1"/>
  <c r="P577" i="32"/>
  <c r="T577" i="32" s="1"/>
  <c r="P569" i="32"/>
  <c r="T569" i="32" s="1"/>
  <c r="P545" i="32"/>
  <c r="T545" i="32" s="1"/>
  <c r="P537" i="32"/>
  <c r="T537" i="32" s="1"/>
  <c r="P513" i="32"/>
  <c r="T513" i="32" s="1"/>
  <c r="P505" i="32"/>
  <c r="T505" i="32" s="1"/>
  <c r="P481" i="32"/>
  <c r="T481" i="32" s="1"/>
  <c r="P473" i="32"/>
  <c r="T473" i="32" s="1"/>
  <c r="P449" i="32"/>
  <c r="T449" i="32" s="1"/>
  <c r="P441" i="32"/>
  <c r="T441" i="32" s="1"/>
  <c r="P417" i="32"/>
  <c r="T417" i="32" s="1"/>
  <c r="P409" i="32"/>
  <c r="T409" i="32" s="1"/>
  <c r="P385" i="32"/>
  <c r="T385" i="32" s="1"/>
  <c r="P377" i="32"/>
  <c r="T377" i="32" s="1"/>
  <c r="P353" i="32"/>
  <c r="T353" i="32" s="1"/>
  <c r="P345" i="32"/>
  <c r="T345" i="32" s="1"/>
  <c r="P321" i="32"/>
  <c r="T321" i="32" s="1"/>
  <c r="P313" i="32"/>
  <c r="T313" i="32" s="1"/>
  <c r="P289" i="32"/>
  <c r="T289" i="32" s="1"/>
  <c r="P281" i="32"/>
  <c r="T281" i="32" s="1"/>
  <c r="P257" i="32"/>
  <c r="T257" i="32" s="1"/>
  <c r="P249" i="32"/>
  <c r="T249" i="32" s="1"/>
  <c r="P225" i="32"/>
  <c r="T225" i="32" s="1"/>
  <c r="P217" i="32"/>
  <c r="T217" i="32" s="1"/>
  <c r="P193" i="32"/>
  <c r="T193" i="32" s="1"/>
  <c r="P185" i="32"/>
  <c r="T185" i="32" s="1"/>
  <c r="P161" i="32"/>
  <c r="T161" i="32" s="1"/>
  <c r="P153" i="32"/>
  <c r="T153" i="32" s="1"/>
  <c r="P49" i="32"/>
  <c r="T49" i="32" s="1"/>
  <c r="P17" i="32"/>
  <c r="T17" i="32" s="1"/>
  <c r="P472" i="32"/>
  <c r="T472" i="32" s="1"/>
  <c r="P464" i="32"/>
  <c r="T464" i="32" s="1"/>
  <c r="P456" i="32"/>
  <c r="T456" i="32" s="1"/>
  <c r="P448" i="32"/>
  <c r="T448" i="32" s="1"/>
  <c r="P440" i="32"/>
  <c r="T440" i="32" s="1"/>
  <c r="P432" i="32"/>
  <c r="T432" i="32" s="1"/>
  <c r="P424" i="32"/>
  <c r="T424" i="32" s="1"/>
  <c r="P416" i="32"/>
  <c r="T416" i="32" s="1"/>
  <c r="P408" i="32"/>
  <c r="T408" i="32" s="1"/>
  <c r="P400" i="32"/>
  <c r="T400" i="32" s="1"/>
  <c r="P392" i="32"/>
  <c r="T392" i="32" s="1"/>
  <c r="P384" i="32"/>
  <c r="T384" i="32" s="1"/>
  <c r="P376" i="32"/>
  <c r="T376" i="32" s="1"/>
  <c r="P368" i="32"/>
  <c r="T368" i="32" s="1"/>
  <c r="P360" i="32"/>
  <c r="T360" i="32" s="1"/>
  <c r="P352" i="32"/>
  <c r="T352" i="32" s="1"/>
  <c r="P344" i="32"/>
  <c r="T344" i="32" s="1"/>
  <c r="P336" i="32"/>
  <c r="T336" i="32" s="1"/>
  <c r="P328" i="32"/>
  <c r="T328" i="32" s="1"/>
  <c r="P320" i="32"/>
  <c r="T320" i="32" s="1"/>
  <c r="P312" i="32"/>
  <c r="T312" i="32" s="1"/>
  <c r="P304" i="32"/>
  <c r="T304" i="32" s="1"/>
  <c r="P296" i="32"/>
  <c r="T296" i="32" s="1"/>
  <c r="P288" i="32"/>
  <c r="T288" i="32" s="1"/>
  <c r="P280" i="32"/>
  <c r="T280" i="32" s="1"/>
  <c r="P272" i="32"/>
  <c r="T272" i="32" s="1"/>
  <c r="P264" i="32"/>
  <c r="T264" i="32" s="1"/>
  <c r="P256" i="32"/>
  <c r="T256" i="32" s="1"/>
  <c r="P248" i="32"/>
  <c r="T248" i="32" s="1"/>
  <c r="P240" i="32"/>
  <c r="T240" i="32" s="1"/>
  <c r="P232" i="32"/>
  <c r="T232" i="32" s="1"/>
  <c r="P224" i="32"/>
  <c r="T224" i="32" s="1"/>
  <c r="P216" i="32"/>
  <c r="T216" i="32" s="1"/>
  <c r="P208" i="32"/>
  <c r="T208" i="32" s="1"/>
  <c r="P200" i="32"/>
  <c r="T200" i="32" s="1"/>
  <c r="P192" i="32"/>
  <c r="T192" i="32" s="1"/>
  <c r="P184" i="32"/>
  <c r="T184" i="32" s="1"/>
  <c r="P176" i="32"/>
  <c r="T176" i="32" s="1"/>
  <c r="P168" i="32"/>
  <c r="T168" i="32" s="1"/>
  <c r="P160" i="32"/>
  <c r="T160" i="32" s="1"/>
  <c r="P152" i="32"/>
  <c r="T152" i="32" s="1"/>
  <c r="P144" i="32"/>
  <c r="T144" i="32" s="1"/>
  <c r="P136" i="32"/>
  <c r="T136" i="32" s="1"/>
  <c r="P128" i="32"/>
  <c r="T128" i="32" s="1"/>
  <c r="P120" i="32"/>
  <c r="T120" i="32" s="1"/>
  <c r="P112" i="32"/>
  <c r="T112" i="32" s="1"/>
  <c r="P104" i="32"/>
  <c r="T104" i="32" s="1"/>
  <c r="P96" i="32"/>
  <c r="T96" i="32" s="1"/>
  <c r="P88" i="32"/>
  <c r="T88" i="32" s="1"/>
  <c r="P80" i="32"/>
  <c r="T80" i="32" s="1"/>
  <c r="P72" i="32"/>
  <c r="T72" i="32" s="1"/>
  <c r="P64" i="32"/>
  <c r="T64" i="32" s="1"/>
  <c r="P56" i="32"/>
  <c r="T56" i="32" s="1"/>
  <c r="P48" i="32"/>
  <c r="T48" i="32" s="1"/>
  <c r="P40" i="32"/>
  <c r="T40" i="32" s="1"/>
  <c r="P32" i="32"/>
  <c r="T32" i="32" s="1"/>
  <c r="P24" i="32"/>
  <c r="T24" i="32" s="1"/>
  <c r="P16" i="32"/>
  <c r="T16" i="32" s="1"/>
  <c r="P8" i="32"/>
  <c r="T8" i="32" s="1"/>
  <c r="P471" i="32"/>
  <c r="T471" i="32" s="1"/>
  <c r="P463" i="32"/>
  <c r="T463" i="32" s="1"/>
  <c r="P455" i="32"/>
  <c r="T455" i="32" s="1"/>
  <c r="P447" i="32"/>
  <c r="T447" i="32" s="1"/>
  <c r="P439" i="32"/>
  <c r="T439" i="32" s="1"/>
  <c r="P431" i="32"/>
  <c r="T431" i="32" s="1"/>
  <c r="P423" i="32"/>
  <c r="T423" i="32" s="1"/>
  <c r="P415" i="32"/>
  <c r="T415" i="32" s="1"/>
  <c r="P407" i="32"/>
  <c r="T407" i="32" s="1"/>
  <c r="P399" i="32"/>
  <c r="T399" i="32" s="1"/>
  <c r="P391" i="32"/>
  <c r="T391" i="32" s="1"/>
  <c r="P383" i="32"/>
  <c r="T383" i="32" s="1"/>
  <c r="P375" i="32"/>
  <c r="T375" i="32" s="1"/>
  <c r="P367" i="32"/>
  <c r="T367" i="32" s="1"/>
  <c r="P359" i="32"/>
  <c r="T359" i="32" s="1"/>
  <c r="P351" i="32"/>
  <c r="T351" i="32" s="1"/>
  <c r="P343" i="32"/>
  <c r="T343" i="32" s="1"/>
  <c r="P335" i="32"/>
  <c r="T335" i="32" s="1"/>
  <c r="P327" i="32"/>
  <c r="T327" i="32" s="1"/>
  <c r="P319" i="32"/>
  <c r="T319" i="32" s="1"/>
  <c r="P311" i="32"/>
  <c r="T311" i="32" s="1"/>
  <c r="P303" i="32"/>
  <c r="T303" i="32" s="1"/>
  <c r="P295" i="32"/>
  <c r="T295" i="32" s="1"/>
  <c r="P287" i="32"/>
  <c r="T287" i="32" s="1"/>
  <c r="P279" i="32"/>
  <c r="T279" i="32" s="1"/>
  <c r="P271" i="32"/>
  <c r="T271" i="32" s="1"/>
  <c r="P263" i="32"/>
  <c r="T263" i="32" s="1"/>
  <c r="P255" i="32"/>
  <c r="T255" i="32" s="1"/>
  <c r="P247" i="32"/>
  <c r="T247" i="32" s="1"/>
  <c r="P239" i="32"/>
  <c r="T239" i="32" s="1"/>
  <c r="P231" i="32"/>
  <c r="T231" i="32" s="1"/>
  <c r="P223" i="32"/>
  <c r="T223" i="32" s="1"/>
  <c r="P215" i="32"/>
  <c r="T215" i="32" s="1"/>
  <c r="P207" i="32"/>
  <c r="T207" i="32" s="1"/>
  <c r="P199" i="32"/>
  <c r="T199" i="32" s="1"/>
  <c r="P191" i="32"/>
  <c r="T191" i="32" s="1"/>
  <c r="P183" i="32"/>
  <c r="T183" i="32" s="1"/>
  <c r="P175" i="32"/>
  <c r="T175" i="32" s="1"/>
  <c r="P167" i="32"/>
  <c r="T167" i="32" s="1"/>
  <c r="P159" i="32"/>
  <c r="T159" i="32" s="1"/>
  <c r="P151" i="32"/>
  <c r="T151" i="32" s="1"/>
  <c r="P143" i="32"/>
  <c r="T143" i="32" s="1"/>
  <c r="P135" i="32"/>
  <c r="T135" i="32" s="1"/>
  <c r="P127" i="32"/>
  <c r="T127" i="32" s="1"/>
  <c r="P119" i="32"/>
  <c r="T119" i="32" s="1"/>
  <c r="P111" i="32"/>
  <c r="T111" i="32" s="1"/>
  <c r="P103" i="32"/>
  <c r="T103" i="32" s="1"/>
  <c r="P95" i="32"/>
  <c r="T95" i="32" s="1"/>
  <c r="P87" i="32"/>
  <c r="T87" i="32" s="1"/>
  <c r="P79" i="32"/>
  <c r="T79" i="32" s="1"/>
  <c r="P71" i="32"/>
  <c r="T71" i="32" s="1"/>
  <c r="P63" i="32"/>
  <c r="T63" i="32" s="1"/>
  <c r="P55" i="32"/>
  <c r="T55" i="32" s="1"/>
  <c r="P47" i="32"/>
  <c r="T47" i="32" s="1"/>
  <c r="P39" i="32"/>
  <c r="T39" i="32" s="1"/>
  <c r="P31" i="32"/>
  <c r="T31" i="32" s="1"/>
  <c r="P23" i="32"/>
  <c r="T23" i="32" s="1"/>
  <c r="P15" i="32"/>
  <c r="T15" i="32" s="1"/>
  <c r="P7" i="32"/>
  <c r="T7" i="32" s="1"/>
  <c r="P129" i="32"/>
  <c r="T129" i="32" s="1"/>
  <c r="P121" i="32"/>
  <c r="T121" i="32" s="1"/>
  <c r="P113" i="32"/>
  <c r="T113" i="32" s="1"/>
  <c r="P105" i="32"/>
  <c r="T105" i="32" s="1"/>
  <c r="P97" i="32"/>
  <c r="T97" i="32" s="1"/>
  <c r="P89" i="32"/>
  <c r="T89" i="32" s="1"/>
  <c r="P81" i="32"/>
  <c r="T81" i="32" s="1"/>
  <c r="P73" i="32"/>
  <c r="T73" i="32" s="1"/>
  <c r="P65" i="32"/>
  <c r="T65" i="32" s="1"/>
  <c r="P57" i="32"/>
  <c r="T57" i="32" s="1"/>
  <c r="P25" i="32"/>
  <c r="T25" i="32" s="1"/>
  <c r="P9" i="32"/>
  <c r="T9" i="32" s="1"/>
  <c r="D2" i="13"/>
  <c r="D3" i="13" s="1"/>
  <c r="D4" i="13" s="1"/>
  <c r="D5" i="13" s="1"/>
  <c r="D6" i="13" s="1"/>
  <c r="D7" i="13" s="1"/>
  <c r="D8" i="13" s="1"/>
  <c r="D9" i="13" s="1"/>
  <c r="D10" i="13" s="1"/>
  <c r="D11" i="13" s="1"/>
  <c r="D12" i="13" s="1"/>
  <c r="D13" i="13" s="1"/>
  <c r="D14" i="13" s="1"/>
  <c r="D15" i="13" s="1"/>
  <c r="D16" i="13" s="1"/>
  <c r="D17" i="13" s="1"/>
  <c r="D18" i="13" s="1"/>
  <c r="D19" i="13" s="1"/>
  <c r="D20" i="13" s="1"/>
  <c r="D21" i="13" s="1"/>
  <c r="D22" i="13" s="1"/>
  <c r="D23" i="13" s="1"/>
  <c r="D24" i="13" s="1"/>
  <c r="D25" i="13" s="1"/>
  <c r="D26" i="13" s="1"/>
  <c r="D27" i="13" s="1"/>
  <c r="D28" i="13" s="1"/>
  <c r="D29" i="13" s="1"/>
  <c r="D30" i="13" s="1"/>
  <c r="D31" i="13" s="1"/>
  <c r="D32" i="13" s="1"/>
  <c r="D33" i="13" s="1"/>
  <c r="D34" i="13" s="1"/>
  <c r="D35" i="13" s="1"/>
  <c r="D36" i="13" s="1"/>
  <c r="D37" i="13" s="1"/>
  <c r="D38" i="13" s="1"/>
  <c r="D39" i="13" s="1"/>
  <c r="D40" i="13" s="1"/>
  <c r="D41" i="13" s="1"/>
  <c r="D42" i="13" s="1"/>
  <c r="D43" i="13" s="1"/>
  <c r="D44" i="13" s="1"/>
  <c r="D45" i="13" s="1"/>
  <c r="D46" i="13" s="1"/>
  <c r="D47" i="13" s="1"/>
  <c r="D48" i="13" s="1"/>
  <c r="D49" i="13" s="1"/>
  <c r="D50" i="13" s="1"/>
  <c r="D51" i="13" s="1"/>
  <c r="D52" i="13" s="1"/>
  <c r="D53" i="13" s="1"/>
  <c r="D54" i="13" s="1"/>
  <c r="D55" i="13" s="1"/>
  <c r="D56" i="13" s="1"/>
  <c r="D57" i="13" s="1"/>
  <c r="D58" i="13" s="1"/>
  <c r="D59" i="13" s="1"/>
  <c r="D60" i="13" s="1"/>
  <c r="D61" i="13" s="1"/>
  <c r="D62" i="13" s="1"/>
  <c r="D63" i="13" s="1"/>
  <c r="D64" i="13" s="1"/>
  <c r="D65" i="13" s="1"/>
  <c r="D66" i="13" s="1"/>
  <c r="D67" i="13" s="1"/>
  <c r="D68" i="13" s="1"/>
  <c r="D69" i="13" s="1"/>
  <c r="D70" i="13" s="1"/>
  <c r="D71" i="13" s="1"/>
  <c r="D72" i="13" s="1"/>
  <c r="D73" i="13" s="1"/>
  <c r="D74" i="13" s="1"/>
  <c r="D75" i="13" s="1"/>
  <c r="D76" i="13" s="1"/>
  <c r="D77" i="13" s="1"/>
  <c r="D78" i="13" s="1"/>
  <c r="D79" i="13" s="1"/>
  <c r="D80" i="13" s="1"/>
  <c r="D81" i="13" s="1"/>
  <c r="D82" i="13" s="1"/>
  <c r="D83" i="13" s="1"/>
  <c r="D84" i="13" s="1"/>
  <c r="D85" i="13" s="1"/>
  <c r="D86" i="13" s="1"/>
  <c r="D87" i="13" s="1"/>
  <c r="D88" i="13" s="1"/>
  <c r="D89" i="13" s="1"/>
  <c r="D90" i="13" s="1"/>
  <c r="D91" i="13" s="1"/>
  <c r="D92" i="13" s="1"/>
  <c r="D93" i="13" s="1"/>
  <c r="D94" i="13" s="1"/>
  <c r="D95" i="13" s="1"/>
  <c r="D96" i="13" s="1"/>
  <c r="D97" i="13" s="1"/>
  <c r="D98" i="13" s="1"/>
  <c r="D99" i="13" s="1"/>
  <c r="D100" i="13" s="1"/>
  <c r="D101" i="13" s="1"/>
  <c r="D102" i="13" s="1"/>
  <c r="D103" i="13" s="1"/>
  <c r="D104" i="13" s="1"/>
  <c r="D105" i="13" s="1"/>
  <c r="D106" i="13" s="1"/>
  <c r="D107" i="13" s="1"/>
  <c r="D108" i="13" s="1"/>
  <c r="D109" i="13" s="1"/>
  <c r="D110" i="13" s="1"/>
  <c r="D111" i="13" s="1"/>
  <c r="D112" i="13" s="1"/>
  <c r="D113" i="13" s="1"/>
  <c r="D114" i="13" s="1"/>
  <c r="D115" i="13" s="1"/>
  <c r="D116" i="13" s="1"/>
  <c r="D117" i="13" s="1"/>
  <c r="D118" i="13" s="1"/>
  <c r="D119" i="13" s="1"/>
  <c r="D120" i="13" s="1"/>
  <c r="D121" i="13" s="1"/>
  <c r="D122" i="13" s="1"/>
  <c r="D123" i="13" s="1"/>
  <c r="D124" i="13" s="1"/>
  <c r="D125" i="13" s="1"/>
  <c r="D126" i="13" s="1"/>
  <c r="D127" i="13" s="1"/>
  <c r="D128" i="13" s="1"/>
  <c r="D129" i="13" s="1"/>
  <c r="D130" i="13" s="1"/>
  <c r="D131" i="13" s="1"/>
  <c r="D132" i="13" s="1"/>
  <c r="D133" i="13" s="1"/>
  <c r="D134" i="13" s="1"/>
  <c r="D135" i="13" s="1"/>
  <c r="D136" i="13" s="1"/>
  <c r="D137" i="13" s="1"/>
  <c r="D138" i="13" s="1"/>
  <c r="D139" i="13" s="1"/>
  <c r="D140" i="13" s="1"/>
  <c r="D141" i="13" s="1"/>
  <c r="D142" i="13" s="1"/>
  <c r="D143" i="13" s="1"/>
  <c r="D144" i="13" s="1"/>
  <c r="D145" i="13" s="1"/>
  <c r="D146" i="13" s="1"/>
  <c r="D147" i="13" s="1"/>
  <c r="D148" i="13" s="1"/>
  <c r="D149" i="13" s="1"/>
  <c r="D150" i="13" s="1"/>
  <c r="D151" i="13" s="1"/>
  <c r="D152" i="13" s="1"/>
  <c r="D153" i="13" s="1"/>
  <c r="D154" i="13" s="1"/>
  <c r="D155" i="13" s="1"/>
  <c r="D156" i="13" s="1"/>
  <c r="D157" i="13" s="1"/>
  <c r="D158" i="13" s="1"/>
  <c r="D159" i="13" s="1"/>
  <c r="D160" i="13" s="1"/>
  <c r="D161" i="13" s="1"/>
  <c r="D162" i="13" s="1"/>
  <c r="D163" i="13" s="1"/>
  <c r="D164" i="13" s="1"/>
  <c r="D165" i="13" s="1"/>
  <c r="D166" i="13" s="1"/>
  <c r="D167" i="13" s="1"/>
  <c r="D168" i="13" s="1"/>
  <c r="D169" i="13" s="1"/>
  <c r="D170" i="13" s="1"/>
  <c r="D171" i="13" s="1"/>
  <c r="D172" i="13" s="1"/>
  <c r="D173" i="13" s="1"/>
  <c r="D174" i="13" s="1"/>
  <c r="D175" i="13" s="1"/>
  <c r="D176" i="13" s="1"/>
  <c r="D177" i="13" s="1"/>
  <c r="D178" i="13" s="1"/>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2" i="13"/>
  <c r="AC3" i="3"/>
  <c r="AC4" i="3"/>
  <c r="AD4" i="3" s="1"/>
  <c r="AC5" i="3"/>
  <c r="AD5" i="3" s="1"/>
  <c r="AC6" i="3"/>
  <c r="AD6" i="3" s="1"/>
  <c r="AC7" i="3"/>
  <c r="AD7" i="3" s="1"/>
  <c r="AC8" i="3"/>
  <c r="AD8" i="3" s="1"/>
  <c r="AC9" i="3"/>
  <c r="AD9" i="3" s="1"/>
  <c r="AC10" i="3"/>
  <c r="AD10" i="3" s="1"/>
  <c r="AC11" i="3"/>
  <c r="AC12" i="3"/>
  <c r="AD12" i="3" s="1"/>
  <c r="AC13" i="3"/>
  <c r="AC14" i="3"/>
  <c r="AD14" i="3" s="1"/>
  <c r="AC15" i="3"/>
  <c r="AD15" i="3" s="1"/>
  <c r="AC16" i="3"/>
  <c r="AD16" i="3" s="1"/>
  <c r="AC17" i="3"/>
  <c r="AD17" i="3" s="1"/>
  <c r="AC18" i="3"/>
  <c r="AD18" i="3" s="1"/>
  <c r="AC19" i="3"/>
  <c r="AC20" i="3"/>
  <c r="AD20" i="3" s="1"/>
  <c r="AC21" i="3"/>
  <c r="AD21" i="3" s="1"/>
  <c r="AC22" i="3"/>
  <c r="AD22" i="3" s="1"/>
  <c r="AC23" i="3"/>
  <c r="AD23" i="3" s="1"/>
  <c r="AC24" i="3"/>
  <c r="AD24" i="3" s="1"/>
  <c r="AC25" i="3"/>
  <c r="AD25" i="3" s="1"/>
  <c r="AC26" i="3"/>
  <c r="AD26" i="3" s="1"/>
  <c r="AC27" i="3"/>
  <c r="AC28" i="3"/>
  <c r="AC29" i="3"/>
  <c r="AD29" i="3" s="1"/>
  <c r="AC30" i="3"/>
  <c r="AC31" i="3"/>
  <c r="AD31" i="3" s="1"/>
  <c r="AC32" i="3"/>
  <c r="AD32" i="3" s="1"/>
  <c r="AC33" i="3"/>
  <c r="AD33" i="3" s="1"/>
  <c r="AC34" i="3"/>
  <c r="AD34" i="3" s="1"/>
  <c r="AC35" i="3"/>
  <c r="AC36" i="3"/>
  <c r="AD36" i="3" s="1"/>
  <c r="AC37" i="3"/>
  <c r="AC38" i="3"/>
  <c r="AD38" i="3" s="1"/>
  <c r="AC39" i="3"/>
  <c r="AD39" i="3" s="1"/>
  <c r="AC40" i="3"/>
  <c r="AD40" i="3" s="1"/>
  <c r="AC41" i="3"/>
  <c r="AD41" i="3" s="1"/>
  <c r="AC42" i="3"/>
  <c r="AD42" i="3" s="1"/>
  <c r="AC43" i="3"/>
  <c r="AC44" i="3"/>
  <c r="AD44" i="3" s="1"/>
  <c r="AC45" i="3"/>
  <c r="AD45" i="3" s="1"/>
  <c r="AC46" i="3"/>
  <c r="AD46" i="3" s="1"/>
  <c r="AC47" i="3"/>
  <c r="AD47" i="3" s="1"/>
  <c r="AC48" i="3"/>
  <c r="AD48" i="3" s="1"/>
  <c r="AC49" i="3"/>
  <c r="AD49" i="3" s="1"/>
  <c r="AC50" i="3"/>
  <c r="AD50" i="3" s="1"/>
  <c r="AC51" i="3"/>
  <c r="AC52" i="3"/>
  <c r="AD52" i="3" s="1"/>
  <c r="AC53" i="3"/>
  <c r="AD53" i="3" s="1"/>
  <c r="AC54" i="3"/>
  <c r="AD54" i="3" s="1"/>
  <c r="AC55" i="3"/>
  <c r="AD55" i="3" s="1"/>
  <c r="AC56" i="3"/>
  <c r="AD56" i="3" s="1"/>
  <c r="AC57" i="3"/>
  <c r="AD57" i="3" s="1"/>
  <c r="AC58" i="3"/>
  <c r="AD58" i="3" s="1"/>
  <c r="AC59" i="3"/>
  <c r="AC60" i="3"/>
  <c r="AC61" i="3"/>
  <c r="AD61" i="3" s="1"/>
  <c r="AC62" i="3"/>
  <c r="AC63" i="3"/>
  <c r="AD63" i="3" s="1"/>
  <c r="AC64" i="3"/>
  <c r="AD64" i="3" s="1"/>
  <c r="AC65" i="3"/>
  <c r="AD65" i="3" s="1"/>
  <c r="AC66" i="3"/>
  <c r="AD66" i="3" s="1"/>
  <c r="AC67" i="3"/>
  <c r="AC68" i="3"/>
  <c r="AD68" i="3" s="1"/>
  <c r="AC69" i="3"/>
  <c r="AD69" i="3" s="1"/>
  <c r="AC70" i="3"/>
  <c r="AC71" i="3"/>
  <c r="AD71" i="3" s="1"/>
  <c r="AC72" i="3"/>
  <c r="AD72" i="3" s="1"/>
  <c r="AC73" i="3"/>
  <c r="AD73" i="3" s="1"/>
  <c r="AC74" i="3"/>
  <c r="AD74" i="3" s="1"/>
  <c r="AC75" i="3"/>
  <c r="AC76" i="3"/>
  <c r="AD76" i="3" s="1"/>
  <c r="AC77" i="3"/>
  <c r="AD77" i="3" s="1"/>
  <c r="AC78" i="3"/>
  <c r="AD78" i="3" s="1"/>
  <c r="AC79" i="3"/>
  <c r="AD79" i="3" s="1"/>
  <c r="AC80" i="3"/>
  <c r="AD80" i="3" s="1"/>
  <c r="AC81" i="3"/>
  <c r="AD81" i="3" s="1"/>
  <c r="AC82" i="3"/>
  <c r="AD82" i="3" s="1"/>
  <c r="AC83" i="3"/>
  <c r="AC84" i="3"/>
  <c r="AD84" i="3" s="1"/>
  <c r="AC85" i="3"/>
  <c r="AD85" i="3" s="1"/>
  <c r="AC86" i="3"/>
  <c r="AD86" i="3" s="1"/>
  <c r="AC87" i="3"/>
  <c r="AD87" i="3" s="1"/>
  <c r="AC88" i="3"/>
  <c r="AD88" i="3" s="1"/>
  <c r="AC89" i="3"/>
  <c r="AD89" i="3" s="1"/>
  <c r="AC90" i="3"/>
  <c r="AD90" i="3" s="1"/>
  <c r="AC91" i="3"/>
  <c r="AC92" i="3"/>
  <c r="AC93" i="3"/>
  <c r="AD93" i="3" s="1"/>
  <c r="AC94" i="3"/>
  <c r="AD94" i="3" s="1"/>
  <c r="AC95" i="3"/>
  <c r="AD95" i="3" s="1"/>
  <c r="AC96" i="3"/>
  <c r="AD96" i="3" s="1"/>
  <c r="AC97" i="3"/>
  <c r="AD97" i="3" s="1"/>
  <c r="AC98" i="3"/>
  <c r="AD98" i="3" s="1"/>
  <c r="AC99" i="3"/>
  <c r="AC100" i="3"/>
  <c r="AD100" i="3" s="1"/>
  <c r="AC101" i="3"/>
  <c r="AD101" i="3" s="1"/>
  <c r="AC102" i="3"/>
  <c r="AD102" i="3" s="1"/>
  <c r="AC103" i="3"/>
  <c r="AD103" i="3" s="1"/>
  <c r="AC104" i="3"/>
  <c r="AD104" i="3" s="1"/>
  <c r="AC105" i="3"/>
  <c r="AD105" i="3" s="1"/>
  <c r="AC106" i="3"/>
  <c r="AD106" i="3" s="1"/>
  <c r="AC107" i="3"/>
  <c r="AC108" i="3"/>
  <c r="AD108" i="3" s="1"/>
  <c r="AC109" i="3"/>
  <c r="AD109" i="3" s="1"/>
  <c r="AC110" i="3"/>
  <c r="AD110" i="3" s="1"/>
  <c r="AC111" i="3"/>
  <c r="AD111" i="3" s="1"/>
  <c r="AC112" i="3"/>
  <c r="AD112" i="3" s="1"/>
  <c r="AC113" i="3"/>
  <c r="AD113" i="3" s="1"/>
  <c r="AC114" i="3"/>
  <c r="AD114" i="3" s="1"/>
  <c r="AC115" i="3"/>
  <c r="AC116" i="3"/>
  <c r="AD116" i="3" s="1"/>
  <c r="AC117" i="3"/>
  <c r="AC118" i="3"/>
  <c r="AC119" i="3"/>
  <c r="AD119" i="3" s="1"/>
  <c r="AC120" i="3"/>
  <c r="AD120" i="3" s="1"/>
  <c r="AC121" i="3"/>
  <c r="AD121" i="3" s="1"/>
  <c r="AC122" i="3"/>
  <c r="AD122" i="3" s="1"/>
  <c r="AC123" i="3"/>
  <c r="AC124" i="3"/>
  <c r="AC125" i="3"/>
  <c r="AD125" i="3" s="1"/>
  <c r="AC126" i="3"/>
  <c r="AD126" i="3" s="1"/>
  <c r="AC127" i="3"/>
  <c r="AD127" i="3" s="1"/>
  <c r="AC128" i="3"/>
  <c r="AD128" i="3" s="1"/>
  <c r="AC129" i="3"/>
  <c r="AD129" i="3" s="1"/>
  <c r="AC130" i="3"/>
  <c r="AD130" i="3" s="1"/>
  <c r="AC131" i="3"/>
  <c r="AC132" i="3"/>
  <c r="AD132" i="3" s="1"/>
  <c r="AC133" i="3"/>
  <c r="AD133" i="3" s="1"/>
  <c r="AC134" i="3"/>
  <c r="AD134" i="3" s="1"/>
  <c r="AC135" i="3"/>
  <c r="AD135" i="3" s="1"/>
  <c r="AC136" i="3"/>
  <c r="AD136" i="3" s="1"/>
  <c r="AC137" i="3"/>
  <c r="AD137" i="3" s="1"/>
  <c r="AC138" i="3"/>
  <c r="AD138" i="3" s="1"/>
  <c r="AC139" i="3"/>
  <c r="AC140" i="3"/>
  <c r="AD140" i="3" s="1"/>
  <c r="AC141" i="3"/>
  <c r="AC142" i="3"/>
  <c r="AD142" i="3" s="1"/>
  <c r="AC143" i="3"/>
  <c r="AD143" i="3" s="1"/>
  <c r="AC144" i="3"/>
  <c r="AD144" i="3" s="1"/>
  <c r="AC145" i="3"/>
  <c r="AD145" i="3" s="1"/>
  <c r="AC146" i="3"/>
  <c r="AD146" i="3" s="1"/>
  <c r="AC147" i="3"/>
  <c r="AC148" i="3"/>
  <c r="AD148" i="3" s="1"/>
  <c r="AC149" i="3"/>
  <c r="AD149" i="3" s="1"/>
  <c r="AC150" i="3"/>
  <c r="AD150" i="3" s="1"/>
  <c r="AC151" i="3"/>
  <c r="AD151" i="3" s="1"/>
  <c r="AC152" i="3"/>
  <c r="AD152" i="3" s="1"/>
  <c r="AC153" i="3"/>
  <c r="AD153" i="3" s="1"/>
  <c r="AC154" i="3"/>
  <c r="AD154" i="3" s="1"/>
  <c r="AC155" i="3"/>
  <c r="AC156" i="3"/>
  <c r="AC157" i="3"/>
  <c r="AD157" i="3" s="1"/>
  <c r="AC158" i="3"/>
  <c r="AD158" i="3" s="1"/>
  <c r="AC159" i="3"/>
  <c r="AD159" i="3" s="1"/>
  <c r="AC160" i="3"/>
  <c r="AD160" i="3" s="1"/>
  <c r="AC161" i="3"/>
  <c r="AD161" i="3" s="1"/>
  <c r="AC162" i="3"/>
  <c r="AD162" i="3" s="1"/>
  <c r="AC163" i="3"/>
  <c r="AC164" i="3"/>
  <c r="AD164" i="3" s="1"/>
  <c r="AC165" i="3"/>
  <c r="AC166" i="3"/>
  <c r="AD166" i="3" s="1"/>
  <c r="AC167" i="3"/>
  <c r="AD167" i="3" s="1"/>
  <c r="AC168" i="3"/>
  <c r="AD168" i="3" s="1"/>
  <c r="AC169" i="3"/>
  <c r="AD169" i="3" s="1"/>
  <c r="AC170" i="3"/>
  <c r="AD170" i="3" s="1"/>
  <c r="AC171" i="3"/>
  <c r="AC172" i="3"/>
  <c r="AD172" i="3" s="1"/>
  <c r="AC173" i="3"/>
  <c r="AD173" i="3" s="1"/>
  <c r="AC174" i="3"/>
  <c r="AD174" i="3" s="1"/>
  <c r="AC175" i="3"/>
  <c r="AD175" i="3" s="1"/>
  <c r="AC176" i="3"/>
  <c r="AD176" i="3" s="1"/>
  <c r="AC177" i="3"/>
  <c r="AD177" i="3" s="1"/>
  <c r="AC178" i="3"/>
  <c r="AD178" i="3" s="1"/>
  <c r="AC179" i="3"/>
  <c r="AC180" i="3"/>
  <c r="AD180" i="3" s="1"/>
  <c r="AC181" i="3"/>
  <c r="AD181" i="3" s="1"/>
  <c r="AC182" i="3"/>
  <c r="AD182" i="3" s="1"/>
  <c r="AC183" i="3"/>
  <c r="AD183" i="3" s="1"/>
  <c r="AC184" i="3"/>
  <c r="AD184" i="3" s="1"/>
  <c r="AC185" i="3"/>
  <c r="AD185" i="3" s="1"/>
  <c r="AC186" i="3"/>
  <c r="AD186" i="3" s="1"/>
  <c r="AC187" i="3"/>
  <c r="AC188" i="3"/>
  <c r="AC189" i="3"/>
  <c r="AD189" i="3" s="1"/>
  <c r="AC190" i="3"/>
  <c r="AD190" i="3" s="1"/>
  <c r="AC191" i="3"/>
  <c r="AD191" i="3" s="1"/>
  <c r="AC192" i="3"/>
  <c r="AD192" i="3" s="1"/>
  <c r="AC193" i="3"/>
  <c r="AD193" i="3" s="1"/>
  <c r="AC194" i="3"/>
  <c r="AD194" i="3" s="1"/>
  <c r="AC195" i="3"/>
  <c r="AC196" i="3"/>
  <c r="AD196" i="3" s="1"/>
  <c r="AC197" i="3"/>
  <c r="AC198" i="3"/>
  <c r="AD198" i="3" s="1"/>
  <c r="AC199" i="3"/>
  <c r="AD199" i="3" s="1"/>
  <c r="AC200" i="3"/>
  <c r="AD200" i="3" s="1"/>
  <c r="AC201" i="3"/>
  <c r="AD201" i="3" s="1"/>
  <c r="AC202" i="3"/>
  <c r="AD202" i="3" s="1"/>
  <c r="AC203" i="3"/>
  <c r="AC204" i="3"/>
  <c r="AD204" i="3" s="1"/>
  <c r="AC205" i="3"/>
  <c r="AD205" i="3" s="1"/>
  <c r="AC206" i="3"/>
  <c r="AD206" i="3" s="1"/>
  <c r="AC207" i="3"/>
  <c r="AD207" i="3" s="1"/>
  <c r="AC208" i="3"/>
  <c r="AD208" i="3" s="1"/>
  <c r="AC209" i="3"/>
  <c r="AD209" i="3" s="1"/>
  <c r="AC210" i="3"/>
  <c r="AD210" i="3" s="1"/>
  <c r="AC211" i="3"/>
  <c r="AC212" i="3"/>
  <c r="AD212" i="3" s="1"/>
  <c r="AC213" i="3"/>
  <c r="AD213" i="3" s="1"/>
  <c r="AC214" i="3"/>
  <c r="AD214" i="3" s="1"/>
  <c r="AC215" i="3"/>
  <c r="AD215" i="3" s="1"/>
  <c r="AC216" i="3"/>
  <c r="AD216" i="3" s="1"/>
  <c r="AC217" i="3"/>
  <c r="AD217" i="3" s="1"/>
  <c r="AC218" i="3"/>
  <c r="AD218" i="3" s="1"/>
  <c r="AC219" i="3"/>
  <c r="AC220" i="3"/>
  <c r="AC221" i="3"/>
  <c r="AC222" i="3"/>
  <c r="AD222" i="3" s="1"/>
  <c r="AC223" i="3"/>
  <c r="AD223" i="3" s="1"/>
  <c r="AC224" i="3"/>
  <c r="AD224" i="3" s="1"/>
  <c r="AC225" i="3"/>
  <c r="AD225" i="3" s="1"/>
  <c r="AC226" i="3"/>
  <c r="AD226" i="3" s="1"/>
  <c r="AC227" i="3"/>
  <c r="AC228" i="3"/>
  <c r="AD228" i="3" s="1"/>
  <c r="AC229" i="3"/>
  <c r="AD229" i="3" s="1"/>
  <c r="AC230" i="3"/>
  <c r="AC231" i="3"/>
  <c r="AD231" i="3" s="1"/>
  <c r="AC232" i="3"/>
  <c r="AD232" i="3" s="1"/>
  <c r="AC233" i="3"/>
  <c r="AD233" i="3" s="1"/>
  <c r="AC234" i="3"/>
  <c r="AD234" i="3" s="1"/>
  <c r="AC235" i="3"/>
  <c r="AC236" i="3"/>
  <c r="AD236" i="3" s="1"/>
  <c r="AC237" i="3"/>
  <c r="AD237" i="3" s="1"/>
  <c r="AC238" i="3"/>
  <c r="AC239" i="3"/>
  <c r="AD239" i="3" s="1"/>
  <c r="AC240" i="3"/>
  <c r="AD240" i="3" s="1"/>
  <c r="AC241" i="3"/>
  <c r="AD241" i="3" s="1"/>
  <c r="AC242" i="3"/>
  <c r="AD242" i="3" s="1"/>
  <c r="AC243" i="3"/>
  <c r="AC244" i="3"/>
  <c r="AD244" i="3" s="1"/>
  <c r="AC245" i="3"/>
  <c r="AC246" i="3"/>
  <c r="AD246" i="3" s="1"/>
  <c r="AC247" i="3"/>
  <c r="AD247" i="3" s="1"/>
  <c r="AC248" i="3"/>
  <c r="AD248" i="3" s="1"/>
  <c r="AC249" i="3"/>
  <c r="AD249" i="3" s="1"/>
  <c r="AC250" i="3"/>
  <c r="AD250" i="3" s="1"/>
  <c r="AC251" i="3"/>
  <c r="AC252" i="3"/>
  <c r="AC253" i="3"/>
  <c r="AD253" i="3" s="1"/>
  <c r="AC254" i="3"/>
  <c r="AD254" i="3" s="1"/>
  <c r="AC255" i="3"/>
  <c r="AD255" i="3" s="1"/>
  <c r="AC256" i="3"/>
  <c r="AD256" i="3" s="1"/>
  <c r="AC257" i="3"/>
  <c r="AD257" i="3" s="1"/>
  <c r="AC258" i="3"/>
  <c r="AD258" i="3" s="1"/>
  <c r="AC259" i="3"/>
  <c r="AC260" i="3"/>
  <c r="AD260" i="3" s="1"/>
  <c r="AC261" i="3"/>
  <c r="AD261" i="3" s="1"/>
  <c r="AC262" i="3"/>
  <c r="AD262" i="3" s="1"/>
  <c r="AC263" i="3"/>
  <c r="AD263" i="3" s="1"/>
  <c r="AC264" i="3"/>
  <c r="AD264" i="3" s="1"/>
  <c r="AC265" i="3"/>
  <c r="AD265" i="3" s="1"/>
  <c r="AC266" i="3"/>
  <c r="AD266" i="3" s="1"/>
  <c r="AC267" i="3"/>
  <c r="AC268" i="3"/>
  <c r="AD268" i="3" s="1"/>
  <c r="AC269" i="3"/>
  <c r="AD269" i="3" s="1"/>
  <c r="AC270" i="3"/>
  <c r="AC271" i="3"/>
  <c r="AD271" i="3" s="1"/>
  <c r="AC272" i="3"/>
  <c r="AD272" i="3" s="1"/>
  <c r="AC273" i="3"/>
  <c r="AD273" i="3" s="1"/>
  <c r="AC274" i="3"/>
  <c r="AD274" i="3" s="1"/>
  <c r="AC275" i="3"/>
  <c r="AC276" i="3"/>
  <c r="AD276" i="3" s="1"/>
  <c r="AC277" i="3"/>
  <c r="AD277" i="3" s="1"/>
  <c r="AC278" i="3"/>
  <c r="AC279" i="3"/>
  <c r="AD279" i="3" s="1"/>
  <c r="AC280" i="3"/>
  <c r="AD280" i="3" s="1"/>
  <c r="AC281" i="3"/>
  <c r="AD281" i="3" s="1"/>
  <c r="AC282" i="3"/>
  <c r="AD282" i="3" s="1"/>
  <c r="AC283" i="3"/>
  <c r="AC284" i="3"/>
  <c r="AC285" i="3"/>
  <c r="AD285" i="3" s="1"/>
  <c r="AC286" i="3"/>
  <c r="AD286" i="3" s="1"/>
  <c r="AC287" i="3"/>
  <c r="AD287" i="3" s="1"/>
  <c r="AC288" i="3"/>
  <c r="AD288" i="3" s="1"/>
  <c r="AC289" i="3"/>
  <c r="AD289" i="3" s="1"/>
  <c r="AC290" i="3"/>
  <c r="AD290" i="3" s="1"/>
  <c r="AC291" i="3"/>
  <c r="AC292" i="3"/>
  <c r="AD292" i="3" s="1"/>
  <c r="AC293" i="3"/>
  <c r="AC294" i="3"/>
  <c r="AD294" i="3" s="1"/>
  <c r="AC295" i="3"/>
  <c r="AD295" i="3" s="1"/>
  <c r="AC296" i="3"/>
  <c r="AD296" i="3" s="1"/>
  <c r="AC297" i="3"/>
  <c r="AD297" i="3" s="1"/>
  <c r="AC298" i="3"/>
  <c r="AD298" i="3" s="1"/>
  <c r="AC299" i="3"/>
  <c r="AC300" i="3"/>
  <c r="AD300" i="3" s="1"/>
  <c r="AC301" i="3"/>
  <c r="AD301" i="3" s="1"/>
  <c r="AC302" i="3"/>
  <c r="AD302" i="3" s="1"/>
  <c r="AC303" i="3"/>
  <c r="AD303" i="3" s="1"/>
  <c r="AC304" i="3"/>
  <c r="AD304" i="3" s="1"/>
  <c r="AC305" i="3"/>
  <c r="AD305" i="3" s="1"/>
  <c r="AC306" i="3"/>
  <c r="AD306" i="3" s="1"/>
  <c r="AC307" i="3"/>
  <c r="AC308" i="3"/>
  <c r="AD308" i="3" s="1"/>
  <c r="AC309" i="3"/>
  <c r="AD309" i="3" s="1"/>
  <c r="AC310" i="3"/>
  <c r="AC311" i="3"/>
  <c r="AD311" i="3" s="1"/>
  <c r="AC312" i="3"/>
  <c r="AD312" i="3" s="1"/>
  <c r="AC313" i="3"/>
  <c r="AD313" i="3" s="1"/>
  <c r="AC314" i="3"/>
  <c r="AD314" i="3" s="1"/>
  <c r="AC315" i="3"/>
  <c r="AC316" i="3"/>
  <c r="AC317" i="3"/>
  <c r="AC318" i="3"/>
  <c r="AD318" i="3" s="1"/>
  <c r="AC319" i="3"/>
  <c r="AD319" i="3" s="1"/>
  <c r="AC320" i="3"/>
  <c r="AD320" i="3" s="1"/>
  <c r="AC321" i="3"/>
  <c r="AD321" i="3" s="1"/>
  <c r="AC322" i="3"/>
  <c r="AD322" i="3" s="1"/>
  <c r="AC323" i="3"/>
  <c r="AC324" i="3"/>
  <c r="AD324" i="3" s="1"/>
  <c r="AC325" i="3"/>
  <c r="AD325" i="3" s="1"/>
  <c r="AC326" i="3"/>
  <c r="AD326" i="3" s="1"/>
  <c r="AC327" i="3"/>
  <c r="AD327" i="3" s="1"/>
  <c r="AC328" i="3"/>
  <c r="AD328" i="3" s="1"/>
  <c r="AC329" i="3"/>
  <c r="AD329" i="3" s="1"/>
  <c r="AC330" i="3"/>
  <c r="AD330" i="3" s="1"/>
  <c r="AC331" i="3"/>
  <c r="AC332" i="3"/>
  <c r="AD332" i="3" s="1"/>
  <c r="AC333" i="3"/>
  <c r="AD333" i="3" s="1"/>
  <c r="AC334" i="3"/>
  <c r="AC335" i="3"/>
  <c r="AD335" i="3" s="1"/>
  <c r="AC336" i="3"/>
  <c r="AD336" i="3" s="1"/>
  <c r="AC337" i="3"/>
  <c r="AD337" i="3" s="1"/>
  <c r="AC338" i="3"/>
  <c r="AD338" i="3" s="1"/>
  <c r="AC339" i="3"/>
  <c r="AC340" i="3"/>
  <c r="AD340" i="3" s="1"/>
  <c r="AC341" i="3"/>
  <c r="AC342" i="3"/>
  <c r="AD342" i="3" s="1"/>
  <c r="AC343" i="3"/>
  <c r="AD343" i="3" s="1"/>
  <c r="AC344" i="3"/>
  <c r="AD344" i="3" s="1"/>
  <c r="AC345" i="3"/>
  <c r="AD345" i="3" s="1"/>
  <c r="AC346" i="3"/>
  <c r="AD346" i="3" s="1"/>
  <c r="AC347" i="3"/>
  <c r="AC348" i="3"/>
  <c r="AC349" i="3"/>
  <c r="AD349" i="3" s="1"/>
  <c r="AC350" i="3"/>
  <c r="AC351" i="3"/>
  <c r="AD351" i="3" s="1"/>
  <c r="AC352" i="3"/>
  <c r="AD352" i="3" s="1"/>
  <c r="AC353" i="3"/>
  <c r="AD353" i="3" s="1"/>
  <c r="AC354" i="3"/>
  <c r="AD354" i="3" s="1"/>
  <c r="AC355" i="3"/>
  <c r="AC356" i="3"/>
  <c r="AD356" i="3" s="1"/>
  <c r="AC357" i="3"/>
  <c r="AD357" i="3" s="1"/>
  <c r="AC358" i="3"/>
  <c r="AD358" i="3" s="1"/>
  <c r="AC359" i="3"/>
  <c r="AD359" i="3" s="1"/>
  <c r="AC360" i="3"/>
  <c r="AD360" i="3" s="1"/>
  <c r="AC361" i="3"/>
  <c r="AD361" i="3" s="1"/>
  <c r="AC362" i="3"/>
  <c r="AD362" i="3" s="1"/>
  <c r="AC363" i="3"/>
  <c r="AC364" i="3"/>
  <c r="AD364" i="3" s="1"/>
  <c r="AC365" i="3"/>
  <c r="AC366" i="3"/>
  <c r="AD366" i="3" s="1"/>
  <c r="AC367" i="3"/>
  <c r="AD367" i="3" s="1"/>
  <c r="AC368" i="3"/>
  <c r="AD368" i="3" s="1"/>
  <c r="AC369" i="3"/>
  <c r="AD369" i="3" s="1"/>
  <c r="AC370" i="3"/>
  <c r="AD370" i="3" s="1"/>
  <c r="AC371" i="3"/>
  <c r="AC372" i="3"/>
  <c r="AD372" i="3" s="1"/>
  <c r="AC373" i="3"/>
  <c r="AD373" i="3" s="1"/>
  <c r="AC374" i="3"/>
  <c r="AD374" i="3" s="1"/>
  <c r="AC375" i="3"/>
  <c r="AD375" i="3" s="1"/>
  <c r="AC376" i="3"/>
  <c r="AD376" i="3" s="1"/>
  <c r="AC377" i="3"/>
  <c r="AD377" i="3" s="1"/>
  <c r="AC378" i="3"/>
  <c r="AD378" i="3" s="1"/>
  <c r="AC379" i="3"/>
  <c r="AC380" i="3"/>
  <c r="AC381" i="3"/>
  <c r="AD381" i="3" s="1"/>
  <c r="AC382" i="3"/>
  <c r="AD382" i="3" s="1"/>
  <c r="AC383" i="3"/>
  <c r="AD383" i="3" s="1"/>
  <c r="AC384" i="3"/>
  <c r="AD384" i="3" s="1"/>
  <c r="AC385" i="3"/>
  <c r="AD385" i="3" s="1"/>
  <c r="AC386" i="3"/>
  <c r="AD386" i="3" s="1"/>
  <c r="AC387" i="3"/>
  <c r="AC388" i="3"/>
  <c r="AD388" i="3" s="1"/>
  <c r="AC389" i="3"/>
  <c r="AD389" i="3" s="1"/>
  <c r="AC390" i="3"/>
  <c r="AC391" i="3"/>
  <c r="AD391" i="3" s="1"/>
  <c r="AC392" i="3"/>
  <c r="AD392" i="3" s="1"/>
  <c r="AC393" i="3"/>
  <c r="AD393" i="3" s="1"/>
  <c r="AC394" i="3"/>
  <c r="AD394" i="3" s="1"/>
  <c r="AC395" i="3"/>
  <c r="AC396" i="3"/>
  <c r="AD396" i="3" s="1"/>
  <c r="AC397" i="3"/>
  <c r="AD397" i="3" s="1"/>
  <c r="AC398" i="3"/>
  <c r="AD398" i="3" s="1"/>
  <c r="AC399" i="3"/>
  <c r="AD399" i="3" s="1"/>
  <c r="AC400" i="3"/>
  <c r="AD400" i="3" s="1"/>
  <c r="AC401" i="3"/>
  <c r="AD401" i="3" s="1"/>
  <c r="AC402" i="3"/>
  <c r="AD402" i="3" s="1"/>
  <c r="AC403" i="3"/>
  <c r="AD403" i="3" s="1"/>
  <c r="AC404" i="3"/>
  <c r="AD404" i="3" s="1"/>
  <c r="AC405" i="3"/>
  <c r="AD405" i="3" s="1"/>
  <c r="AC406" i="3"/>
  <c r="AD406" i="3" s="1"/>
  <c r="AC407" i="3"/>
  <c r="AD407" i="3" s="1"/>
  <c r="AC408" i="3"/>
  <c r="AD408" i="3" s="1"/>
  <c r="AC409" i="3"/>
  <c r="AD409" i="3" s="1"/>
  <c r="AC410" i="3"/>
  <c r="AD410" i="3" s="1"/>
  <c r="AC411" i="3"/>
  <c r="AD411" i="3" s="1"/>
  <c r="AC412" i="3"/>
  <c r="AD412" i="3" s="1"/>
  <c r="AC413" i="3"/>
  <c r="AD413" i="3" s="1"/>
  <c r="AC414" i="3"/>
  <c r="AD414" i="3" s="1"/>
  <c r="AC415" i="3"/>
  <c r="AD415" i="3" s="1"/>
  <c r="AC416" i="3"/>
  <c r="AD416" i="3" s="1"/>
  <c r="AC417" i="3"/>
  <c r="AD417" i="3" s="1"/>
  <c r="AC418" i="3"/>
  <c r="AD418" i="3" s="1"/>
  <c r="AC419" i="3"/>
  <c r="AD419" i="3" s="1"/>
  <c r="AC420" i="3"/>
  <c r="AC421" i="3"/>
  <c r="AD421" i="3" s="1"/>
  <c r="AC422" i="3"/>
  <c r="AD422" i="3" s="1"/>
  <c r="AC423" i="3"/>
  <c r="AD423" i="3" s="1"/>
  <c r="AC424" i="3"/>
  <c r="AD424" i="3" s="1"/>
  <c r="AC425" i="3"/>
  <c r="AD425" i="3" s="1"/>
  <c r="AC426" i="3"/>
  <c r="AD426" i="3" s="1"/>
  <c r="AC427" i="3"/>
  <c r="AD427" i="3" s="1"/>
  <c r="AC428" i="3"/>
  <c r="AC429" i="3"/>
  <c r="AC430" i="3"/>
  <c r="AD430" i="3" s="1"/>
  <c r="AC431" i="3"/>
  <c r="AD431" i="3" s="1"/>
  <c r="AC432" i="3"/>
  <c r="AD432" i="3" s="1"/>
  <c r="AC433" i="3"/>
  <c r="AD433" i="3" s="1"/>
  <c r="AC434" i="3"/>
  <c r="AD434" i="3" s="1"/>
  <c r="AC435" i="3"/>
  <c r="AD435" i="3" s="1"/>
  <c r="AC436" i="3"/>
  <c r="AD436" i="3" s="1"/>
  <c r="AC437" i="3"/>
  <c r="AC438" i="3"/>
  <c r="AC439" i="3"/>
  <c r="AD439" i="3" s="1"/>
  <c r="AC440" i="3"/>
  <c r="AD440" i="3" s="1"/>
  <c r="AC441" i="3"/>
  <c r="AD441" i="3" s="1"/>
  <c r="AC442" i="3"/>
  <c r="AD442" i="3" s="1"/>
  <c r="AC443" i="3"/>
  <c r="AD443" i="3" s="1"/>
  <c r="AC444" i="3"/>
  <c r="AD444" i="3" s="1"/>
  <c r="AC445" i="3"/>
  <c r="AD445" i="3" s="1"/>
  <c r="AC446" i="3"/>
  <c r="AD446" i="3" s="1"/>
  <c r="AC447" i="3"/>
  <c r="AD447" i="3" s="1"/>
  <c r="AC448" i="3"/>
  <c r="AD448" i="3" s="1"/>
  <c r="AC449" i="3"/>
  <c r="AD449" i="3" s="1"/>
  <c r="AC450" i="3"/>
  <c r="AD450" i="3" s="1"/>
  <c r="AC451" i="3"/>
  <c r="AD451" i="3" s="1"/>
  <c r="AC452" i="3"/>
  <c r="AD452" i="3" s="1"/>
  <c r="AC453" i="3"/>
  <c r="AD453" i="3" s="1"/>
  <c r="AC454" i="3"/>
  <c r="AD454" i="3" s="1"/>
  <c r="AC455" i="3"/>
  <c r="AD455" i="3" s="1"/>
  <c r="AC456" i="3"/>
  <c r="AD456" i="3" s="1"/>
  <c r="AC457" i="3"/>
  <c r="AD457" i="3" s="1"/>
  <c r="AC458" i="3"/>
  <c r="AD458" i="3" s="1"/>
  <c r="AC459" i="3"/>
  <c r="AD459" i="3" s="1"/>
  <c r="AC460" i="3"/>
  <c r="AD460" i="3" s="1"/>
  <c r="AC461" i="3"/>
  <c r="AD461" i="3" s="1"/>
  <c r="AC462" i="3"/>
  <c r="AD462" i="3" s="1"/>
  <c r="AC463" i="3"/>
  <c r="AD463" i="3" s="1"/>
  <c r="AC464" i="3"/>
  <c r="AD464" i="3" s="1"/>
  <c r="AC465" i="3"/>
  <c r="AD465" i="3" s="1"/>
  <c r="AC466" i="3"/>
  <c r="AD466" i="3" s="1"/>
  <c r="AC467" i="3"/>
  <c r="AD467" i="3" s="1"/>
  <c r="AC468" i="3"/>
  <c r="AD468" i="3" s="1"/>
  <c r="AC469" i="3"/>
  <c r="AD469" i="3" s="1"/>
  <c r="AC470" i="3"/>
  <c r="AD470" i="3" s="1"/>
  <c r="AC471" i="3"/>
  <c r="AD471" i="3" s="1"/>
  <c r="AC472" i="3"/>
  <c r="AD472" i="3" s="1"/>
  <c r="AC473" i="3"/>
  <c r="AD473" i="3" s="1"/>
  <c r="AC474" i="3"/>
  <c r="AD474" i="3" s="1"/>
  <c r="AC475" i="3"/>
  <c r="AD475" i="3" s="1"/>
  <c r="AC476" i="3"/>
  <c r="AD476" i="3" s="1"/>
  <c r="AC477" i="3"/>
  <c r="AD477" i="3" s="1"/>
  <c r="AC478" i="3"/>
  <c r="AD478" i="3" s="1"/>
  <c r="AC479" i="3"/>
  <c r="AD479" i="3" s="1"/>
  <c r="AC480" i="3"/>
  <c r="AD480" i="3" s="1"/>
  <c r="AC481" i="3"/>
  <c r="AD481" i="3" s="1"/>
  <c r="AC482" i="3"/>
  <c r="AD482" i="3" s="1"/>
  <c r="AC483" i="3"/>
  <c r="AD483" i="3" s="1"/>
  <c r="AC484" i="3"/>
  <c r="AC485" i="3"/>
  <c r="AC486" i="3"/>
  <c r="AD486" i="3" s="1"/>
  <c r="AC487" i="3"/>
  <c r="AD487" i="3" s="1"/>
  <c r="AC488" i="3"/>
  <c r="AD488" i="3" s="1"/>
  <c r="AC489" i="3"/>
  <c r="AD489" i="3" s="1"/>
  <c r="AC490" i="3"/>
  <c r="AD490" i="3" s="1"/>
  <c r="AC491" i="3"/>
  <c r="AD491" i="3" s="1"/>
  <c r="AC492" i="3"/>
  <c r="AD492" i="3" s="1"/>
  <c r="AC493" i="3"/>
  <c r="AD493" i="3" s="1"/>
  <c r="AC494" i="3"/>
  <c r="AC495" i="3"/>
  <c r="AD495" i="3" s="1"/>
  <c r="AC496" i="3"/>
  <c r="AD496" i="3" s="1"/>
  <c r="AC497" i="3"/>
  <c r="AD497" i="3" s="1"/>
  <c r="AC498" i="3"/>
  <c r="AD498" i="3" s="1"/>
  <c r="AC499" i="3"/>
  <c r="AD499" i="3" s="1"/>
  <c r="AC500" i="3"/>
  <c r="AD500" i="3" s="1"/>
  <c r="AC501" i="3"/>
  <c r="AD501" i="3" s="1"/>
  <c r="AC502" i="3"/>
  <c r="AD502" i="3" s="1"/>
  <c r="AC503" i="3"/>
  <c r="AD503" i="3" s="1"/>
  <c r="AC504" i="3"/>
  <c r="AD504" i="3" s="1"/>
  <c r="AC505" i="3"/>
  <c r="AD505" i="3" s="1"/>
  <c r="AC506" i="3"/>
  <c r="AD506" i="3" s="1"/>
  <c r="AC507" i="3"/>
  <c r="AD507" i="3" s="1"/>
  <c r="AC508" i="3"/>
  <c r="AD508" i="3" s="1"/>
  <c r="AC509" i="3"/>
  <c r="AD509" i="3" s="1"/>
  <c r="AC510" i="3"/>
  <c r="AD510" i="3" s="1"/>
  <c r="AC511" i="3"/>
  <c r="AD511" i="3" s="1"/>
  <c r="AC512" i="3"/>
  <c r="AD512" i="3" s="1"/>
  <c r="AC513" i="3"/>
  <c r="AD513" i="3" s="1"/>
  <c r="AC514" i="3"/>
  <c r="AD514" i="3" s="1"/>
  <c r="AC515" i="3"/>
  <c r="AD515" i="3" s="1"/>
  <c r="AC516" i="3"/>
  <c r="AD516" i="3" s="1"/>
  <c r="AC517" i="3"/>
  <c r="AD517" i="3" s="1"/>
  <c r="AC518" i="3"/>
  <c r="AD518" i="3" s="1"/>
  <c r="AC519" i="3"/>
  <c r="AD519" i="3" s="1"/>
  <c r="AC520" i="3"/>
  <c r="AD520" i="3" s="1"/>
  <c r="AC521" i="3"/>
  <c r="AD521" i="3" s="1"/>
  <c r="AC522" i="3"/>
  <c r="AD522" i="3" s="1"/>
  <c r="AC523" i="3"/>
  <c r="AD523" i="3" s="1"/>
  <c r="AC524" i="3"/>
  <c r="AD524" i="3" s="1"/>
  <c r="AC525" i="3"/>
  <c r="AD525" i="3" s="1"/>
  <c r="AC526" i="3"/>
  <c r="AD526" i="3" s="1"/>
  <c r="AC527" i="3"/>
  <c r="AD527" i="3" s="1"/>
  <c r="AC528" i="3"/>
  <c r="AD528" i="3" s="1"/>
  <c r="AC529" i="3"/>
  <c r="AD529" i="3" s="1"/>
  <c r="AC530" i="3"/>
  <c r="AD530" i="3" s="1"/>
  <c r="AC531" i="3"/>
  <c r="AD531" i="3" s="1"/>
  <c r="AC532" i="3"/>
  <c r="AD532" i="3" s="1"/>
  <c r="AC533" i="3"/>
  <c r="AC534" i="3"/>
  <c r="AD534" i="3" s="1"/>
  <c r="AC535" i="3"/>
  <c r="AD535" i="3" s="1"/>
  <c r="AC536" i="3"/>
  <c r="AD536" i="3" s="1"/>
  <c r="AC537" i="3"/>
  <c r="AD537" i="3" s="1"/>
  <c r="AC538" i="3"/>
  <c r="AD538" i="3" s="1"/>
  <c r="AC539" i="3"/>
  <c r="AD539" i="3" s="1"/>
  <c r="AC540" i="3"/>
  <c r="AD540" i="3" s="1"/>
  <c r="AC541" i="3"/>
  <c r="AD541" i="3" s="1"/>
  <c r="AC542" i="3"/>
  <c r="AD542" i="3" s="1"/>
  <c r="AC543" i="3"/>
  <c r="AD543" i="3" s="1"/>
  <c r="AC544" i="3"/>
  <c r="AD544" i="3" s="1"/>
  <c r="AC545" i="3"/>
  <c r="AD545" i="3" s="1"/>
  <c r="AC546" i="3"/>
  <c r="AD546" i="3" s="1"/>
  <c r="AC547" i="3"/>
  <c r="AD547" i="3" s="1"/>
  <c r="AC548" i="3"/>
  <c r="AD548" i="3" s="1"/>
  <c r="AC549" i="3"/>
  <c r="AD549" i="3" s="1"/>
  <c r="AC550" i="3"/>
  <c r="AD550" i="3" s="1"/>
  <c r="AC551" i="3"/>
  <c r="AD551" i="3" s="1"/>
  <c r="AC552" i="3"/>
  <c r="AD552" i="3" s="1"/>
  <c r="AC553" i="3"/>
  <c r="AD553" i="3" s="1"/>
  <c r="AC554" i="3"/>
  <c r="AD554" i="3" s="1"/>
  <c r="AC555" i="3"/>
  <c r="AD555" i="3" s="1"/>
  <c r="AC556" i="3"/>
  <c r="AC557" i="3"/>
  <c r="AD557" i="3" s="1"/>
  <c r="AC558" i="3"/>
  <c r="AD558" i="3" s="1"/>
  <c r="AC559" i="3"/>
  <c r="AD559" i="3" s="1"/>
  <c r="AC560" i="3"/>
  <c r="AD560" i="3" s="1"/>
  <c r="AC561" i="3"/>
  <c r="AD561" i="3" s="1"/>
  <c r="AC562" i="3"/>
  <c r="AD562" i="3" s="1"/>
  <c r="AC563" i="3"/>
  <c r="AD563" i="3" s="1"/>
  <c r="AC564" i="3"/>
  <c r="AD564" i="3" s="1"/>
  <c r="AC565" i="3"/>
  <c r="AD565" i="3" s="1"/>
  <c r="AC566" i="3"/>
  <c r="AD566" i="3" s="1"/>
  <c r="AC567" i="3"/>
  <c r="AD567" i="3" s="1"/>
  <c r="AC568" i="3"/>
  <c r="AD568" i="3" s="1"/>
  <c r="AC569" i="3"/>
  <c r="AD569" i="3" s="1"/>
  <c r="AC570" i="3"/>
  <c r="AD570" i="3" s="1"/>
  <c r="AC571" i="3"/>
  <c r="AD571" i="3" s="1"/>
  <c r="AC572" i="3"/>
  <c r="AD572" i="3" s="1"/>
  <c r="AC573" i="3"/>
  <c r="AD573" i="3" s="1"/>
  <c r="AC574" i="3"/>
  <c r="AD574" i="3" s="1"/>
  <c r="AC575" i="3"/>
  <c r="AD575" i="3" s="1"/>
  <c r="AC576" i="3"/>
  <c r="AD576" i="3" s="1"/>
  <c r="AC577" i="3"/>
  <c r="AD577" i="3" s="1"/>
  <c r="AC578" i="3"/>
  <c r="AD578" i="3" s="1"/>
  <c r="AC579" i="3"/>
  <c r="AD579" i="3" s="1"/>
  <c r="AC580" i="3"/>
  <c r="AD580" i="3" s="1"/>
  <c r="AC581" i="3"/>
  <c r="AD581" i="3" s="1"/>
  <c r="AC582" i="3"/>
  <c r="AD582" i="3" s="1"/>
  <c r="AC583" i="3"/>
  <c r="AD583" i="3" s="1"/>
  <c r="AC584" i="3"/>
  <c r="AD584" i="3" s="1"/>
  <c r="AC585" i="3"/>
  <c r="AD585" i="3" s="1"/>
  <c r="AC586" i="3"/>
  <c r="AD586" i="3" s="1"/>
  <c r="AC587" i="3"/>
  <c r="AD587" i="3" s="1"/>
  <c r="AC588" i="3"/>
  <c r="AD588" i="3" s="1"/>
  <c r="AC589" i="3"/>
  <c r="AC590" i="3"/>
  <c r="AD590" i="3" s="1"/>
  <c r="AC591" i="3"/>
  <c r="AD591" i="3" s="1"/>
  <c r="AC592" i="3"/>
  <c r="AD592" i="3" s="1"/>
  <c r="AC593" i="3"/>
  <c r="AD593" i="3" s="1"/>
  <c r="AC594" i="3"/>
  <c r="AD594" i="3" s="1"/>
  <c r="AC595" i="3"/>
  <c r="AD595" i="3" s="1"/>
  <c r="AC596" i="3"/>
  <c r="AD596" i="3" s="1"/>
  <c r="AC597" i="3"/>
  <c r="AD597" i="3" s="1"/>
  <c r="AC598" i="3"/>
  <c r="AD598" i="3" s="1"/>
  <c r="AC599" i="3"/>
  <c r="AD599" i="3" s="1"/>
  <c r="AC600" i="3"/>
  <c r="AD600" i="3" s="1"/>
  <c r="AC601" i="3"/>
  <c r="AD601" i="3" s="1"/>
  <c r="AC602" i="3"/>
  <c r="AD602" i="3" s="1"/>
  <c r="AC603" i="3"/>
  <c r="AD603" i="3" s="1"/>
  <c r="AC604" i="3"/>
  <c r="AD604" i="3" s="1"/>
  <c r="AC605" i="3"/>
  <c r="AD605" i="3" s="1"/>
  <c r="AC606" i="3"/>
  <c r="AD606" i="3" s="1"/>
  <c r="AC607" i="3"/>
  <c r="AD607" i="3" s="1"/>
  <c r="AC608" i="3"/>
  <c r="AD608" i="3" s="1"/>
  <c r="AC609" i="3"/>
  <c r="AD609" i="3" s="1"/>
  <c r="AC610" i="3"/>
  <c r="AD610" i="3" s="1"/>
  <c r="AC611" i="3"/>
  <c r="AD611" i="3" s="1"/>
  <c r="AC612" i="3"/>
  <c r="AD612" i="3" s="1"/>
  <c r="AC613" i="3"/>
  <c r="AD613" i="3" s="1"/>
  <c r="AC614" i="3"/>
  <c r="AD614" i="3" s="1"/>
  <c r="AC615" i="3"/>
  <c r="AD615" i="3" s="1"/>
  <c r="AC616" i="3"/>
  <c r="AD616" i="3" s="1"/>
  <c r="AC617" i="3"/>
  <c r="AD617" i="3" s="1"/>
  <c r="AC618" i="3"/>
  <c r="AD618" i="3" s="1"/>
  <c r="AC619" i="3"/>
  <c r="AD619" i="3" s="1"/>
  <c r="AC620" i="3"/>
  <c r="AD620" i="3" s="1"/>
  <c r="AC621" i="3"/>
  <c r="AD621" i="3" s="1"/>
  <c r="AC622" i="3"/>
  <c r="AD622" i="3" s="1"/>
  <c r="AC623" i="3"/>
  <c r="AD623" i="3" s="1"/>
  <c r="AC624" i="3"/>
  <c r="AD624" i="3" s="1"/>
  <c r="AC625" i="3"/>
  <c r="AD625" i="3" s="1"/>
  <c r="AC626" i="3"/>
  <c r="AD626" i="3" s="1"/>
  <c r="AC627" i="3"/>
  <c r="AD627" i="3" s="1"/>
  <c r="AC628" i="3"/>
  <c r="AD628" i="3" s="1"/>
  <c r="AC629" i="3"/>
  <c r="AD629" i="3" s="1"/>
  <c r="AC630" i="3"/>
  <c r="AD630" i="3" s="1"/>
  <c r="AC631" i="3"/>
  <c r="AD631" i="3" s="1"/>
  <c r="AC632" i="3"/>
  <c r="AD632" i="3" s="1"/>
  <c r="AC633" i="3"/>
  <c r="AD633" i="3" s="1"/>
  <c r="AC2" i="3"/>
  <c r="AD2" i="3" s="1"/>
  <c r="AD589" i="3"/>
  <c r="AD556" i="3"/>
  <c r="AD533" i="3"/>
  <c r="AD494" i="3"/>
  <c r="AD485" i="3"/>
  <c r="AD484" i="3"/>
  <c r="AD438" i="3"/>
  <c r="AD437" i="3"/>
  <c r="AD429" i="3"/>
  <c r="AD428" i="3"/>
  <c r="AD420" i="3"/>
  <c r="AD395" i="3"/>
  <c r="AD390" i="3"/>
  <c r="AD387" i="3"/>
  <c r="AD380" i="3"/>
  <c r="AD379" i="3"/>
  <c r="AD371" i="3"/>
  <c r="AD365" i="3"/>
  <c r="AD363" i="3"/>
  <c r="AD355" i="3"/>
  <c r="AD350" i="3"/>
  <c r="AD348" i="3"/>
  <c r="AD347" i="3"/>
  <c r="AD341" i="3"/>
  <c r="AD339" i="3"/>
  <c r="AD334" i="3"/>
  <c r="AD331" i="3"/>
  <c r="AD323" i="3"/>
  <c r="AD317" i="3"/>
  <c r="AD316" i="3"/>
  <c r="AD315" i="3"/>
  <c r="AD310" i="3"/>
  <c r="AD307" i="3"/>
  <c r="AD299" i="3"/>
  <c r="AD293" i="3"/>
  <c r="AD291" i="3"/>
  <c r="AD284" i="3"/>
  <c r="AD283" i="3"/>
  <c r="AD278" i="3"/>
  <c r="AD275" i="3"/>
  <c r="AD270" i="3"/>
  <c r="AD267" i="3"/>
  <c r="AD259" i="3"/>
  <c r="AD252" i="3"/>
  <c r="AD251" i="3"/>
  <c r="AD245" i="3"/>
  <c r="AD243" i="3"/>
  <c r="AD238" i="3"/>
  <c r="AD235" i="3"/>
  <c r="AD230" i="3"/>
  <c r="AD227" i="3"/>
  <c r="AD221" i="3"/>
  <c r="AD220" i="3"/>
  <c r="AD219" i="3"/>
  <c r="AD211" i="3"/>
  <c r="AD203" i="3"/>
  <c r="AD197" i="3"/>
  <c r="AD195" i="3"/>
  <c r="AD188" i="3"/>
  <c r="AD187" i="3"/>
  <c r="AD179" i="3"/>
  <c r="AD171" i="3"/>
  <c r="AD165" i="3"/>
  <c r="AD163" i="3"/>
  <c r="AD156" i="3"/>
  <c r="AD155" i="3"/>
  <c r="AD147" i="3"/>
  <c r="AD141" i="3"/>
  <c r="AD139" i="3"/>
  <c r="AD131" i="3"/>
  <c r="AD124" i="3"/>
  <c r="AD123" i="3"/>
  <c r="AD118" i="3"/>
  <c r="AD117" i="3"/>
  <c r="AD115" i="3"/>
  <c r="AD107" i="3"/>
  <c r="AD99" i="3"/>
  <c r="AD92" i="3"/>
  <c r="AD91" i="3"/>
  <c r="AD83" i="3"/>
  <c r="AD75" i="3"/>
  <c r="AD70" i="3"/>
  <c r="AD67" i="3"/>
  <c r="AD62" i="3"/>
  <c r="AD60" i="3"/>
  <c r="AD59" i="3"/>
  <c r="AD51" i="3"/>
  <c r="AD43" i="3"/>
  <c r="AD37" i="3"/>
  <c r="AD35" i="3"/>
  <c r="AD30" i="3"/>
  <c r="AD28" i="3"/>
  <c r="AD27" i="3"/>
  <c r="AD19" i="3"/>
  <c r="AD13" i="3"/>
  <c r="AD11" i="3"/>
  <c r="AD3"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2" i="3"/>
  <c r="T507" i="32" l="1"/>
  <c r="Y9" i="32"/>
  <c r="Z9" i="32" s="1"/>
  <c r="AA9" i="32" s="1"/>
  <c r="T2" i="32"/>
  <c r="Y10" i="32" s="1"/>
  <c r="Z10" i="32" s="1"/>
  <c r="AA10" i="32" s="1"/>
  <c r="F178" i="13"/>
  <c r="G178" i="13" s="1"/>
  <c r="D179" i="13"/>
  <c r="D180" i="13" s="1"/>
  <c r="D181" i="13" s="1"/>
  <c r="D182" i="13" s="1"/>
  <c r="D183" i="13" s="1"/>
  <c r="D184" i="13" s="1"/>
  <c r="D185" i="13" s="1"/>
  <c r="D186" i="13" s="1"/>
  <c r="D187" i="13" s="1"/>
  <c r="D188" i="13" s="1"/>
  <c r="D189" i="13" s="1"/>
  <c r="D190" i="13" s="1"/>
  <c r="D191" i="13" s="1"/>
  <c r="D192" i="13" s="1"/>
  <c r="D193" i="13" s="1"/>
  <c r="D194" i="13" s="1"/>
  <c r="D195" i="13" s="1"/>
  <c r="D196" i="13" s="1"/>
  <c r="D197" i="13" s="1"/>
  <c r="D198" i="13" s="1"/>
  <c r="D199" i="13" s="1"/>
  <c r="D200" i="13" s="1"/>
  <c r="D201" i="13" s="1"/>
  <c r="D202" i="13" s="1"/>
  <c r="D203" i="13" s="1"/>
  <c r="D204" i="13" s="1"/>
  <c r="D205" i="13" s="1"/>
  <c r="D206" i="13" s="1"/>
  <c r="D207" i="13" s="1"/>
  <c r="D208" i="13" s="1"/>
  <c r="D209" i="13" s="1"/>
  <c r="D210" i="13" s="1"/>
  <c r="D211" i="13" s="1"/>
  <c r="D212" i="13" s="1"/>
  <c r="D213" i="13" s="1"/>
  <c r="D214" i="13" s="1"/>
  <c r="D215" i="13" s="1"/>
  <c r="D216" i="13" s="1"/>
  <c r="D217" i="13" s="1"/>
  <c r="D218" i="13" s="1"/>
  <c r="D219" i="13" s="1"/>
  <c r="D220" i="13" s="1"/>
  <c r="D221" i="13" s="1"/>
  <c r="D222" i="13" s="1"/>
  <c r="D223" i="13" s="1"/>
  <c r="D224" i="13" s="1"/>
  <c r="D225" i="13" s="1"/>
  <c r="D226" i="13" s="1"/>
  <c r="D227" i="13" s="1"/>
  <c r="D228" i="13" s="1"/>
  <c r="D229" i="13" s="1"/>
  <c r="D230" i="13" s="1"/>
  <c r="D231" i="13" s="1"/>
  <c r="D232" i="13" s="1"/>
  <c r="D233" i="13" s="1"/>
  <c r="D234" i="13" s="1"/>
  <c r="D235" i="13" s="1"/>
  <c r="D236" i="13" s="1"/>
  <c r="D237" i="13" s="1"/>
  <c r="D238" i="13" s="1"/>
  <c r="D239" i="13" s="1"/>
  <c r="D240" i="13" s="1"/>
  <c r="D241" i="13" s="1"/>
  <c r="D242" i="13" s="1"/>
  <c r="D243" i="13" s="1"/>
  <c r="D244" i="13" s="1"/>
  <c r="D245" i="13" s="1"/>
  <c r="D246" i="13" s="1"/>
  <c r="D247" i="13" s="1"/>
  <c r="D248" i="13" s="1"/>
  <c r="D249" i="13" s="1"/>
  <c r="D250" i="13" s="1"/>
  <c r="D251" i="13" s="1"/>
  <c r="D252" i="13" s="1"/>
  <c r="D253" i="13" s="1"/>
  <c r="D254" i="13" s="1"/>
  <c r="D255" i="13" s="1"/>
  <c r="D256" i="13" s="1"/>
  <c r="D257" i="13" s="1"/>
  <c r="D258" i="13" s="1"/>
  <c r="D259" i="13" s="1"/>
  <c r="D260" i="13" s="1"/>
  <c r="D261" i="13" s="1"/>
  <c r="D262" i="13" s="1"/>
  <c r="D263" i="13" s="1"/>
  <c r="D264" i="13" s="1"/>
  <c r="D265" i="13" s="1"/>
  <c r="D266" i="13" s="1"/>
  <c r="D267" i="13" s="1"/>
  <c r="D268" i="13" s="1"/>
  <c r="D269" i="13" s="1"/>
  <c r="D270" i="13" s="1"/>
  <c r="D271" i="13" s="1"/>
  <c r="D272" i="13" s="1"/>
  <c r="D273" i="13" s="1"/>
  <c r="D274" i="13" s="1"/>
  <c r="D275" i="13" s="1"/>
  <c r="D276" i="13" s="1"/>
  <c r="D277" i="13" s="1"/>
  <c r="D278" i="13" s="1"/>
  <c r="D279" i="13" s="1"/>
  <c r="D280" i="13" s="1"/>
  <c r="D281" i="13" s="1"/>
  <c r="D282" i="13" s="1"/>
  <c r="D283" i="13" s="1"/>
  <c r="D284" i="13" s="1"/>
  <c r="D285" i="13" s="1"/>
  <c r="D286" i="13" s="1"/>
  <c r="D287" i="13" s="1"/>
  <c r="D288" i="13" s="1"/>
  <c r="D289" i="13" s="1"/>
  <c r="D290" i="13" s="1"/>
  <c r="D291" i="13" s="1"/>
  <c r="D292" i="13" s="1"/>
  <c r="D293" i="13" s="1"/>
  <c r="D294" i="13" s="1"/>
  <c r="D295" i="13" s="1"/>
  <c r="D296" i="13" s="1"/>
  <c r="D297" i="13" s="1"/>
  <c r="D298" i="13" s="1"/>
  <c r="D299" i="13" s="1"/>
  <c r="D300" i="13" s="1"/>
  <c r="D301" i="13" s="1"/>
  <c r="D302" i="13" s="1"/>
  <c r="D303" i="13" s="1"/>
  <c r="D304" i="13" s="1"/>
  <c r="D305" i="13" s="1"/>
  <c r="D306" i="13" s="1"/>
  <c r="D307" i="13" s="1"/>
  <c r="D308" i="13" s="1"/>
  <c r="D309" i="13" s="1"/>
  <c r="D310" i="13" s="1"/>
  <c r="D311" i="13" s="1"/>
  <c r="D312" i="13" s="1"/>
  <c r="D313" i="13" s="1"/>
  <c r="D314" i="13" s="1"/>
  <c r="D315" i="13" s="1"/>
  <c r="D316" i="13" s="1"/>
  <c r="D317" i="13" s="1"/>
  <c r="D318" i="13" s="1"/>
  <c r="D319" i="13" s="1"/>
  <c r="D320" i="13" s="1"/>
  <c r="D321" i="13" s="1"/>
  <c r="D322" i="13" s="1"/>
  <c r="D323" i="13" s="1"/>
  <c r="D324" i="13" s="1"/>
  <c r="D325" i="13" s="1"/>
  <c r="D326" i="13" s="1"/>
  <c r="D327" i="13" s="1"/>
  <c r="D328" i="13" s="1"/>
  <c r="D329" i="13" s="1"/>
  <c r="D330" i="13" s="1"/>
  <c r="D331" i="13" s="1"/>
  <c r="D332" i="13" s="1"/>
  <c r="D333" i="13" s="1"/>
  <c r="D334" i="13" s="1"/>
  <c r="D335" i="13" s="1"/>
  <c r="D336" i="13" s="1"/>
  <c r="D337" i="13" s="1"/>
  <c r="D338" i="13" s="1"/>
  <c r="D339" i="13" s="1"/>
  <c r="D340" i="13" s="1"/>
  <c r="D341" i="13" s="1"/>
  <c r="D342" i="13" s="1"/>
  <c r="D343" i="13" s="1"/>
  <c r="D344" i="13" s="1"/>
  <c r="D345" i="13" s="1"/>
  <c r="D346" i="13" s="1"/>
  <c r="D347" i="13" s="1"/>
  <c r="D348" i="13" s="1"/>
  <c r="D349" i="13" s="1"/>
  <c r="D350" i="13" s="1"/>
  <c r="D351" i="13" s="1"/>
  <c r="D352" i="13" s="1"/>
  <c r="D353" i="13" s="1"/>
  <c r="D354" i="13" s="1"/>
  <c r="D355" i="13" s="1"/>
  <c r="D356" i="13" s="1"/>
  <c r="D357" i="13" s="1"/>
  <c r="D358" i="13" s="1"/>
  <c r="D359" i="13" s="1"/>
  <c r="D360" i="13" s="1"/>
  <c r="D361" i="13" s="1"/>
  <c r="D362" i="13" s="1"/>
  <c r="D363" i="13" s="1"/>
  <c r="D364" i="13" s="1"/>
  <c r="D365" i="13" s="1"/>
  <c r="D366" i="13" s="1"/>
  <c r="D367" i="13" s="1"/>
  <c r="D368" i="13" s="1"/>
  <c r="D369" i="13" s="1"/>
  <c r="D370" i="13" s="1"/>
  <c r="D371" i="13" s="1"/>
  <c r="D372" i="13" s="1"/>
  <c r="D373" i="13" s="1"/>
  <c r="D374" i="13" s="1"/>
  <c r="D375" i="13" s="1"/>
  <c r="D376" i="13" s="1"/>
  <c r="D377" i="13" s="1"/>
  <c r="D378" i="13" s="1"/>
  <c r="D379" i="13" s="1"/>
  <c r="D380" i="13" s="1"/>
  <c r="D381" i="13" s="1"/>
  <c r="D382" i="13" s="1"/>
  <c r="D383" i="13" s="1"/>
  <c r="D384" i="13" s="1"/>
  <c r="D385" i="13" s="1"/>
  <c r="D386" i="13" s="1"/>
  <c r="D387" i="13" s="1"/>
  <c r="D388" i="13" s="1"/>
  <c r="D389" i="13" s="1"/>
  <c r="D390" i="13" s="1"/>
  <c r="D391" i="13" s="1"/>
  <c r="D392" i="13" s="1"/>
  <c r="D393" i="13" s="1"/>
  <c r="D394" i="13" s="1"/>
  <c r="D395" i="13" s="1"/>
  <c r="D396" i="13" s="1"/>
  <c r="D397" i="13" s="1"/>
  <c r="D398" i="13" s="1"/>
  <c r="D399" i="13" s="1"/>
  <c r="D400" i="13" s="1"/>
  <c r="D401" i="13" s="1"/>
  <c r="D402" i="13" s="1"/>
  <c r="D403" i="13" s="1"/>
  <c r="D404" i="13" s="1"/>
  <c r="D405" i="13" s="1"/>
  <c r="D406" i="13" s="1"/>
  <c r="D407" i="13" s="1"/>
  <c r="D408" i="13" s="1"/>
  <c r="D409" i="13" s="1"/>
  <c r="D410" i="13" s="1"/>
  <c r="D411" i="13" s="1"/>
  <c r="D412" i="13" s="1"/>
  <c r="D413" i="13" s="1"/>
  <c r="D414" i="13" s="1"/>
  <c r="D415" i="13" s="1"/>
  <c r="D416" i="13" s="1"/>
  <c r="D417" i="13" s="1"/>
  <c r="D418" i="13" s="1"/>
  <c r="D419" i="13" s="1"/>
  <c r="D420" i="13" s="1"/>
  <c r="D421" i="13" s="1"/>
  <c r="D422" i="13" s="1"/>
  <c r="D423" i="13" s="1"/>
  <c r="D424" i="13" s="1"/>
  <c r="D425" i="13" s="1"/>
  <c r="D426" i="13" s="1"/>
  <c r="D427" i="13" s="1"/>
  <c r="D428" i="13" s="1"/>
  <c r="D429" i="13" s="1"/>
  <c r="D430" i="13" s="1"/>
  <c r="D431" i="13" s="1"/>
  <c r="D432" i="13" s="1"/>
  <c r="D433" i="13" s="1"/>
  <c r="D434" i="13" s="1"/>
  <c r="D435" i="13" s="1"/>
  <c r="D436" i="13" s="1"/>
  <c r="D437" i="13" s="1"/>
  <c r="D438" i="13" s="1"/>
  <c r="D439" i="13" s="1"/>
  <c r="D440" i="13" s="1"/>
  <c r="D441" i="13" s="1"/>
  <c r="D442" i="13" s="1"/>
  <c r="D443" i="13" s="1"/>
  <c r="D444" i="13" s="1"/>
  <c r="D445" i="13" s="1"/>
  <c r="D446" i="13" s="1"/>
  <c r="D447" i="13" s="1"/>
  <c r="D448" i="13" s="1"/>
  <c r="D449" i="13" s="1"/>
  <c r="D450" i="13" s="1"/>
  <c r="D451" i="13" s="1"/>
  <c r="D452" i="13" s="1"/>
  <c r="D453" i="13" s="1"/>
  <c r="D454" i="13" s="1"/>
  <c r="D455" i="13" s="1"/>
  <c r="D456" i="13" s="1"/>
  <c r="D457" i="13" s="1"/>
  <c r="D458" i="13" s="1"/>
  <c r="D459" i="13" s="1"/>
  <c r="D460" i="13" s="1"/>
  <c r="D461" i="13" s="1"/>
  <c r="D462" i="13" s="1"/>
  <c r="D463" i="13" s="1"/>
  <c r="D464" i="13" s="1"/>
  <c r="D465" i="13" s="1"/>
  <c r="D466" i="13" s="1"/>
  <c r="D467" i="13" s="1"/>
  <c r="D468" i="13" s="1"/>
  <c r="D469" i="13" s="1"/>
  <c r="D470" i="13" s="1"/>
  <c r="D471" i="13" s="1"/>
  <c r="D472" i="13" s="1"/>
  <c r="D473" i="13" s="1"/>
  <c r="D474" i="13" s="1"/>
  <c r="D475" i="13" s="1"/>
  <c r="D476" i="13" s="1"/>
  <c r="D477" i="13" s="1"/>
  <c r="D478" i="13" s="1"/>
  <c r="D479" i="13" s="1"/>
  <c r="D480" i="13" s="1"/>
  <c r="D481" i="13" s="1"/>
  <c r="D482" i="13" s="1"/>
  <c r="D483" i="13" s="1"/>
  <c r="D484" i="13" s="1"/>
  <c r="D485" i="13" s="1"/>
  <c r="D486" i="13" s="1"/>
  <c r="D487" i="13" s="1"/>
  <c r="D488" i="13" s="1"/>
  <c r="D489" i="13" s="1"/>
  <c r="D490" i="13" s="1"/>
  <c r="D491" i="13" s="1"/>
  <c r="D492" i="13" s="1"/>
  <c r="D493" i="13" s="1"/>
  <c r="D494" i="13" s="1"/>
  <c r="D495" i="13" s="1"/>
  <c r="D496" i="13" s="1"/>
  <c r="D497" i="13" s="1"/>
  <c r="D498" i="13" s="1"/>
  <c r="D499" i="13" s="1"/>
  <c r="D500" i="13" s="1"/>
  <c r="D501" i="13" s="1"/>
  <c r="D502" i="13" s="1"/>
  <c r="D503" i="13" s="1"/>
  <c r="D504" i="13" s="1"/>
  <c r="D505" i="13" s="1"/>
  <c r="D506" i="13" s="1"/>
  <c r="D507" i="13" s="1"/>
  <c r="D508" i="13" s="1"/>
  <c r="D509" i="13" s="1"/>
  <c r="D510" i="13" s="1"/>
  <c r="D511" i="13" s="1"/>
  <c r="D512" i="13" s="1"/>
  <c r="D513" i="13" s="1"/>
  <c r="D514" i="13" s="1"/>
  <c r="D515" i="13" s="1"/>
  <c r="D516" i="13" s="1"/>
  <c r="D517" i="13" s="1"/>
  <c r="D518" i="13" s="1"/>
  <c r="D519" i="13" s="1"/>
  <c r="D520" i="13" s="1"/>
  <c r="D521" i="13" s="1"/>
  <c r="D522" i="13" s="1"/>
  <c r="D523" i="13" s="1"/>
  <c r="D524" i="13" s="1"/>
  <c r="D525" i="13" s="1"/>
  <c r="D526" i="13" s="1"/>
  <c r="D527" i="13" s="1"/>
  <c r="D528" i="13" s="1"/>
  <c r="D529" i="13" s="1"/>
  <c r="D530" i="13" s="1"/>
  <c r="D531" i="13" s="1"/>
  <c r="D532" i="13" s="1"/>
  <c r="D533" i="13" s="1"/>
  <c r="D534" i="13" s="1"/>
  <c r="D535" i="13" s="1"/>
  <c r="D536" i="13" s="1"/>
  <c r="D537" i="13" s="1"/>
  <c r="D538" i="13" s="1"/>
  <c r="D539" i="13" s="1"/>
  <c r="D540" i="13" s="1"/>
  <c r="D541" i="13" s="1"/>
  <c r="D542" i="13" s="1"/>
  <c r="D543" i="13" s="1"/>
  <c r="D544" i="13" s="1"/>
  <c r="D545" i="13" s="1"/>
  <c r="D546" i="13" s="1"/>
  <c r="D547" i="13" s="1"/>
  <c r="D548" i="13" s="1"/>
  <c r="D549" i="13" s="1"/>
  <c r="D550" i="13" s="1"/>
  <c r="D551" i="13" s="1"/>
  <c r="D552" i="13" s="1"/>
  <c r="D553" i="13" s="1"/>
  <c r="D554" i="13" s="1"/>
  <c r="D555" i="13" s="1"/>
  <c r="D556" i="13" s="1"/>
  <c r="D557" i="13" s="1"/>
  <c r="D558" i="13" s="1"/>
  <c r="D559" i="13" s="1"/>
  <c r="D560" i="13" s="1"/>
  <c r="D561" i="13" s="1"/>
  <c r="D562" i="13" s="1"/>
  <c r="D563" i="13" s="1"/>
  <c r="D564" i="13" s="1"/>
  <c r="D565" i="13" s="1"/>
  <c r="D566" i="13" s="1"/>
  <c r="D567" i="13" s="1"/>
  <c r="D568" i="13" s="1"/>
  <c r="D569" i="13" s="1"/>
  <c r="D570" i="13" s="1"/>
  <c r="D571" i="13" s="1"/>
  <c r="D572" i="13" s="1"/>
  <c r="D573" i="13" s="1"/>
  <c r="D574" i="13" s="1"/>
  <c r="D575" i="13" s="1"/>
  <c r="D576" i="13" s="1"/>
  <c r="D577" i="13" s="1"/>
  <c r="D578" i="13" s="1"/>
  <c r="D579" i="13" s="1"/>
  <c r="D580" i="13" s="1"/>
  <c r="D581" i="13" s="1"/>
  <c r="D582" i="13" s="1"/>
  <c r="D583" i="13" s="1"/>
  <c r="D584" i="13" s="1"/>
  <c r="D585" i="13" s="1"/>
  <c r="D586" i="13" s="1"/>
  <c r="D587" i="13" s="1"/>
  <c r="D588" i="13" s="1"/>
  <c r="D589" i="13" s="1"/>
  <c r="D590" i="13" s="1"/>
  <c r="D591" i="13" s="1"/>
  <c r="D592" i="13" s="1"/>
  <c r="D593" i="13" s="1"/>
  <c r="D594" i="13" s="1"/>
  <c r="D595" i="13" s="1"/>
  <c r="D596" i="13" s="1"/>
  <c r="D597" i="13" s="1"/>
  <c r="D598" i="13" s="1"/>
  <c r="D599" i="13" s="1"/>
  <c r="D600" i="13" s="1"/>
  <c r="D601" i="13" s="1"/>
  <c r="D602" i="13" s="1"/>
  <c r="D603" i="13" s="1"/>
  <c r="D604" i="13" s="1"/>
  <c r="D605" i="13" s="1"/>
  <c r="D606" i="13" s="1"/>
  <c r="D607" i="13" s="1"/>
  <c r="D608" i="13" s="1"/>
  <c r="D609" i="13" s="1"/>
  <c r="D610" i="13" s="1"/>
  <c r="D611" i="13" s="1"/>
  <c r="D612" i="13" s="1"/>
  <c r="D613" i="13" s="1"/>
  <c r="D614" i="13" s="1"/>
  <c r="D615" i="13" s="1"/>
  <c r="D616" i="13" s="1"/>
  <c r="D617" i="13" s="1"/>
  <c r="D618" i="13" s="1"/>
  <c r="D619" i="13" s="1"/>
  <c r="D620" i="13" s="1"/>
  <c r="D621" i="13" s="1"/>
  <c r="D622" i="13" s="1"/>
  <c r="D623" i="13" s="1"/>
  <c r="D624" i="13" s="1"/>
  <c r="D625" i="13" s="1"/>
  <c r="D626" i="13" s="1"/>
  <c r="D627" i="13" s="1"/>
  <c r="D628" i="13" s="1"/>
  <c r="D629" i="13" s="1"/>
  <c r="D630" i="13" s="1"/>
  <c r="D631" i="13" s="1"/>
  <c r="F631" i="13" s="1"/>
  <c r="G631" i="13" s="1"/>
  <c r="F89" i="13"/>
  <c r="G89" i="13" s="1"/>
  <c r="F83" i="13"/>
  <c r="G83" i="13" s="1"/>
  <c r="F82" i="13"/>
  <c r="G82" i="13" s="1"/>
  <c r="F177" i="13"/>
  <c r="G177" i="13" s="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2" i="3"/>
  <c r="F179" i="13" l="1"/>
  <c r="G179" i="13" s="1"/>
  <c r="F348" i="13"/>
  <c r="G348" i="13" s="1"/>
  <c r="F347" i="13"/>
  <c r="G347" i="13" s="1"/>
  <c r="F440" i="13"/>
  <c r="G440" i="13" s="1"/>
  <c r="F522" i="13"/>
  <c r="G522" i="13" s="1"/>
  <c r="F259" i="13"/>
  <c r="G259" i="13" s="1"/>
  <c r="F524" i="13"/>
  <c r="G524" i="13" s="1"/>
  <c r="F523" i="13"/>
  <c r="G523" i="13" s="1"/>
  <c r="F260" i="13"/>
  <c r="G260" i="13" s="1"/>
  <c r="F354" i="13"/>
  <c r="G354" i="13" s="1"/>
  <c r="F528" i="13"/>
  <c r="G528" i="13" s="1"/>
  <c r="F437" i="13"/>
  <c r="G437" i="13" s="1"/>
  <c r="F436" i="13"/>
  <c r="G436" i="13" s="1"/>
  <c r="F258" i="13"/>
  <c r="G258" i="13" s="1"/>
  <c r="F84" i="13"/>
  <c r="G84" i="13" s="1"/>
  <c r="F438" i="13"/>
  <c r="G438" i="13" s="1"/>
  <c r="F439" i="13"/>
  <c r="G439" i="13" s="1"/>
  <c r="F627" i="13"/>
  <c r="G627" i="13" s="1"/>
  <c r="F525" i="13"/>
  <c r="G525" i="13" s="1"/>
  <c r="F626" i="13"/>
  <c r="G626" i="13" s="1"/>
  <c r="F349" i="13"/>
  <c r="G349" i="13" s="1"/>
  <c r="F625" i="13"/>
  <c r="G625" i="13" s="1"/>
  <c r="F521" i="13"/>
  <c r="G521" i="13" s="1"/>
  <c r="F176" i="13"/>
  <c r="G176" i="13" s="1"/>
  <c r="F346" i="13"/>
  <c r="G346" i="13" s="1"/>
  <c r="F257" i="13"/>
  <c r="G257" i="13" s="1"/>
  <c r="F81" i="13"/>
  <c r="G81" i="13" s="1"/>
  <c r="F435" i="13"/>
  <c r="G435" i="13" s="1"/>
  <c r="F3" i="3"/>
  <c r="G3" i="3" s="1"/>
  <c r="F4" i="3"/>
  <c r="G4" i="3" s="1"/>
  <c r="F5" i="3"/>
  <c r="G5" i="3" s="1"/>
  <c r="F6" i="3"/>
  <c r="G6" i="3" s="1"/>
  <c r="F7" i="3"/>
  <c r="G7" i="3" s="1"/>
  <c r="F8" i="3"/>
  <c r="G8" i="3" s="1"/>
  <c r="F9" i="3"/>
  <c r="G9" i="3" s="1"/>
  <c r="F10" i="3"/>
  <c r="G10" i="3" s="1"/>
  <c r="F11" i="3"/>
  <c r="G11" i="3" s="1"/>
  <c r="F12" i="3"/>
  <c r="G12" i="3" s="1"/>
  <c r="F13" i="3"/>
  <c r="G13" i="3" s="1"/>
  <c r="F14" i="3"/>
  <c r="G14" i="3" s="1"/>
  <c r="F15" i="3"/>
  <c r="G15" i="3" s="1"/>
  <c r="F16" i="3"/>
  <c r="G16" i="3" s="1"/>
  <c r="F17" i="3"/>
  <c r="G17" i="3" s="1"/>
  <c r="F18" i="3"/>
  <c r="G18" i="3" s="1"/>
  <c r="F19" i="3"/>
  <c r="G19" i="3" s="1"/>
  <c r="F20" i="3"/>
  <c r="G20" i="3" s="1"/>
  <c r="F21" i="3"/>
  <c r="G21" i="3" s="1"/>
  <c r="F22" i="3"/>
  <c r="G22" i="3" s="1"/>
  <c r="F23" i="3"/>
  <c r="G23" i="3" s="1"/>
  <c r="F24" i="3"/>
  <c r="G24" i="3" s="1"/>
  <c r="F25" i="3"/>
  <c r="G25" i="3" s="1"/>
  <c r="F26" i="3"/>
  <c r="G26" i="3" s="1"/>
  <c r="F27" i="3"/>
  <c r="G27" i="3" s="1"/>
  <c r="F28" i="3"/>
  <c r="G28" i="3" s="1"/>
  <c r="F29" i="3"/>
  <c r="G29" i="3" s="1"/>
  <c r="F30" i="3"/>
  <c r="G30" i="3" s="1"/>
  <c r="F31" i="3"/>
  <c r="G31" i="3" s="1"/>
  <c r="F32" i="3"/>
  <c r="G32" i="3" s="1"/>
  <c r="F33" i="3"/>
  <c r="G33" i="3" s="1"/>
  <c r="F34" i="3"/>
  <c r="G34" i="3" s="1"/>
  <c r="F35" i="3"/>
  <c r="G35" i="3" s="1"/>
  <c r="F36" i="3"/>
  <c r="G36" i="3" s="1"/>
  <c r="F37" i="3"/>
  <c r="G37" i="3" s="1"/>
  <c r="F38" i="3"/>
  <c r="G38" i="3" s="1"/>
  <c r="F39" i="3"/>
  <c r="G39" i="3" s="1"/>
  <c r="F40" i="3"/>
  <c r="G40" i="3" s="1"/>
  <c r="F41" i="3"/>
  <c r="G41" i="3" s="1"/>
  <c r="F42" i="3"/>
  <c r="G42" i="3" s="1"/>
  <c r="F43" i="3"/>
  <c r="G43" i="3" s="1"/>
  <c r="F44" i="3"/>
  <c r="G44" i="3" s="1"/>
  <c r="F45" i="3"/>
  <c r="G45" i="3" s="1"/>
  <c r="F46" i="3"/>
  <c r="G46" i="3" s="1"/>
  <c r="F47" i="3"/>
  <c r="G47" i="3" s="1"/>
  <c r="F48" i="3"/>
  <c r="G48" i="3" s="1"/>
  <c r="F49" i="3"/>
  <c r="G49" i="3" s="1"/>
  <c r="F50" i="3"/>
  <c r="G50" i="3" s="1"/>
  <c r="F51" i="3"/>
  <c r="G51" i="3" s="1"/>
  <c r="F52" i="3"/>
  <c r="G52" i="3" s="1"/>
  <c r="F53" i="3"/>
  <c r="G53" i="3" s="1"/>
  <c r="F54" i="3"/>
  <c r="G54" i="3" s="1"/>
  <c r="F55" i="3"/>
  <c r="G55" i="3" s="1"/>
  <c r="F56" i="3"/>
  <c r="G56" i="3" s="1"/>
  <c r="F57" i="3"/>
  <c r="G57" i="3" s="1"/>
  <c r="F58" i="3"/>
  <c r="G58" i="3" s="1"/>
  <c r="F59" i="3"/>
  <c r="G59" i="3" s="1"/>
  <c r="F60" i="3"/>
  <c r="G60" i="3" s="1"/>
  <c r="F61" i="3"/>
  <c r="G61" i="3" s="1"/>
  <c r="F62" i="3"/>
  <c r="G62" i="3" s="1"/>
  <c r="F63" i="3"/>
  <c r="G63" i="3" s="1"/>
  <c r="F64" i="3"/>
  <c r="G64" i="3" s="1"/>
  <c r="F65" i="3"/>
  <c r="G65" i="3" s="1"/>
  <c r="F66" i="3"/>
  <c r="G66" i="3" s="1"/>
  <c r="F67" i="3"/>
  <c r="G67" i="3" s="1"/>
  <c r="F68" i="3"/>
  <c r="G68" i="3" s="1"/>
  <c r="F69" i="3"/>
  <c r="G69" i="3" s="1"/>
  <c r="F70" i="3"/>
  <c r="G70" i="3" s="1"/>
  <c r="F71" i="3"/>
  <c r="G71" i="3" s="1"/>
  <c r="F72" i="3"/>
  <c r="G72" i="3" s="1"/>
  <c r="F73" i="3"/>
  <c r="G73" i="3" s="1"/>
  <c r="F74" i="3"/>
  <c r="G74" i="3" s="1"/>
  <c r="F75" i="3"/>
  <c r="G75" i="3" s="1"/>
  <c r="F76" i="3"/>
  <c r="G76" i="3" s="1"/>
  <c r="F77" i="3"/>
  <c r="G77" i="3" s="1"/>
  <c r="F78" i="3"/>
  <c r="G78" i="3" s="1"/>
  <c r="F79" i="3"/>
  <c r="G79" i="3" s="1"/>
  <c r="F80" i="3"/>
  <c r="G80" i="3" s="1"/>
  <c r="F81" i="3"/>
  <c r="G81" i="3" s="1"/>
  <c r="F82" i="3"/>
  <c r="G82" i="3" s="1"/>
  <c r="F83" i="3"/>
  <c r="G83" i="3" s="1"/>
  <c r="F84" i="3"/>
  <c r="G84" i="3" s="1"/>
  <c r="F85" i="3"/>
  <c r="G85" i="3" s="1"/>
  <c r="F86" i="3"/>
  <c r="G86" i="3" s="1"/>
  <c r="F87" i="3"/>
  <c r="G87" i="3" s="1"/>
  <c r="F88" i="3"/>
  <c r="G88" i="3" s="1"/>
  <c r="F89" i="3"/>
  <c r="G89" i="3" s="1"/>
  <c r="F90" i="3"/>
  <c r="G90" i="3" s="1"/>
  <c r="F91" i="3"/>
  <c r="G91" i="3" s="1"/>
  <c r="F92" i="3"/>
  <c r="G92" i="3" s="1"/>
  <c r="F93" i="3"/>
  <c r="G93" i="3" s="1"/>
  <c r="F94" i="3"/>
  <c r="G94" i="3" s="1"/>
  <c r="F95" i="3"/>
  <c r="G95" i="3" s="1"/>
  <c r="F96" i="3"/>
  <c r="G96" i="3" s="1"/>
  <c r="F97" i="3"/>
  <c r="G97" i="3" s="1"/>
  <c r="F98" i="3"/>
  <c r="G98" i="3" s="1"/>
  <c r="F99" i="3"/>
  <c r="G99" i="3" s="1"/>
  <c r="F100" i="3"/>
  <c r="G100" i="3" s="1"/>
  <c r="F101" i="3"/>
  <c r="G101" i="3" s="1"/>
  <c r="F102" i="3"/>
  <c r="G102" i="3" s="1"/>
  <c r="F103" i="3"/>
  <c r="G103" i="3" s="1"/>
  <c r="F104" i="3"/>
  <c r="G104" i="3" s="1"/>
  <c r="F105" i="3"/>
  <c r="G105" i="3" s="1"/>
  <c r="F106" i="3"/>
  <c r="G106" i="3" s="1"/>
  <c r="F107" i="3"/>
  <c r="G107" i="3" s="1"/>
  <c r="F108" i="3"/>
  <c r="G108" i="3" s="1"/>
  <c r="F109" i="3"/>
  <c r="G109" i="3" s="1"/>
  <c r="F110" i="3"/>
  <c r="G110" i="3" s="1"/>
  <c r="F111" i="3"/>
  <c r="G111" i="3" s="1"/>
  <c r="F112" i="3"/>
  <c r="G112" i="3" s="1"/>
  <c r="F113" i="3"/>
  <c r="G113" i="3" s="1"/>
  <c r="F114" i="3"/>
  <c r="G114" i="3" s="1"/>
  <c r="F115" i="3"/>
  <c r="G115" i="3" s="1"/>
  <c r="F116" i="3"/>
  <c r="G116" i="3" s="1"/>
  <c r="F117" i="3"/>
  <c r="G117" i="3" s="1"/>
  <c r="F118" i="3"/>
  <c r="G118" i="3" s="1"/>
  <c r="F119" i="3"/>
  <c r="G119" i="3" s="1"/>
  <c r="F120" i="3"/>
  <c r="G120" i="3" s="1"/>
  <c r="F121" i="3"/>
  <c r="G121" i="3" s="1"/>
  <c r="F122" i="3"/>
  <c r="G122" i="3" s="1"/>
  <c r="F123" i="3"/>
  <c r="G123" i="3" s="1"/>
  <c r="F124" i="3"/>
  <c r="G124" i="3" s="1"/>
  <c r="F125" i="3"/>
  <c r="G125" i="3" s="1"/>
  <c r="F126" i="3"/>
  <c r="G126" i="3" s="1"/>
  <c r="F127" i="3"/>
  <c r="G127" i="3" s="1"/>
  <c r="F128" i="3"/>
  <c r="G128" i="3" s="1"/>
  <c r="F129" i="3"/>
  <c r="G129" i="3" s="1"/>
  <c r="F130" i="3"/>
  <c r="G130" i="3" s="1"/>
  <c r="F131" i="3"/>
  <c r="G131" i="3" s="1"/>
  <c r="F132" i="3"/>
  <c r="G132" i="3" s="1"/>
  <c r="F133" i="3"/>
  <c r="G133" i="3" s="1"/>
  <c r="F134" i="3"/>
  <c r="G134" i="3" s="1"/>
  <c r="F135" i="3"/>
  <c r="G135" i="3" s="1"/>
  <c r="F136" i="3"/>
  <c r="G136" i="3" s="1"/>
  <c r="F137" i="3"/>
  <c r="G137" i="3" s="1"/>
  <c r="F138" i="3"/>
  <c r="G138" i="3" s="1"/>
  <c r="F139" i="3"/>
  <c r="G139" i="3" s="1"/>
  <c r="F140" i="3"/>
  <c r="G140" i="3" s="1"/>
  <c r="F141" i="3"/>
  <c r="G141" i="3" s="1"/>
  <c r="F142" i="3"/>
  <c r="G142" i="3" s="1"/>
  <c r="F143" i="3"/>
  <c r="G143" i="3" s="1"/>
  <c r="F144" i="3"/>
  <c r="G144" i="3" s="1"/>
  <c r="F145" i="3"/>
  <c r="G145" i="3" s="1"/>
  <c r="F146" i="3"/>
  <c r="G146" i="3" s="1"/>
  <c r="F147" i="3"/>
  <c r="G147" i="3" s="1"/>
  <c r="F148" i="3"/>
  <c r="G148" i="3" s="1"/>
  <c r="F149" i="3"/>
  <c r="G149" i="3" s="1"/>
  <c r="F150" i="3"/>
  <c r="G150" i="3" s="1"/>
  <c r="F151" i="3"/>
  <c r="G151" i="3" s="1"/>
  <c r="F152" i="3"/>
  <c r="G152" i="3" s="1"/>
  <c r="F153" i="3"/>
  <c r="G153" i="3" s="1"/>
  <c r="F154" i="3"/>
  <c r="G154" i="3" s="1"/>
  <c r="F155" i="3"/>
  <c r="G155" i="3" s="1"/>
  <c r="F156" i="3"/>
  <c r="G156" i="3" s="1"/>
  <c r="F157" i="3"/>
  <c r="G157" i="3" s="1"/>
  <c r="F158" i="3"/>
  <c r="G158" i="3" s="1"/>
  <c r="F159" i="3"/>
  <c r="G159" i="3" s="1"/>
  <c r="F160" i="3"/>
  <c r="G160" i="3" s="1"/>
  <c r="F161" i="3"/>
  <c r="G161" i="3" s="1"/>
  <c r="F162" i="3"/>
  <c r="G162" i="3" s="1"/>
  <c r="F163" i="3"/>
  <c r="G163" i="3" s="1"/>
  <c r="F164" i="3"/>
  <c r="G164" i="3" s="1"/>
  <c r="F165" i="3"/>
  <c r="G165" i="3" s="1"/>
  <c r="F166" i="3"/>
  <c r="G166" i="3" s="1"/>
  <c r="F167" i="3"/>
  <c r="G167" i="3" s="1"/>
  <c r="F168" i="3"/>
  <c r="G168" i="3" s="1"/>
  <c r="F169" i="3"/>
  <c r="G169" i="3" s="1"/>
  <c r="F170" i="3"/>
  <c r="G170" i="3" s="1"/>
  <c r="F171" i="3"/>
  <c r="G171" i="3" s="1"/>
  <c r="F172" i="3"/>
  <c r="G172" i="3" s="1"/>
  <c r="F173" i="3"/>
  <c r="G173" i="3" s="1"/>
  <c r="F174" i="3"/>
  <c r="G174" i="3" s="1"/>
  <c r="F175" i="3"/>
  <c r="G175" i="3" s="1"/>
  <c r="F176" i="3"/>
  <c r="G176" i="3" s="1"/>
  <c r="F177" i="3"/>
  <c r="G177" i="3" s="1"/>
  <c r="F178" i="3"/>
  <c r="G178" i="3" s="1"/>
  <c r="F179" i="3"/>
  <c r="G179" i="3" s="1"/>
  <c r="F180" i="3"/>
  <c r="G180" i="3" s="1"/>
  <c r="F181" i="3"/>
  <c r="G181" i="3" s="1"/>
  <c r="F182" i="3"/>
  <c r="G182" i="3" s="1"/>
  <c r="F183" i="3"/>
  <c r="G183" i="3" s="1"/>
  <c r="F184" i="3"/>
  <c r="G184" i="3" s="1"/>
  <c r="F185" i="3"/>
  <c r="G185" i="3" s="1"/>
  <c r="F186" i="3"/>
  <c r="G186" i="3" s="1"/>
  <c r="F187" i="3"/>
  <c r="G187" i="3" s="1"/>
  <c r="F188" i="3"/>
  <c r="G188" i="3" s="1"/>
  <c r="F189" i="3"/>
  <c r="G189" i="3" s="1"/>
  <c r="F190" i="3"/>
  <c r="G190" i="3" s="1"/>
  <c r="F191" i="3"/>
  <c r="G191" i="3" s="1"/>
  <c r="F192" i="3"/>
  <c r="G192" i="3" s="1"/>
  <c r="F193" i="3"/>
  <c r="G193" i="3" s="1"/>
  <c r="F194" i="3"/>
  <c r="G194" i="3" s="1"/>
  <c r="F195" i="3"/>
  <c r="G195" i="3" s="1"/>
  <c r="F196" i="3"/>
  <c r="G196" i="3" s="1"/>
  <c r="F197" i="3"/>
  <c r="G197" i="3" s="1"/>
  <c r="F198" i="3"/>
  <c r="G198" i="3" s="1"/>
  <c r="F199" i="3"/>
  <c r="G199" i="3" s="1"/>
  <c r="F200" i="3"/>
  <c r="G200" i="3" s="1"/>
  <c r="F201" i="3"/>
  <c r="G201" i="3" s="1"/>
  <c r="F202" i="3"/>
  <c r="G202" i="3" s="1"/>
  <c r="F203" i="3"/>
  <c r="G203" i="3" s="1"/>
  <c r="F204" i="3"/>
  <c r="G204" i="3" s="1"/>
  <c r="F205" i="3"/>
  <c r="G205" i="3" s="1"/>
  <c r="F206" i="3"/>
  <c r="G206" i="3" s="1"/>
  <c r="F207" i="3"/>
  <c r="G207" i="3" s="1"/>
  <c r="F208" i="3"/>
  <c r="G208" i="3" s="1"/>
  <c r="F209" i="3"/>
  <c r="G209" i="3" s="1"/>
  <c r="F210" i="3"/>
  <c r="G210" i="3" s="1"/>
  <c r="F211" i="3"/>
  <c r="G211" i="3" s="1"/>
  <c r="F212" i="3"/>
  <c r="G212" i="3" s="1"/>
  <c r="F213" i="3"/>
  <c r="G213" i="3" s="1"/>
  <c r="F214" i="3"/>
  <c r="G214" i="3" s="1"/>
  <c r="F215" i="3"/>
  <c r="G215" i="3" s="1"/>
  <c r="F216" i="3"/>
  <c r="G216" i="3" s="1"/>
  <c r="F217" i="3"/>
  <c r="G217" i="3" s="1"/>
  <c r="F218" i="3"/>
  <c r="G218" i="3" s="1"/>
  <c r="F219" i="3"/>
  <c r="G219" i="3" s="1"/>
  <c r="F220" i="3"/>
  <c r="G220" i="3" s="1"/>
  <c r="F221" i="3"/>
  <c r="G221" i="3" s="1"/>
  <c r="F222" i="3"/>
  <c r="G222" i="3" s="1"/>
  <c r="F223" i="3"/>
  <c r="G223" i="3" s="1"/>
  <c r="F224" i="3"/>
  <c r="G224" i="3" s="1"/>
  <c r="F225" i="3"/>
  <c r="G225" i="3" s="1"/>
  <c r="F226" i="3"/>
  <c r="G226" i="3" s="1"/>
  <c r="F227" i="3"/>
  <c r="G227" i="3" s="1"/>
  <c r="F228" i="3"/>
  <c r="G228" i="3" s="1"/>
  <c r="F229" i="3"/>
  <c r="G229" i="3" s="1"/>
  <c r="F230" i="3"/>
  <c r="G230" i="3" s="1"/>
  <c r="F231" i="3"/>
  <c r="G231" i="3" s="1"/>
  <c r="F232" i="3"/>
  <c r="G232" i="3" s="1"/>
  <c r="F233" i="3"/>
  <c r="G233" i="3" s="1"/>
  <c r="F234" i="3"/>
  <c r="G234" i="3" s="1"/>
  <c r="F235" i="3"/>
  <c r="G235" i="3" s="1"/>
  <c r="F236" i="3"/>
  <c r="G236" i="3" s="1"/>
  <c r="F237" i="3"/>
  <c r="G237" i="3" s="1"/>
  <c r="F238" i="3"/>
  <c r="G238" i="3" s="1"/>
  <c r="F239" i="3"/>
  <c r="G239" i="3" s="1"/>
  <c r="F240" i="3"/>
  <c r="G240" i="3" s="1"/>
  <c r="F241" i="3"/>
  <c r="G241" i="3" s="1"/>
  <c r="F242" i="3"/>
  <c r="G242" i="3" s="1"/>
  <c r="F243" i="3"/>
  <c r="G243" i="3" s="1"/>
  <c r="F244" i="3"/>
  <c r="G244" i="3" s="1"/>
  <c r="F245" i="3"/>
  <c r="G245" i="3" s="1"/>
  <c r="F246" i="3"/>
  <c r="G246" i="3" s="1"/>
  <c r="F247" i="3"/>
  <c r="G247" i="3" s="1"/>
  <c r="F248" i="3"/>
  <c r="G248" i="3" s="1"/>
  <c r="F249" i="3"/>
  <c r="G249" i="3" s="1"/>
  <c r="F250" i="3"/>
  <c r="G250" i="3" s="1"/>
  <c r="F251" i="3"/>
  <c r="G251" i="3" s="1"/>
  <c r="F252" i="3"/>
  <c r="G252" i="3" s="1"/>
  <c r="F253" i="3"/>
  <c r="G253" i="3" s="1"/>
  <c r="F254" i="3"/>
  <c r="G254" i="3" s="1"/>
  <c r="F255" i="3"/>
  <c r="G255" i="3" s="1"/>
  <c r="F256" i="3"/>
  <c r="G256" i="3" s="1"/>
  <c r="F257" i="3"/>
  <c r="G257" i="3" s="1"/>
  <c r="F258" i="3"/>
  <c r="G258" i="3" s="1"/>
  <c r="F259" i="3"/>
  <c r="G259" i="3" s="1"/>
  <c r="F260" i="3"/>
  <c r="G260" i="3" s="1"/>
  <c r="F261" i="3"/>
  <c r="G261" i="3" s="1"/>
  <c r="F262" i="3"/>
  <c r="G262" i="3" s="1"/>
  <c r="F263" i="3"/>
  <c r="G263" i="3" s="1"/>
  <c r="F264" i="3"/>
  <c r="G264" i="3" s="1"/>
  <c r="F265" i="3"/>
  <c r="G265" i="3" s="1"/>
  <c r="F266" i="3"/>
  <c r="G266" i="3" s="1"/>
  <c r="F267" i="3"/>
  <c r="G267" i="3" s="1"/>
  <c r="F268" i="3"/>
  <c r="G268" i="3" s="1"/>
  <c r="F269" i="3"/>
  <c r="G269" i="3" s="1"/>
  <c r="F270" i="3"/>
  <c r="G270" i="3" s="1"/>
  <c r="F271" i="3"/>
  <c r="G271" i="3" s="1"/>
  <c r="F272" i="3"/>
  <c r="G272" i="3" s="1"/>
  <c r="F273" i="3"/>
  <c r="G273" i="3" s="1"/>
  <c r="F274" i="3"/>
  <c r="G274" i="3" s="1"/>
  <c r="F275" i="3"/>
  <c r="G275" i="3" s="1"/>
  <c r="F276" i="3"/>
  <c r="G276" i="3" s="1"/>
  <c r="F277" i="3"/>
  <c r="G277" i="3" s="1"/>
  <c r="F278" i="3"/>
  <c r="G278" i="3" s="1"/>
  <c r="F279" i="3"/>
  <c r="G279" i="3" s="1"/>
  <c r="F280" i="3"/>
  <c r="G280" i="3" s="1"/>
  <c r="F281" i="3"/>
  <c r="G281" i="3" s="1"/>
  <c r="F282" i="3"/>
  <c r="G282" i="3" s="1"/>
  <c r="F283" i="3"/>
  <c r="G283" i="3" s="1"/>
  <c r="F284" i="3"/>
  <c r="G284" i="3" s="1"/>
  <c r="F285" i="3"/>
  <c r="G285" i="3" s="1"/>
  <c r="F286" i="3"/>
  <c r="G286" i="3" s="1"/>
  <c r="F287" i="3"/>
  <c r="G287" i="3" s="1"/>
  <c r="F288" i="3"/>
  <c r="G288" i="3" s="1"/>
  <c r="F289" i="3"/>
  <c r="G289" i="3" s="1"/>
  <c r="F290" i="3"/>
  <c r="G290" i="3" s="1"/>
  <c r="F291" i="3"/>
  <c r="G291" i="3" s="1"/>
  <c r="F292" i="3"/>
  <c r="G292" i="3" s="1"/>
  <c r="F293" i="3"/>
  <c r="G293" i="3" s="1"/>
  <c r="F294" i="3"/>
  <c r="G294" i="3" s="1"/>
  <c r="F295" i="3"/>
  <c r="G295" i="3" s="1"/>
  <c r="F296" i="3"/>
  <c r="G296" i="3" s="1"/>
  <c r="F297" i="3"/>
  <c r="G297" i="3" s="1"/>
  <c r="F298" i="3"/>
  <c r="G298" i="3" s="1"/>
  <c r="F299" i="3"/>
  <c r="G299" i="3" s="1"/>
  <c r="F300" i="3"/>
  <c r="G300" i="3" s="1"/>
  <c r="F301" i="3"/>
  <c r="G301" i="3" s="1"/>
  <c r="F302" i="3"/>
  <c r="G302" i="3" s="1"/>
  <c r="F303" i="3"/>
  <c r="G303" i="3" s="1"/>
  <c r="F304" i="3"/>
  <c r="G304" i="3" s="1"/>
  <c r="F305" i="3"/>
  <c r="G305" i="3" s="1"/>
  <c r="F306" i="3"/>
  <c r="G306" i="3" s="1"/>
  <c r="F307" i="3"/>
  <c r="G307" i="3" s="1"/>
  <c r="F308" i="3"/>
  <c r="G308" i="3" s="1"/>
  <c r="F309" i="3"/>
  <c r="G309" i="3" s="1"/>
  <c r="F310" i="3"/>
  <c r="G310" i="3" s="1"/>
  <c r="F311" i="3"/>
  <c r="G311" i="3" s="1"/>
  <c r="F312" i="3"/>
  <c r="G312" i="3" s="1"/>
  <c r="F313" i="3"/>
  <c r="G313" i="3" s="1"/>
  <c r="F314" i="3"/>
  <c r="G314" i="3" s="1"/>
  <c r="F315" i="3"/>
  <c r="G315" i="3" s="1"/>
  <c r="F316" i="3"/>
  <c r="G316" i="3" s="1"/>
  <c r="F317" i="3"/>
  <c r="G317" i="3" s="1"/>
  <c r="F318" i="3"/>
  <c r="G318" i="3" s="1"/>
  <c r="F319" i="3"/>
  <c r="G319" i="3" s="1"/>
  <c r="F320" i="3"/>
  <c r="G320" i="3" s="1"/>
  <c r="F321" i="3"/>
  <c r="G321" i="3" s="1"/>
  <c r="F322" i="3"/>
  <c r="G322" i="3" s="1"/>
  <c r="F323" i="3"/>
  <c r="G323" i="3" s="1"/>
  <c r="F324" i="3"/>
  <c r="G324" i="3" s="1"/>
  <c r="F325" i="3"/>
  <c r="G325" i="3" s="1"/>
  <c r="F326" i="3"/>
  <c r="G326" i="3" s="1"/>
  <c r="F327" i="3"/>
  <c r="G327" i="3" s="1"/>
  <c r="F328" i="3"/>
  <c r="G328" i="3" s="1"/>
  <c r="F329" i="3"/>
  <c r="G329" i="3" s="1"/>
  <c r="F330" i="3"/>
  <c r="G330" i="3" s="1"/>
  <c r="F331" i="3"/>
  <c r="G331" i="3" s="1"/>
  <c r="F332" i="3"/>
  <c r="G332" i="3" s="1"/>
  <c r="F333" i="3"/>
  <c r="G333" i="3" s="1"/>
  <c r="F334" i="3"/>
  <c r="G334" i="3" s="1"/>
  <c r="F335" i="3"/>
  <c r="G335" i="3" s="1"/>
  <c r="F336" i="3"/>
  <c r="G336" i="3" s="1"/>
  <c r="F337" i="3"/>
  <c r="G337" i="3" s="1"/>
  <c r="F338" i="3"/>
  <c r="G338" i="3" s="1"/>
  <c r="F339" i="3"/>
  <c r="G339" i="3" s="1"/>
  <c r="F340" i="3"/>
  <c r="G340" i="3" s="1"/>
  <c r="F341" i="3"/>
  <c r="G341" i="3" s="1"/>
  <c r="F342" i="3"/>
  <c r="G342" i="3" s="1"/>
  <c r="F343" i="3"/>
  <c r="G343" i="3" s="1"/>
  <c r="F344" i="3"/>
  <c r="G344" i="3" s="1"/>
  <c r="F345" i="3"/>
  <c r="G345" i="3" s="1"/>
  <c r="F346" i="3"/>
  <c r="G346" i="3" s="1"/>
  <c r="F347" i="3"/>
  <c r="G347" i="3" s="1"/>
  <c r="F348" i="3"/>
  <c r="G348" i="3" s="1"/>
  <c r="F349" i="3"/>
  <c r="G349" i="3" s="1"/>
  <c r="F350" i="3"/>
  <c r="G350" i="3" s="1"/>
  <c r="F351" i="3"/>
  <c r="G351" i="3" s="1"/>
  <c r="F352" i="3"/>
  <c r="G352" i="3" s="1"/>
  <c r="F353" i="3"/>
  <c r="G353" i="3" s="1"/>
  <c r="F354" i="3"/>
  <c r="G354" i="3" s="1"/>
  <c r="F355" i="3"/>
  <c r="G355" i="3" s="1"/>
  <c r="F356" i="3"/>
  <c r="G356" i="3" s="1"/>
  <c r="F357" i="3"/>
  <c r="G357" i="3" s="1"/>
  <c r="F358" i="3"/>
  <c r="G358" i="3" s="1"/>
  <c r="F359" i="3"/>
  <c r="G359" i="3" s="1"/>
  <c r="F360" i="3"/>
  <c r="G360" i="3" s="1"/>
  <c r="F361" i="3"/>
  <c r="G361" i="3" s="1"/>
  <c r="F362" i="3"/>
  <c r="G362" i="3" s="1"/>
  <c r="F363" i="3"/>
  <c r="G363" i="3" s="1"/>
  <c r="F364" i="3"/>
  <c r="G364" i="3" s="1"/>
  <c r="F365" i="3"/>
  <c r="G365" i="3" s="1"/>
  <c r="F366" i="3"/>
  <c r="G366" i="3" s="1"/>
  <c r="F367" i="3"/>
  <c r="G367" i="3" s="1"/>
  <c r="F368" i="3"/>
  <c r="G368" i="3" s="1"/>
  <c r="F369" i="3"/>
  <c r="G369" i="3" s="1"/>
  <c r="F370" i="3"/>
  <c r="G370" i="3" s="1"/>
  <c r="F371" i="3"/>
  <c r="G371" i="3" s="1"/>
  <c r="F372" i="3"/>
  <c r="G372" i="3" s="1"/>
  <c r="F373" i="3"/>
  <c r="G373" i="3" s="1"/>
  <c r="F374" i="3"/>
  <c r="G374" i="3" s="1"/>
  <c r="F375" i="3"/>
  <c r="G375" i="3" s="1"/>
  <c r="F376" i="3"/>
  <c r="G376" i="3" s="1"/>
  <c r="F377" i="3"/>
  <c r="G377" i="3" s="1"/>
  <c r="F378" i="3"/>
  <c r="G378" i="3" s="1"/>
  <c r="F379" i="3"/>
  <c r="G379" i="3" s="1"/>
  <c r="F380" i="3"/>
  <c r="G380" i="3" s="1"/>
  <c r="F381" i="3"/>
  <c r="G381" i="3" s="1"/>
  <c r="F382" i="3"/>
  <c r="G382" i="3" s="1"/>
  <c r="F383" i="3"/>
  <c r="G383" i="3" s="1"/>
  <c r="F384" i="3"/>
  <c r="G384" i="3" s="1"/>
  <c r="F385" i="3"/>
  <c r="G385" i="3" s="1"/>
  <c r="F386" i="3"/>
  <c r="G386" i="3" s="1"/>
  <c r="F387" i="3"/>
  <c r="G387" i="3" s="1"/>
  <c r="F388" i="3"/>
  <c r="G388" i="3" s="1"/>
  <c r="F389" i="3"/>
  <c r="G389" i="3" s="1"/>
  <c r="F390" i="3"/>
  <c r="G390" i="3" s="1"/>
  <c r="F391" i="3"/>
  <c r="G391" i="3" s="1"/>
  <c r="F392" i="3"/>
  <c r="G392" i="3" s="1"/>
  <c r="F393" i="3"/>
  <c r="G393" i="3" s="1"/>
  <c r="F394" i="3"/>
  <c r="G394" i="3" s="1"/>
  <c r="F395" i="3"/>
  <c r="G395" i="3" s="1"/>
  <c r="F396" i="3"/>
  <c r="G396" i="3" s="1"/>
  <c r="F397" i="3"/>
  <c r="G397" i="3" s="1"/>
  <c r="F398" i="3"/>
  <c r="G398" i="3" s="1"/>
  <c r="F399" i="3"/>
  <c r="G399" i="3" s="1"/>
  <c r="F400" i="3"/>
  <c r="G400" i="3" s="1"/>
  <c r="F401" i="3"/>
  <c r="G401" i="3" s="1"/>
  <c r="F402" i="3"/>
  <c r="G402" i="3" s="1"/>
  <c r="F403" i="3"/>
  <c r="G403" i="3" s="1"/>
  <c r="F404" i="3"/>
  <c r="G404" i="3" s="1"/>
  <c r="F405" i="3"/>
  <c r="G405" i="3" s="1"/>
  <c r="F406" i="3"/>
  <c r="G406" i="3" s="1"/>
  <c r="F407" i="3"/>
  <c r="G407" i="3" s="1"/>
  <c r="F408" i="3"/>
  <c r="G408" i="3" s="1"/>
  <c r="F409" i="3"/>
  <c r="G409" i="3" s="1"/>
  <c r="F410" i="3"/>
  <c r="G410" i="3" s="1"/>
  <c r="F411" i="3"/>
  <c r="G411" i="3" s="1"/>
  <c r="F412" i="3"/>
  <c r="G412" i="3" s="1"/>
  <c r="F413" i="3"/>
  <c r="G413" i="3" s="1"/>
  <c r="F414" i="3"/>
  <c r="G414" i="3" s="1"/>
  <c r="F415" i="3"/>
  <c r="G415" i="3" s="1"/>
  <c r="F416" i="3"/>
  <c r="G416" i="3" s="1"/>
  <c r="F417" i="3"/>
  <c r="G417" i="3" s="1"/>
  <c r="F418" i="3"/>
  <c r="G418" i="3" s="1"/>
  <c r="F419" i="3"/>
  <c r="G419" i="3" s="1"/>
  <c r="F420" i="3"/>
  <c r="G420" i="3" s="1"/>
  <c r="F421" i="3"/>
  <c r="G421" i="3" s="1"/>
  <c r="F422" i="3"/>
  <c r="G422" i="3" s="1"/>
  <c r="F423" i="3"/>
  <c r="G423" i="3" s="1"/>
  <c r="F424" i="3"/>
  <c r="G424" i="3" s="1"/>
  <c r="F425" i="3"/>
  <c r="G425" i="3" s="1"/>
  <c r="F426" i="3"/>
  <c r="G426" i="3" s="1"/>
  <c r="F427" i="3"/>
  <c r="G427" i="3" s="1"/>
  <c r="F428" i="3"/>
  <c r="G428" i="3" s="1"/>
  <c r="F429" i="3"/>
  <c r="G429" i="3" s="1"/>
  <c r="F430" i="3"/>
  <c r="G430" i="3" s="1"/>
  <c r="F431" i="3"/>
  <c r="G431" i="3" s="1"/>
  <c r="F432" i="3"/>
  <c r="G432" i="3" s="1"/>
  <c r="F433" i="3"/>
  <c r="G433" i="3" s="1"/>
  <c r="F434" i="3"/>
  <c r="G434" i="3" s="1"/>
  <c r="F435" i="3"/>
  <c r="G435" i="3" s="1"/>
  <c r="F436" i="3"/>
  <c r="G436" i="3" s="1"/>
  <c r="F437" i="3"/>
  <c r="G437" i="3" s="1"/>
  <c r="F438" i="3"/>
  <c r="G438" i="3" s="1"/>
  <c r="F439" i="3"/>
  <c r="G439" i="3" s="1"/>
  <c r="F440" i="3"/>
  <c r="G440" i="3" s="1"/>
  <c r="F441" i="3"/>
  <c r="G441" i="3" s="1"/>
  <c r="F442" i="3"/>
  <c r="G442" i="3" s="1"/>
  <c r="F443" i="3"/>
  <c r="G443" i="3" s="1"/>
  <c r="F444" i="3"/>
  <c r="G444" i="3" s="1"/>
  <c r="F445" i="3"/>
  <c r="G445" i="3" s="1"/>
  <c r="F446" i="3"/>
  <c r="G446" i="3" s="1"/>
  <c r="F447" i="3"/>
  <c r="G447" i="3" s="1"/>
  <c r="F448" i="3"/>
  <c r="G448" i="3" s="1"/>
  <c r="F449" i="3"/>
  <c r="G449" i="3" s="1"/>
  <c r="F450" i="3"/>
  <c r="G450" i="3" s="1"/>
  <c r="F451" i="3"/>
  <c r="G451" i="3" s="1"/>
  <c r="F452" i="3"/>
  <c r="G452" i="3" s="1"/>
  <c r="F453" i="3"/>
  <c r="G453" i="3" s="1"/>
  <c r="F454" i="3"/>
  <c r="G454" i="3" s="1"/>
  <c r="F455" i="3"/>
  <c r="G455" i="3" s="1"/>
  <c r="F456" i="3"/>
  <c r="G456" i="3" s="1"/>
  <c r="F457" i="3"/>
  <c r="G457" i="3" s="1"/>
  <c r="F458" i="3"/>
  <c r="G458" i="3" s="1"/>
  <c r="F459" i="3"/>
  <c r="G459" i="3" s="1"/>
  <c r="F460" i="3"/>
  <c r="G460" i="3" s="1"/>
  <c r="F461" i="3"/>
  <c r="G461" i="3" s="1"/>
  <c r="F462" i="3"/>
  <c r="G462" i="3" s="1"/>
  <c r="F463" i="3"/>
  <c r="G463" i="3" s="1"/>
  <c r="F464" i="3"/>
  <c r="G464" i="3" s="1"/>
  <c r="F465" i="3"/>
  <c r="G465" i="3" s="1"/>
  <c r="F466" i="3"/>
  <c r="G466" i="3" s="1"/>
  <c r="F467" i="3"/>
  <c r="G467" i="3" s="1"/>
  <c r="F468" i="3"/>
  <c r="G468" i="3" s="1"/>
  <c r="F469" i="3"/>
  <c r="G469" i="3" s="1"/>
  <c r="F470" i="3"/>
  <c r="G470" i="3" s="1"/>
  <c r="F471" i="3"/>
  <c r="G471" i="3" s="1"/>
  <c r="F472" i="3"/>
  <c r="G472" i="3" s="1"/>
  <c r="F473" i="3"/>
  <c r="G473" i="3" s="1"/>
  <c r="F474" i="3"/>
  <c r="G474" i="3" s="1"/>
  <c r="F475" i="3"/>
  <c r="G475" i="3" s="1"/>
  <c r="F476" i="3"/>
  <c r="G476" i="3" s="1"/>
  <c r="F477" i="3"/>
  <c r="G477" i="3" s="1"/>
  <c r="F478" i="3"/>
  <c r="G478" i="3" s="1"/>
  <c r="F479" i="3"/>
  <c r="G479" i="3" s="1"/>
  <c r="F480" i="3"/>
  <c r="G480" i="3" s="1"/>
  <c r="F481" i="3"/>
  <c r="G481" i="3" s="1"/>
  <c r="F482" i="3"/>
  <c r="G482" i="3" s="1"/>
  <c r="F483" i="3"/>
  <c r="G483" i="3" s="1"/>
  <c r="F484" i="3"/>
  <c r="G484" i="3" s="1"/>
  <c r="F485" i="3"/>
  <c r="G485" i="3" s="1"/>
  <c r="F486" i="3"/>
  <c r="G486" i="3" s="1"/>
  <c r="F487" i="3"/>
  <c r="G487" i="3" s="1"/>
  <c r="F488" i="3"/>
  <c r="G488" i="3" s="1"/>
  <c r="F489" i="3"/>
  <c r="G489" i="3" s="1"/>
  <c r="F490" i="3"/>
  <c r="G490" i="3" s="1"/>
  <c r="F491" i="3"/>
  <c r="G491" i="3" s="1"/>
  <c r="F492" i="3"/>
  <c r="G492" i="3" s="1"/>
  <c r="F493" i="3"/>
  <c r="G493" i="3" s="1"/>
  <c r="F494" i="3"/>
  <c r="G494" i="3" s="1"/>
  <c r="F495" i="3"/>
  <c r="G495" i="3" s="1"/>
  <c r="F496" i="3"/>
  <c r="G496" i="3" s="1"/>
  <c r="F497" i="3"/>
  <c r="G497" i="3" s="1"/>
  <c r="F498" i="3"/>
  <c r="G498" i="3" s="1"/>
  <c r="F499" i="3"/>
  <c r="G499" i="3" s="1"/>
  <c r="F500" i="3"/>
  <c r="G500" i="3" s="1"/>
  <c r="F501" i="3"/>
  <c r="G501" i="3" s="1"/>
  <c r="F502" i="3"/>
  <c r="G502" i="3" s="1"/>
  <c r="F503" i="3"/>
  <c r="G503" i="3" s="1"/>
  <c r="F504" i="3"/>
  <c r="G504" i="3" s="1"/>
  <c r="F505" i="3"/>
  <c r="G505" i="3" s="1"/>
  <c r="F506" i="3"/>
  <c r="G506" i="3" s="1"/>
  <c r="F507" i="3"/>
  <c r="G507" i="3" s="1"/>
  <c r="F508" i="3"/>
  <c r="G508" i="3" s="1"/>
  <c r="F509" i="3"/>
  <c r="G509" i="3" s="1"/>
  <c r="F510" i="3"/>
  <c r="G510" i="3" s="1"/>
  <c r="F511" i="3"/>
  <c r="G511" i="3" s="1"/>
  <c r="F512" i="3"/>
  <c r="G512" i="3" s="1"/>
  <c r="F513" i="3"/>
  <c r="G513" i="3" s="1"/>
  <c r="F514" i="3"/>
  <c r="G514" i="3" s="1"/>
  <c r="F515" i="3"/>
  <c r="G515" i="3" s="1"/>
  <c r="F516" i="3"/>
  <c r="G516" i="3" s="1"/>
  <c r="F517" i="3"/>
  <c r="G517" i="3" s="1"/>
  <c r="F518" i="3"/>
  <c r="G518" i="3" s="1"/>
  <c r="F519" i="3"/>
  <c r="G519" i="3" s="1"/>
  <c r="F520" i="3"/>
  <c r="G520" i="3" s="1"/>
  <c r="F521" i="3"/>
  <c r="G521" i="3" s="1"/>
  <c r="F522" i="3"/>
  <c r="G522" i="3" s="1"/>
  <c r="F523" i="3"/>
  <c r="G523" i="3" s="1"/>
  <c r="F524" i="3"/>
  <c r="G524" i="3" s="1"/>
  <c r="F525" i="3"/>
  <c r="G525" i="3" s="1"/>
  <c r="F526" i="3"/>
  <c r="G526" i="3" s="1"/>
  <c r="F527" i="3"/>
  <c r="G527" i="3" s="1"/>
  <c r="F528" i="3"/>
  <c r="G528" i="3" s="1"/>
  <c r="F529" i="3"/>
  <c r="G529" i="3" s="1"/>
  <c r="F530" i="3"/>
  <c r="G530" i="3" s="1"/>
  <c r="F531" i="3"/>
  <c r="G531" i="3" s="1"/>
  <c r="F532" i="3"/>
  <c r="G532" i="3" s="1"/>
  <c r="F533" i="3"/>
  <c r="G533" i="3" s="1"/>
  <c r="F534" i="3"/>
  <c r="G534" i="3" s="1"/>
  <c r="F535" i="3"/>
  <c r="G535" i="3" s="1"/>
  <c r="F536" i="3"/>
  <c r="G536" i="3" s="1"/>
  <c r="F537" i="3"/>
  <c r="G537" i="3" s="1"/>
  <c r="F538" i="3"/>
  <c r="G538" i="3" s="1"/>
  <c r="F539" i="3"/>
  <c r="G539" i="3" s="1"/>
  <c r="F540" i="3"/>
  <c r="G540" i="3" s="1"/>
  <c r="F541" i="3"/>
  <c r="G541" i="3" s="1"/>
  <c r="F542" i="3"/>
  <c r="G542" i="3" s="1"/>
  <c r="F543" i="3"/>
  <c r="G543" i="3" s="1"/>
  <c r="F544" i="3"/>
  <c r="G544" i="3" s="1"/>
  <c r="F545" i="3"/>
  <c r="G545" i="3" s="1"/>
  <c r="F546" i="3"/>
  <c r="G546" i="3" s="1"/>
  <c r="F547" i="3"/>
  <c r="G547" i="3" s="1"/>
  <c r="F548" i="3"/>
  <c r="G548" i="3" s="1"/>
  <c r="F549" i="3"/>
  <c r="G549" i="3" s="1"/>
  <c r="F550" i="3"/>
  <c r="G550" i="3" s="1"/>
  <c r="F551" i="3"/>
  <c r="G551" i="3" s="1"/>
  <c r="F552" i="3"/>
  <c r="G552" i="3" s="1"/>
  <c r="F553" i="3"/>
  <c r="G553" i="3" s="1"/>
  <c r="F554" i="3"/>
  <c r="G554" i="3" s="1"/>
  <c r="F555" i="3"/>
  <c r="G555" i="3" s="1"/>
  <c r="F556" i="3"/>
  <c r="G556" i="3" s="1"/>
  <c r="F557" i="3"/>
  <c r="G557" i="3" s="1"/>
  <c r="F558" i="3"/>
  <c r="G558" i="3" s="1"/>
  <c r="F559" i="3"/>
  <c r="G559" i="3" s="1"/>
  <c r="F560" i="3"/>
  <c r="G560" i="3" s="1"/>
  <c r="F561" i="3"/>
  <c r="G561" i="3" s="1"/>
  <c r="F562" i="3"/>
  <c r="G562" i="3" s="1"/>
  <c r="F563" i="3"/>
  <c r="G563" i="3" s="1"/>
  <c r="F564" i="3"/>
  <c r="G564" i="3" s="1"/>
  <c r="F565" i="3"/>
  <c r="G565" i="3" s="1"/>
  <c r="F566" i="3"/>
  <c r="G566" i="3" s="1"/>
  <c r="F567" i="3"/>
  <c r="G567" i="3" s="1"/>
  <c r="F568" i="3"/>
  <c r="G568" i="3" s="1"/>
  <c r="F569" i="3"/>
  <c r="G569" i="3" s="1"/>
  <c r="F570" i="3"/>
  <c r="G570" i="3" s="1"/>
  <c r="F571" i="3"/>
  <c r="G571" i="3" s="1"/>
  <c r="F572" i="3"/>
  <c r="G572" i="3" s="1"/>
  <c r="F573" i="3"/>
  <c r="G573" i="3" s="1"/>
  <c r="F574" i="3"/>
  <c r="G574" i="3" s="1"/>
  <c r="F575" i="3"/>
  <c r="G575" i="3" s="1"/>
  <c r="F576" i="3"/>
  <c r="G576" i="3" s="1"/>
  <c r="F577" i="3"/>
  <c r="G577" i="3" s="1"/>
  <c r="F578" i="3"/>
  <c r="G578" i="3" s="1"/>
  <c r="F579" i="3"/>
  <c r="G579" i="3" s="1"/>
  <c r="F580" i="3"/>
  <c r="G580" i="3" s="1"/>
  <c r="F581" i="3"/>
  <c r="G581" i="3" s="1"/>
  <c r="F582" i="3"/>
  <c r="G582" i="3" s="1"/>
  <c r="F583" i="3"/>
  <c r="G583" i="3" s="1"/>
  <c r="F584" i="3"/>
  <c r="G584" i="3" s="1"/>
  <c r="F585" i="3"/>
  <c r="G585" i="3" s="1"/>
  <c r="F586" i="3"/>
  <c r="G586" i="3" s="1"/>
  <c r="F587" i="3"/>
  <c r="G587" i="3" s="1"/>
  <c r="F588" i="3"/>
  <c r="G588" i="3" s="1"/>
  <c r="F589" i="3"/>
  <c r="G589" i="3" s="1"/>
  <c r="F590" i="3"/>
  <c r="G590" i="3" s="1"/>
  <c r="F591" i="3"/>
  <c r="G591" i="3" s="1"/>
  <c r="F592" i="3"/>
  <c r="G592" i="3" s="1"/>
  <c r="F593" i="3"/>
  <c r="G593" i="3" s="1"/>
  <c r="F594" i="3"/>
  <c r="G594" i="3" s="1"/>
  <c r="F595" i="3"/>
  <c r="G595" i="3" s="1"/>
  <c r="F596" i="3"/>
  <c r="G596" i="3" s="1"/>
  <c r="F597" i="3"/>
  <c r="G597" i="3" s="1"/>
  <c r="F598" i="3"/>
  <c r="G598" i="3" s="1"/>
  <c r="F599" i="3"/>
  <c r="G599" i="3" s="1"/>
  <c r="F600" i="3"/>
  <c r="G600" i="3" s="1"/>
  <c r="F601" i="3"/>
  <c r="G601" i="3" s="1"/>
  <c r="F602" i="3"/>
  <c r="G602" i="3" s="1"/>
  <c r="F603" i="3"/>
  <c r="G603" i="3" s="1"/>
  <c r="F604" i="3"/>
  <c r="G604" i="3" s="1"/>
  <c r="F605" i="3"/>
  <c r="G605" i="3" s="1"/>
  <c r="F606" i="3"/>
  <c r="G606" i="3" s="1"/>
  <c r="F607" i="3"/>
  <c r="G607" i="3" s="1"/>
  <c r="F608" i="3"/>
  <c r="G608" i="3" s="1"/>
  <c r="F609" i="3"/>
  <c r="G609" i="3" s="1"/>
  <c r="F610" i="3"/>
  <c r="G610" i="3" s="1"/>
  <c r="F611" i="3"/>
  <c r="G611" i="3" s="1"/>
  <c r="F612" i="3"/>
  <c r="G612" i="3" s="1"/>
  <c r="F613" i="3"/>
  <c r="G613" i="3" s="1"/>
  <c r="F614" i="3"/>
  <c r="G614" i="3" s="1"/>
  <c r="F615" i="3"/>
  <c r="G615" i="3" s="1"/>
  <c r="F616" i="3"/>
  <c r="G616" i="3" s="1"/>
  <c r="F617" i="3"/>
  <c r="G617" i="3" s="1"/>
  <c r="F618" i="3"/>
  <c r="G618" i="3" s="1"/>
  <c r="F619" i="3"/>
  <c r="G619" i="3" s="1"/>
  <c r="F620" i="3"/>
  <c r="G620" i="3" s="1"/>
  <c r="F621" i="3"/>
  <c r="G621" i="3" s="1"/>
  <c r="F622" i="3"/>
  <c r="G622" i="3" s="1"/>
  <c r="F623" i="3"/>
  <c r="G623" i="3" s="1"/>
  <c r="F624" i="3"/>
  <c r="G624" i="3" s="1"/>
  <c r="F625" i="3"/>
  <c r="G625" i="3" s="1"/>
  <c r="F626" i="3"/>
  <c r="G626" i="3" s="1"/>
  <c r="F627" i="3"/>
  <c r="G627" i="3" s="1"/>
  <c r="F628" i="3"/>
  <c r="G628" i="3" s="1"/>
  <c r="F629" i="3"/>
  <c r="G629" i="3" s="1"/>
  <c r="F630" i="3"/>
  <c r="G630" i="3" s="1"/>
  <c r="F631" i="3"/>
  <c r="G631" i="3" s="1"/>
  <c r="F632" i="3"/>
  <c r="G632" i="3" s="1"/>
  <c r="F633" i="3"/>
  <c r="G633" i="3" s="1"/>
  <c r="F2" i="3"/>
  <c r="G2" i="3" s="1"/>
  <c r="F527" i="13" l="1"/>
  <c r="G527" i="13" s="1"/>
  <c r="F526" i="13"/>
  <c r="G526" i="13" s="1"/>
  <c r="F628" i="13"/>
  <c r="G628" i="13" s="1"/>
  <c r="F350" i="13"/>
  <c r="G350" i="13" s="1"/>
  <c r="F85" i="13"/>
  <c r="G85" i="13" s="1"/>
  <c r="F345" i="13"/>
  <c r="G345" i="13" s="1"/>
  <c r="F175" i="13"/>
  <c r="G175" i="13" s="1"/>
  <c r="F434" i="13"/>
  <c r="G434" i="13" s="1"/>
  <c r="F80" i="13"/>
  <c r="G80" i="13" s="1"/>
  <c r="F520" i="13"/>
  <c r="G520" i="13" s="1"/>
  <c r="F256" i="13"/>
  <c r="G256" i="13" s="1"/>
  <c r="F624" i="13"/>
  <c r="G624" i="13" s="1"/>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2" i="3"/>
  <c r="Y630" i="3" l="1"/>
  <c r="AA630" i="3" s="1"/>
  <c r="AB630" i="3" s="1"/>
  <c r="Y582" i="3"/>
  <c r="AA582" i="3" s="1"/>
  <c r="AB582" i="3" s="1"/>
  <c r="Y534" i="3"/>
  <c r="Y494" i="3"/>
  <c r="Y446" i="3"/>
  <c r="AA446" i="3" s="1"/>
  <c r="AB446" i="3" s="1"/>
  <c r="Y406" i="3"/>
  <c r="Y366" i="3"/>
  <c r="AA366" i="3" s="1"/>
  <c r="AB366" i="3" s="1"/>
  <c r="Y318" i="3"/>
  <c r="Y262" i="3"/>
  <c r="AA262" i="3" s="1"/>
  <c r="AB262" i="3" s="1"/>
  <c r="Y214" i="3"/>
  <c r="AA214" i="3" s="1"/>
  <c r="AB214" i="3" s="1"/>
  <c r="Y182" i="3"/>
  <c r="AA182" i="3" s="1"/>
  <c r="AB182" i="3" s="1"/>
  <c r="Y134" i="3"/>
  <c r="AA134" i="3" s="1"/>
  <c r="AB134" i="3" s="1"/>
  <c r="Y118" i="3"/>
  <c r="AA118" i="3" s="1"/>
  <c r="AB118" i="3" s="1"/>
  <c r="Y102" i="3"/>
  <c r="AA102" i="3" s="1"/>
  <c r="AB102" i="3" s="1"/>
  <c r="Y86" i="3"/>
  <c r="AA86" i="3" s="1"/>
  <c r="AB86" i="3" s="1"/>
  <c r="Y62" i="3"/>
  <c r="AA62" i="3" s="1"/>
  <c r="AB62" i="3" s="1"/>
  <c r="Y14" i="3"/>
  <c r="AA14" i="3" s="1"/>
  <c r="AB14" i="3" s="1"/>
  <c r="Y613" i="3"/>
  <c r="AA613" i="3" s="1"/>
  <c r="AB613" i="3" s="1"/>
  <c r="Y589" i="3"/>
  <c r="AA589" i="3" s="1"/>
  <c r="AB589" i="3" s="1"/>
  <c r="Y573" i="3"/>
  <c r="Y557" i="3"/>
  <c r="AA557" i="3" s="1"/>
  <c r="AB557" i="3" s="1"/>
  <c r="Y533" i="3"/>
  <c r="Y509" i="3"/>
  <c r="AA509" i="3" s="1"/>
  <c r="AB509" i="3" s="1"/>
  <c r="Y493" i="3"/>
  <c r="AA493" i="3" s="1"/>
  <c r="AB493" i="3" s="1"/>
  <c r="Y469" i="3"/>
  <c r="AA469" i="3" s="1"/>
  <c r="AB469" i="3" s="1"/>
  <c r="Y453" i="3"/>
  <c r="AA453" i="3" s="1"/>
  <c r="AB453" i="3" s="1"/>
  <c r="Y437" i="3"/>
  <c r="AA437" i="3" s="1"/>
  <c r="AB437" i="3" s="1"/>
  <c r="Y421" i="3"/>
  <c r="Y405" i="3"/>
  <c r="AA405" i="3" s="1"/>
  <c r="AB405" i="3" s="1"/>
  <c r="Y389" i="3"/>
  <c r="Y373" i="3"/>
  <c r="AA373" i="3" s="1"/>
  <c r="AB373" i="3" s="1"/>
  <c r="Y349" i="3"/>
  <c r="AA349" i="3" s="1"/>
  <c r="AB349" i="3" s="1"/>
  <c r="Y333" i="3"/>
  <c r="AA333" i="3" s="1"/>
  <c r="AB333" i="3" s="1"/>
  <c r="Y309" i="3"/>
  <c r="AA309" i="3" s="1"/>
  <c r="AB309" i="3" s="1"/>
  <c r="Y285" i="3"/>
  <c r="AA285" i="3" s="1"/>
  <c r="AB285" i="3" s="1"/>
  <c r="Y269" i="3"/>
  <c r="AA269" i="3" s="1"/>
  <c r="AB269" i="3" s="1"/>
  <c r="Y261" i="3"/>
  <c r="Y253" i="3"/>
  <c r="AA253" i="3" s="1"/>
  <c r="AB253" i="3" s="1"/>
  <c r="Y245" i="3"/>
  <c r="AA245" i="3" s="1"/>
  <c r="AB245" i="3" s="1"/>
  <c r="Y237" i="3"/>
  <c r="AA237" i="3" s="1"/>
  <c r="AB237" i="3" s="1"/>
  <c r="Y229" i="3"/>
  <c r="AA229" i="3" s="1"/>
  <c r="AB229" i="3" s="1"/>
  <c r="Y221" i="3"/>
  <c r="AA221" i="3" s="1"/>
  <c r="AB221" i="3" s="1"/>
  <c r="Y213" i="3"/>
  <c r="AA213" i="3" s="1"/>
  <c r="AB213" i="3" s="1"/>
  <c r="Y205" i="3"/>
  <c r="AA205" i="3" s="1"/>
  <c r="AB205" i="3" s="1"/>
  <c r="Y189" i="3"/>
  <c r="AA189" i="3" s="1"/>
  <c r="AB189" i="3" s="1"/>
  <c r="Y181" i="3"/>
  <c r="AA181" i="3" s="1"/>
  <c r="AB181" i="3" s="1"/>
  <c r="Y173" i="3"/>
  <c r="AA173" i="3" s="1"/>
  <c r="AB173" i="3" s="1"/>
  <c r="Y165" i="3"/>
  <c r="AA165" i="3" s="1"/>
  <c r="AB165" i="3" s="1"/>
  <c r="Y157" i="3"/>
  <c r="Y149" i="3"/>
  <c r="AA149" i="3" s="1"/>
  <c r="AB149" i="3" s="1"/>
  <c r="Y141" i="3"/>
  <c r="AA141" i="3" s="1"/>
  <c r="AB141" i="3" s="1"/>
  <c r="Y133" i="3"/>
  <c r="Y125" i="3"/>
  <c r="Y117" i="3"/>
  <c r="AA117" i="3" s="1"/>
  <c r="AB117" i="3" s="1"/>
  <c r="Y109" i="3"/>
  <c r="AA109" i="3" s="1"/>
  <c r="AB109" i="3" s="1"/>
  <c r="Y101" i="3"/>
  <c r="AA101" i="3" s="1"/>
  <c r="AB101" i="3" s="1"/>
  <c r="Y93" i="3"/>
  <c r="AA93" i="3" s="1"/>
  <c r="AB93" i="3" s="1"/>
  <c r="Y85" i="3"/>
  <c r="Y77" i="3"/>
  <c r="Y69" i="3"/>
  <c r="Y61" i="3"/>
  <c r="AA61" i="3" s="1"/>
  <c r="AB61" i="3" s="1"/>
  <c r="Y53" i="3"/>
  <c r="AA53" i="3" s="1"/>
  <c r="AB53" i="3" s="1"/>
  <c r="Y45" i="3"/>
  <c r="AA45" i="3" s="1"/>
  <c r="AB45" i="3" s="1"/>
  <c r="Y37" i="3"/>
  <c r="AA37" i="3" s="1"/>
  <c r="AB37" i="3" s="1"/>
  <c r="Y29" i="3"/>
  <c r="AA29" i="3" s="1"/>
  <c r="AB29" i="3" s="1"/>
  <c r="Y21" i="3"/>
  <c r="AA21" i="3" s="1"/>
  <c r="AB21" i="3" s="1"/>
  <c r="Y13" i="3"/>
  <c r="AA13" i="3" s="1"/>
  <c r="AB13" i="3" s="1"/>
  <c r="Y5" i="3"/>
  <c r="AA5" i="3" s="1"/>
  <c r="AB5" i="3" s="1"/>
  <c r="Y326" i="3"/>
  <c r="Y286" i="3"/>
  <c r="AA286" i="3" s="1"/>
  <c r="AB286" i="3" s="1"/>
  <c r="Y238" i="3"/>
  <c r="AA238" i="3" s="1"/>
  <c r="AB238" i="3" s="1"/>
  <c r="Y190" i="3"/>
  <c r="AA190" i="3" s="1"/>
  <c r="AB190" i="3" s="1"/>
  <c r="Y142" i="3"/>
  <c r="Y110" i="3"/>
  <c r="AA110" i="3" s="1"/>
  <c r="AB110" i="3" s="1"/>
  <c r="Y94" i="3"/>
  <c r="AA94" i="3" s="1"/>
  <c r="AB94" i="3" s="1"/>
  <c r="Y78" i="3"/>
  <c r="AA78" i="3" s="1"/>
  <c r="AB78" i="3" s="1"/>
  <c r="Y70" i="3"/>
  <c r="Y6" i="3"/>
  <c r="Y629" i="3"/>
  <c r="AA629" i="3" s="1"/>
  <c r="AB629" i="3" s="1"/>
  <c r="Y621" i="3"/>
  <c r="AA621" i="3" s="1"/>
  <c r="AB621" i="3" s="1"/>
  <c r="Y605" i="3"/>
  <c r="AA605" i="3" s="1"/>
  <c r="AB605" i="3" s="1"/>
  <c r="Y597" i="3"/>
  <c r="Y581" i="3"/>
  <c r="AA581" i="3" s="1"/>
  <c r="AB581" i="3" s="1"/>
  <c r="Y565" i="3"/>
  <c r="Y549" i="3"/>
  <c r="Y541" i="3"/>
  <c r="AA541" i="3" s="1"/>
  <c r="AB541" i="3" s="1"/>
  <c r="Y525" i="3"/>
  <c r="AA525" i="3" s="1"/>
  <c r="AB525" i="3" s="1"/>
  <c r="Y517" i="3"/>
  <c r="AA517" i="3" s="1"/>
  <c r="AB517" i="3" s="1"/>
  <c r="Y501" i="3"/>
  <c r="AA501" i="3" s="1"/>
  <c r="AB501" i="3" s="1"/>
  <c r="Y485" i="3"/>
  <c r="Y477" i="3"/>
  <c r="Y461" i="3"/>
  <c r="AA461" i="3" s="1"/>
  <c r="AB461" i="3" s="1"/>
  <c r="Y445" i="3"/>
  <c r="AA445" i="3" s="1"/>
  <c r="AB445" i="3" s="1"/>
  <c r="Y429" i="3"/>
  <c r="Y413" i="3"/>
  <c r="AA413" i="3" s="1"/>
  <c r="AB413" i="3" s="1"/>
  <c r="Y397" i="3"/>
  <c r="AA397" i="3" s="1"/>
  <c r="AB397" i="3" s="1"/>
  <c r="Y381" i="3"/>
  <c r="AA381" i="3" s="1"/>
  <c r="AB381" i="3" s="1"/>
  <c r="Y365" i="3"/>
  <c r="AA365" i="3" s="1"/>
  <c r="AB365" i="3" s="1"/>
  <c r="Y357" i="3"/>
  <c r="AA357" i="3" s="1"/>
  <c r="AB357" i="3" s="1"/>
  <c r="Y341" i="3"/>
  <c r="AA341" i="3" s="1"/>
  <c r="AB341" i="3" s="1"/>
  <c r="Y325" i="3"/>
  <c r="Y317" i="3"/>
  <c r="Y301" i="3"/>
  <c r="AA301" i="3" s="1"/>
  <c r="AB301" i="3" s="1"/>
  <c r="Y293" i="3"/>
  <c r="AA293" i="3" s="1"/>
  <c r="AB293" i="3" s="1"/>
  <c r="Y277" i="3"/>
  <c r="AA277" i="3" s="1"/>
  <c r="AB277" i="3" s="1"/>
  <c r="Y197" i="3"/>
  <c r="Y628" i="3"/>
  <c r="AA628" i="3" s="1"/>
  <c r="AB628" i="3" s="1"/>
  <c r="Y620" i="3"/>
  <c r="AA620" i="3" s="1"/>
  <c r="AB620" i="3" s="1"/>
  <c r="Y612" i="3"/>
  <c r="Y604" i="3"/>
  <c r="AA604" i="3" s="1"/>
  <c r="AB604" i="3" s="1"/>
  <c r="Y596" i="3"/>
  <c r="AA596" i="3" s="1"/>
  <c r="AB596" i="3" s="1"/>
  <c r="Y588" i="3"/>
  <c r="AA588" i="3" s="1"/>
  <c r="AB588" i="3" s="1"/>
  <c r="Y580" i="3"/>
  <c r="AA580" i="3" s="1"/>
  <c r="AB580" i="3" s="1"/>
  <c r="Y572" i="3"/>
  <c r="Y564" i="3"/>
  <c r="Y556" i="3"/>
  <c r="Y548" i="3"/>
  <c r="AA548" i="3" s="1"/>
  <c r="AB548" i="3" s="1"/>
  <c r="Y540" i="3"/>
  <c r="Y532" i="3"/>
  <c r="AA532" i="3" s="1"/>
  <c r="AB532" i="3" s="1"/>
  <c r="Y524" i="3"/>
  <c r="AA524" i="3" s="1"/>
  <c r="AB524" i="3" s="1"/>
  <c r="Y516" i="3"/>
  <c r="AA516" i="3" s="1"/>
  <c r="AB516" i="3" s="1"/>
  <c r="Y508" i="3"/>
  <c r="Y500" i="3"/>
  <c r="Y492" i="3"/>
  <c r="AA492" i="3" s="1"/>
  <c r="AB492" i="3" s="1"/>
  <c r="Y484" i="3"/>
  <c r="Y476" i="3"/>
  <c r="Y468" i="3"/>
  <c r="AA468" i="3" s="1"/>
  <c r="AB468" i="3" s="1"/>
  <c r="Y460" i="3"/>
  <c r="AA460" i="3" s="1"/>
  <c r="AB460" i="3" s="1"/>
  <c r="Y452" i="3"/>
  <c r="AA452" i="3" s="1"/>
  <c r="AB452" i="3" s="1"/>
  <c r="Y444" i="3"/>
  <c r="AA444" i="3" s="1"/>
  <c r="AB444" i="3" s="1"/>
  <c r="Y436" i="3"/>
  <c r="AA436" i="3" s="1"/>
  <c r="AB436" i="3" s="1"/>
  <c r="Y428" i="3"/>
  <c r="AA428" i="3" s="1"/>
  <c r="AB428" i="3" s="1"/>
  <c r="Y420" i="3"/>
  <c r="AA420" i="3" s="1"/>
  <c r="AB420" i="3" s="1"/>
  <c r="Y412" i="3"/>
  <c r="Y404" i="3"/>
  <c r="AA404" i="3" s="1"/>
  <c r="AB404" i="3" s="1"/>
  <c r="Y396" i="3"/>
  <c r="AA396" i="3" s="1"/>
  <c r="AB396" i="3" s="1"/>
  <c r="Y388" i="3"/>
  <c r="Y380" i="3"/>
  <c r="AA380" i="3" s="1"/>
  <c r="AB380" i="3" s="1"/>
  <c r="Y372" i="3"/>
  <c r="Y364" i="3"/>
  <c r="AA364" i="3" s="1"/>
  <c r="AB364" i="3" s="1"/>
  <c r="Y356" i="3"/>
  <c r="AA356" i="3" s="1"/>
  <c r="AB356" i="3" s="1"/>
  <c r="Y348" i="3"/>
  <c r="AA348" i="3" s="1"/>
  <c r="AB348" i="3" s="1"/>
  <c r="Y340" i="3"/>
  <c r="AA340" i="3" s="1"/>
  <c r="AB340" i="3" s="1"/>
  <c r="Y332" i="3"/>
  <c r="AA332" i="3" s="1"/>
  <c r="AB332" i="3" s="1"/>
  <c r="Y324" i="3"/>
  <c r="AA324" i="3" s="1"/>
  <c r="AB324" i="3" s="1"/>
  <c r="Y316" i="3"/>
  <c r="Y308" i="3"/>
  <c r="AA308" i="3" s="1"/>
  <c r="AB308" i="3" s="1"/>
  <c r="Y300" i="3"/>
  <c r="AA300" i="3" s="1"/>
  <c r="AB300" i="3" s="1"/>
  <c r="Y292" i="3"/>
  <c r="AA292" i="3" s="1"/>
  <c r="AB292" i="3" s="1"/>
  <c r="Y284" i="3"/>
  <c r="AA284" i="3" s="1"/>
  <c r="AB284" i="3" s="1"/>
  <c r="Y276" i="3"/>
  <c r="AA276" i="3" s="1"/>
  <c r="AB276" i="3" s="1"/>
  <c r="Y268" i="3"/>
  <c r="AA268" i="3" s="1"/>
  <c r="AB268" i="3" s="1"/>
  <c r="Y260" i="3"/>
  <c r="Y252" i="3"/>
  <c r="AA252" i="3" s="1"/>
  <c r="AB252" i="3" s="1"/>
  <c r="Y244" i="3"/>
  <c r="AA244" i="3" s="1"/>
  <c r="AB244" i="3" s="1"/>
  <c r="Y236" i="3"/>
  <c r="AA236" i="3" s="1"/>
  <c r="AB236" i="3" s="1"/>
  <c r="Y228" i="3"/>
  <c r="Y220" i="3"/>
  <c r="AA220" i="3" s="1"/>
  <c r="AB220" i="3" s="1"/>
  <c r="Y212" i="3"/>
  <c r="AA212" i="3" s="1"/>
  <c r="AB212" i="3" s="1"/>
  <c r="Y204" i="3"/>
  <c r="AA204" i="3" s="1"/>
  <c r="AB204" i="3" s="1"/>
  <c r="Y196" i="3"/>
  <c r="AA196" i="3" s="1"/>
  <c r="AB196" i="3" s="1"/>
  <c r="Y188" i="3"/>
  <c r="AA188" i="3" s="1"/>
  <c r="AB188" i="3" s="1"/>
  <c r="Y180" i="3"/>
  <c r="AA180" i="3" s="1"/>
  <c r="AB180" i="3" s="1"/>
  <c r="Y172" i="3"/>
  <c r="Y164" i="3"/>
  <c r="Y156" i="3"/>
  <c r="Y148" i="3"/>
  <c r="AA148" i="3" s="1"/>
  <c r="AB148" i="3" s="1"/>
  <c r="Y140" i="3"/>
  <c r="AA140" i="3" s="1"/>
  <c r="AB140" i="3" s="1"/>
  <c r="Y132" i="3"/>
  <c r="AA132" i="3" s="1"/>
  <c r="AB132" i="3" s="1"/>
  <c r="Y124" i="3"/>
  <c r="AA124" i="3" s="1"/>
  <c r="AB124" i="3" s="1"/>
  <c r="Y116" i="3"/>
  <c r="AA116" i="3" s="1"/>
  <c r="AB116" i="3" s="1"/>
  <c r="Y108" i="3"/>
  <c r="AA108" i="3" s="1"/>
  <c r="AB108" i="3" s="1"/>
  <c r="Y100" i="3"/>
  <c r="Y92" i="3"/>
  <c r="AA92" i="3" s="1"/>
  <c r="AB92" i="3" s="1"/>
  <c r="Y84" i="3"/>
  <c r="AA84" i="3" s="1"/>
  <c r="AB84" i="3" s="1"/>
  <c r="Y76" i="3"/>
  <c r="AA76" i="3" s="1"/>
  <c r="AB76" i="3" s="1"/>
  <c r="Y68" i="3"/>
  <c r="Y60" i="3"/>
  <c r="Y52" i="3"/>
  <c r="AA52" i="3" s="1"/>
  <c r="AB52" i="3" s="1"/>
  <c r="Y44" i="3"/>
  <c r="AA44" i="3" s="1"/>
  <c r="AB44" i="3" s="1"/>
  <c r="Y36" i="3"/>
  <c r="Y28" i="3"/>
  <c r="Y20" i="3"/>
  <c r="AA20" i="3" s="1"/>
  <c r="AB20" i="3" s="1"/>
  <c r="Y12" i="3"/>
  <c r="AA12" i="3" s="1"/>
  <c r="AB12" i="3" s="1"/>
  <c r="Y4" i="3"/>
  <c r="Y606" i="3"/>
  <c r="AA606" i="3" s="1"/>
  <c r="AB606" i="3" s="1"/>
  <c r="Y550" i="3"/>
  <c r="AA550" i="3" s="1"/>
  <c r="AB550" i="3" s="1"/>
  <c r="Y502" i="3"/>
  <c r="AA502" i="3" s="1"/>
  <c r="AB502" i="3" s="1"/>
  <c r="Y462" i="3"/>
  <c r="Y414" i="3"/>
  <c r="AA414" i="3" s="1"/>
  <c r="AB414" i="3" s="1"/>
  <c r="Y358" i="3"/>
  <c r="AA358" i="3" s="1"/>
  <c r="AB358" i="3" s="1"/>
  <c r="Y302" i="3"/>
  <c r="AA302" i="3" s="1"/>
  <c r="AB302" i="3" s="1"/>
  <c r="Y230" i="3"/>
  <c r="AA230" i="3" s="1"/>
  <c r="AB230" i="3" s="1"/>
  <c r="Y158" i="3"/>
  <c r="AA158" i="3" s="1"/>
  <c r="AB158" i="3" s="1"/>
  <c r="Y46" i="3"/>
  <c r="AA46" i="3" s="1"/>
  <c r="AB46" i="3" s="1"/>
  <c r="Y611" i="3"/>
  <c r="AA611" i="3" s="1"/>
  <c r="AB611" i="3" s="1"/>
  <c r="Y563" i="3"/>
  <c r="AA563" i="3" s="1"/>
  <c r="AB563" i="3" s="1"/>
  <c r="Y515" i="3"/>
  <c r="AA515" i="3" s="1"/>
  <c r="AB515" i="3" s="1"/>
  <c r="Y467" i="3"/>
  <c r="AA467" i="3" s="1"/>
  <c r="AB467" i="3" s="1"/>
  <c r="Y427" i="3"/>
  <c r="AA427" i="3" s="1"/>
  <c r="AB427" i="3" s="1"/>
  <c r="Y379" i="3"/>
  <c r="AA379" i="3" s="1"/>
  <c r="AB379" i="3" s="1"/>
  <c r="Y331" i="3"/>
  <c r="AA331" i="3" s="1"/>
  <c r="AB331" i="3" s="1"/>
  <c r="Y283" i="3"/>
  <c r="AA283" i="3" s="1"/>
  <c r="AB283" i="3" s="1"/>
  <c r="Y227" i="3"/>
  <c r="Y139" i="3"/>
  <c r="Y83" i="3"/>
  <c r="AA83" i="3" s="1"/>
  <c r="AB83" i="3" s="1"/>
  <c r="Y27" i="3"/>
  <c r="AA27" i="3" s="1"/>
  <c r="AB27" i="3" s="1"/>
  <c r="Y614" i="3"/>
  <c r="AA614" i="3" s="1"/>
  <c r="AB614" i="3" s="1"/>
  <c r="Y566" i="3"/>
  <c r="AA566" i="3" s="1"/>
  <c r="AB566" i="3" s="1"/>
  <c r="Y526" i="3"/>
  <c r="AA526" i="3" s="1"/>
  <c r="AB526" i="3" s="1"/>
  <c r="Y478" i="3"/>
  <c r="AA478" i="3" s="1"/>
  <c r="AB478" i="3" s="1"/>
  <c r="Y438" i="3"/>
  <c r="AA438" i="3" s="1"/>
  <c r="AB438" i="3" s="1"/>
  <c r="Y398" i="3"/>
  <c r="Y342" i="3"/>
  <c r="AA342" i="3" s="1"/>
  <c r="AB342" i="3" s="1"/>
  <c r="Y278" i="3"/>
  <c r="AA278" i="3" s="1"/>
  <c r="AB278" i="3" s="1"/>
  <c r="Y222" i="3"/>
  <c r="AA222" i="3" s="1"/>
  <c r="AB222" i="3" s="1"/>
  <c r="Y166" i="3"/>
  <c r="AA166" i="3" s="1"/>
  <c r="AB166" i="3" s="1"/>
  <c r="Y38" i="3"/>
  <c r="AA38" i="3" s="1"/>
  <c r="AB38" i="3" s="1"/>
  <c r="Y603" i="3"/>
  <c r="AA603" i="3" s="1"/>
  <c r="AB603" i="3" s="1"/>
  <c r="Y547" i="3"/>
  <c r="Y507" i="3"/>
  <c r="Y475" i="3"/>
  <c r="Y435" i="3"/>
  <c r="AA435" i="3" s="1"/>
  <c r="AB435" i="3" s="1"/>
  <c r="Y403" i="3"/>
  <c r="Y363" i="3"/>
  <c r="AA363" i="3" s="1"/>
  <c r="AB363" i="3" s="1"/>
  <c r="Y315" i="3"/>
  <c r="Y275" i="3"/>
  <c r="AA275" i="3" s="1"/>
  <c r="AB275" i="3" s="1"/>
  <c r="Y243" i="3"/>
  <c r="AA243" i="3" s="1"/>
  <c r="AB243" i="3" s="1"/>
  <c r="Y195" i="3"/>
  <c r="AA195" i="3" s="1"/>
  <c r="AB195" i="3" s="1"/>
  <c r="Y163" i="3"/>
  <c r="AA163" i="3" s="1"/>
  <c r="AB163" i="3" s="1"/>
  <c r="Y131" i="3"/>
  <c r="AA131" i="3" s="1"/>
  <c r="AB131" i="3" s="1"/>
  <c r="Y99" i="3"/>
  <c r="AA99" i="3" s="1"/>
  <c r="AB99" i="3" s="1"/>
  <c r="Y59" i="3"/>
  <c r="AA59" i="3" s="1"/>
  <c r="AB59" i="3" s="1"/>
  <c r="Y35" i="3"/>
  <c r="AA35" i="3" s="1"/>
  <c r="AB35" i="3" s="1"/>
  <c r="Y19" i="3"/>
  <c r="AA19" i="3" s="1"/>
  <c r="AB19" i="3" s="1"/>
  <c r="Y2" i="3"/>
  <c r="AA2" i="3" s="1"/>
  <c r="AB2" i="3" s="1"/>
  <c r="Y594" i="3"/>
  <c r="Y554" i="3"/>
  <c r="AA554" i="3" s="1"/>
  <c r="AB554" i="3" s="1"/>
  <c r="Y522" i="3"/>
  <c r="AA522" i="3" s="1"/>
  <c r="AB522" i="3" s="1"/>
  <c r="Y506" i="3"/>
  <c r="AA506" i="3" s="1"/>
  <c r="AB506" i="3" s="1"/>
  <c r="Y474" i="3"/>
  <c r="AA474" i="3" s="1"/>
  <c r="AB474" i="3" s="1"/>
  <c r="Y466" i="3"/>
  <c r="AA466" i="3" s="1"/>
  <c r="AB466" i="3" s="1"/>
  <c r="Y458" i="3"/>
  <c r="AA458" i="3" s="1"/>
  <c r="AB458" i="3" s="1"/>
  <c r="Y450" i="3"/>
  <c r="AA450" i="3" s="1"/>
  <c r="AB450" i="3" s="1"/>
  <c r="Y442" i="3"/>
  <c r="Y434" i="3"/>
  <c r="AA434" i="3" s="1"/>
  <c r="AB434" i="3" s="1"/>
  <c r="Y426" i="3"/>
  <c r="AA426" i="3" s="1"/>
  <c r="AB426" i="3" s="1"/>
  <c r="Y418" i="3"/>
  <c r="AA418" i="3" s="1"/>
  <c r="AB418" i="3" s="1"/>
  <c r="Y410" i="3"/>
  <c r="AA410" i="3" s="1"/>
  <c r="AB410" i="3" s="1"/>
  <c r="Y402" i="3"/>
  <c r="AA402" i="3" s="1"/>
  <c r="AB402" i="3" s="1"/>
  <c r="Y394" i="3"/>
  <c r="AA394" i="3" s="1"/>
  <c r="AB394" i="3" s="1"/>
  <c r="Y386" i="3"/>
  <c r="AA386" i="3" s="1"/>
  <c r="AB386" i="3" s="1"/>
  <c r="Y378" i="3"/>
  <c r="Y370" i="3"/>
  <c r="AA370" i="3" s="1"/>
  <c r="AB370" i="3" s="1"/>
  <c r="Y362" i="3"/>
  <c r="AA362" i="3" s="1"/>
  <c r="AB362" i="3" s="1"/>
  <c r="Y354" i="3"/>
  <c r="AA354" i="3" s="1"/>
  <c r="AB354" i="3" s="1"/>
  <c r="Y346" i="3"/>
  <c r="AA346" i="3" s="1"/>
  <c r="AB346" i="3" s="1"/>
  <c r="Y338" i="3"/>
  <c r="AA338" i="3" s="1"/>
  <c r="AB338" i="3" s="1"/>
  <c r="Y330" i="3"/>
  <c r="AA330" i="3" s="1"/>
  <c r="AB330" i="3" s="1"/>
  <c r="Y322" i="3"/>
  <c r="AA322" i="3" s="1"/>
  <c r="AB322" i="3" s="1"/>
  <c r="Y314" i="3"/>
  <c r="Y306" i="3"/>
  <c r="AA306" i="3" s="1"/>
  <c r="AB306" i="3" s="1"/>
  <c r="Y298" i="3"/>
  <c r="AA298" i="3" s="1"/>
  <c r="AB298" i="3" s="1"/>
  <c r="Y290" i="3"/>
  <c r="AA290" i="3" s="1"/>
  <c r="AB290" i="3" s="1"/>
  <c r="Y282" i="3"/>
  <c r="AA282" i="3" s="1"/>
  <c r="AB282" i="3" s="1"/>
  <c r="Y274" i="3"/>
  <c r="AA274" i="3" s="1"/>
  <c r="AB274" i="3" s="1"/>
  <c r="Y266" i="3"/>
  <c r="AA266" i="3" s="1"/>
  <c r="AB266" i="3" s="1"/>
  <c r="Y258" i="3"/>
  <c r="AA258" i="3" s="1"/>
  <c r="AB258" i="3" s="1"/>
  <c r="Y250" i="3"/>
  <c r="Y242" i="3"/>
  <c r="AA242" i="3" s="1"/>
  <c r="AB242" i="3" s="1"/>
  <c r="Y234" i="3"/>
  <c r="AA234" i="3" s="1"/>
  <c r="AB234" i="3" s="1"/>
  <c r="Y226" i="3"/>
  <c r="AA226" i="3" s="1"/>
  <c r="AB226" i="3" s="1"/>
  <c r="Y218" i="3"/>
  <c r="AA218" i="3" s="1"/>
  <c r="AB218" i="3" s="1"/>
  <c r="Y210" i="3"/>
  <c r="AA210" i="3" s="1"/>
  <c r="AB210" i="3" s="1"/>
  <c r="Y202" i="3"/>
  <c r="AA202" i="3" s="1"/>
  <c r="AB202" i="3" s="1"/>
  <c r="Y194" i="3"/>
  <c r="AA194" i="3" s="1"/>
  <c r="AB194" i="3" s="1"/>
  <c r="Y186" i="3"/>
  <c r="Y178" i="3"/>
  <c r="AA178" i="3" s="1"/>
  <c r="AB178" i="3" s="1"/>
  <c r="Y170" i="3"/>
  <c r="AA170" i="3" s="1"/>
  <c r="AB170" i="3" s="1"/>
  <c r="Y162" i="3"/>
  <c r="AA162" i="3" s="1"/>
  <c r="AB162" i="3" s="1"/>
  <c r="Y154" i="3"/>
  <c r="Y146" i="3"/>
  <c r="AA146" i="3" s="1"/>
  <c r="AB146" i="3" s="1"/>
  <c r="Y138" i="3"/>
  <c r="AA138" i="3" s="1"/>
  <c r="AB138" i="3" s="1"/>
  <c r="Y130" i="3"/>
  <c r="AA130" i="3" s="1"/>
  <c r="AB130" i="3" s="1"/>
  <c r="Y122" i="3"/>
  <c r="Y114" i="3"/>
  <c r="Y106" i="3"/>
  <c r="AA106" i="3" s="1"/>
  <c r="AB106" i="3" s="1"/>
  <c r="Y98" i="3"/>
  <c r="AA98" i="3" s="1"/>
  <c r="AB98" i="3" s="1"/>
  <c r="Y90" i="3"/>
  <c r="AA90" i="3" s="1"/>
  <c r="AB90" i="3" s="1"/>
  <c r="Y82" i="3"/>
  <c r="AA82" i="3" s="1"/>
  <c r="AB82" i="3" s="1"/>
  <c r="Y74" i="3"/>
  <c r="AA74" i="3" s="1"/>
  <c r="AB74" i="3" s="1"/>
  <c r="Y66" i="3"/>
  <c r="AA66" i="3" s="1"/>
  <c r="AB66" i="3" s="1"/>
  <c r="Y58" i="3"/>
  <c r="Y50" i="3"/>
  <c r="AA50" i="3" s="1"/>
  <c r="AB50" i="3" s="1"/>
  <c r="Y42" i="3"/>
  <c r="AA42" i="3" s="1"/>
  <c r="AB42" i="3" s="1"/>
  <c r="Y34" i="3"/>
  <c r="AA34" i="3" s="1"/>
  <c r="AB34" i="3" s="1"/>
  <c r="Y26" i="3"/>
  <c r="AA26" i="3" s="1"/>
  <c r="AB26" i="3" s="1"/>
  <c r="Y18" i="3"/>
  <c r="Y10" i="3"/>
  <c r="AA10" i="3" s="1"/>
  <c r="AB10" i="3" s="1"/>
  <c r="Y598" i="3"/>
  <c r="AA598" i="3" s="1"/>
  <c r="AB598" i="3" s="1"/>
  <c r="Y542" i="3"/>
  <c r="Y486" i="3"/>
  <c r="AA486" i="3" s="1"/>
  <c r="AB486" i="3" s="1"/>
  <c r="Y430" i="3"/>
  <c r="AA430" i="3" s="1"/>
  <c r="AB430" i="3" s="1"/>
  <c r="Y374" i="3"/>
  <c r="AA374" i="3" s="1"/>
  <c r="AB374" i="3" s="1"/>
  <c r="Y310" i="3"/>
  <c r="AA310" i="3" s="1"/>
  <c r="AB310" i="3" s="1"/>
  <c r="Y246" i="3"/>
  <c r="AA246" i="3" s="1"/>
  <c r="AB246" i="3" s="1"/>
  <c r="Y174" i="3"/>
  <c r="AA174" i="3" s="1"/>
  <c r="AB174" i="3" s="1"/>
  <c r="Y30" i="3"/>
  <c r="Y595" i="3"/>
  <c r="Y571" i="3"/>
  <c r="Y531" i="3"/>
  <c r="AA531" i="3" s="1"/>
  <c r="AB531" i="3" s="1"/>
  <c r="Y491" i="3"/>
  <c r="AA491" i="3" s="1"/>
  <c r="AB491" i="3" s="1"/>
  <c r="Y443" i="3"/>
  <c r="AA443" i="3" s="1"/>
  <c r="AB443" i="3" s="1"/>
  <c r="Y395" i="3"/>
  <c r="AA395" i="3" s="1"/>
  <c r="AB395" i="3" s="1"/>
  <c r="Y347" i="3"/>
  <c r="AA347" i="3" s="1"/>
  <c r="AB347" i="3" s="1"/>
  <c r="Y307" i="3"/>
  <c r="Y259" i="3"/>
  <c r="Y211" i="3"/>
  <c r="Y171" i="3"/>
  <c r="AA171" i="3" s="1"/>
  <c r="AB171" i="3" s="1"/>
  <c r="Y115" i="3"/>
  <c r="AA115" i="3" s="1"/>
  <c r="AB115" i="3" s="1"/>
  <c r="Y11" i="3"/>
  <c r="AA11" i="3" s="1"/>
  <c r="AB11" i="3" s="1"/>
  <c r="Y610" i="3"/>
  <c r="AA610" i="3" s="1"/>
  <c r="AB610" i="3" s="1"/>
  <c r="Y578" i="3"/>
  <c r="AA578" i="3" s="1"/>
  <c r="AB578" i="3" s="1"/>
  <c r="Y538" i="3"/>
  <c r="AA538" i="3" s="1"/>
  <c r="AB538" i="3" s="1"/>
  <c r="Y498" i="3"/>
  <c r="AA498" i="3" s="1"/>
  <c r="AB498" i="3" s="1"/>
  <c r="Y633" i="3"/>
  <c r="Y617" i="3"/>
  <c r="AA617" i="3" s="1"/>
  <c r="AB617" i="3" s="1"/>
  <c r="Y609" i="3"/>
  <c r="AA609" i="3" s="1"/>
  <c r="AB609" i="3" s="1"/>
  <c r="Y601" i="3"/>
  <c r="Y593" i="3"/>
  <c r="AA593" i="3" s="1"/>
  <c r="AB593" i="3" s="1"/>
  <c r="Y585" i="3"/>
  <c r="AA585" i="3" s="1"/>
  <c r="AB585" i="3" s="1"/>
  <c r="Y577" i="3"/>
  <c r="Y569" i="3"/>
  <c r="Y561" i="3"/>
  <c r="AA561" i="3" s="1"/>
  <c r="AB561" i="3" s="1"/>
  <c r="Y553" i="3"/>
  <c r="AA553" i="3" s="1"/>
  <c r="AB553" i="3" s="1"/>
  <c r="Y545" i="3"/>
  <c r="AA545" i="3" s="1"/>
  <c r="AB545" i="3" s="1"/>
  <c r="Y537" i="3"/>
  <c r="AA537" i="3" s="1"/>
  <c r="AB537" i="3" s="1"/>
  <c r="Y529" i="3"/>
  <c r="AA529" i="3" s="1"/>
  <c r="AB529" i="3" s="1"/>
  <c r="Y521" i="3"/>
  <c r="AA521" i="3" s="1"/>
  <c r="AB521" i="3" s="1"/>
  <c r="Y513" i="3"/>
  <c r="AA513" i="3" s="1"/>
  <c r="AB513" i="3" s="1"/>
  <c r="Y505" i="3"/>
  <c r="Y497" i="3"/>
  <c r="AA497" i="3" s="1"/>
  <c r="AB497" i="3" s="1"/>
  <c r="Y489" i="3"/>
  <c r="AA489" i="3" s="1"/>
  <c r="AB489" i="3" s="1"/>
  <c r="Y481" i="3"/>
  <c r="AA481" i="3" s="1"/>
  <c r="AB481" i="3" s="1"/>
  <c r="Y473" i="3"/>
  <c r="AA473" i="3" s="1"/>
  <c r="AB473" i="3" s="1"/>
  <c r="Y465" i="3"/>
  <c r="AA465" i="3" s="1"/>
  <c r="AB465" i="3" s="1"/>
  <c r="Y457" i="3"/>
  <c r="AA457" i="3" s="1"/>
  <c r="AB457" i="3" s="1"/>
  <c r="Y449" i="3"/>
  <c r="Y441" i="3"/>
  <c r="Y433" i="3"/>
  <c r="Y425" i="3"/>
  <c r="AA425" i="3" s="1"/>
  <c r="AB425" i="3" s="1"/>
  <c r="Y417" i="3"/>
  <c r="AA417" i="3" s="1"/>
  <c r="AB417" i="3" s="1"/>
  <c r="Y409" i="3"/>
  <c r="AA409" i="3" s="1"/>
  <c r="AB409" i="3" s="1"/>
  <c r="Y401" i="3"/>
  <c r="AA401" i="3" s="1"/>
  <c r="AB401" i="3" s="1"/>
  <c r="Y393" i="3"/>
  <c r="AA393" i="3" s="1"/>
  <c r="AB393" i="3" s="1"/>
  <c r="Y385" i="3"/>
  <c r="AA385" i="3" s="1"/>
  <c r="AB385" i="3" s="1"/>
  <c r="Y377" i="3"/>
  <c r="AA377" i="3" s="1"/>
  <c r="AB377" i="3" s="1"/>
  <c r="Y369" i="3"/>
  <c r="AA369" i="3" s="1"/>
  <c r="AB369" i="3" s="1"/>
  <c r="Y361" i="3"/>
  <c r="AA361" i="3" s="1"/>
  <c r="AB361" i="3" s="1"/>
  <c r="Y353" i="3"/>
  <c r="AA353" i="3" s="1"/>
  <c r="AB353" i="3" s="1"/>
  <c r="Y345" i="3"/>
  <c r="AA345" i="3" s="1"/>
  <c r="AB345" i="3" s="1"/>
  <c r="Y337" i="3"/>
  <c r="AA337" i="3" s="1"/>
  <c r="AB337" i="3" s="1"/>
  <c r="Y329" i="3"/>
  <c r="AA329" i="3" s="1"/>
  <c r="AB329" i="3" s="1"/>
  <c r="Y321" i="3"/>
  <c r="AA321" i="3" s="1"/>
  <c r="AB321" i="3" s="1"/>
  <c r="Y313" i="3"/>
  <c r="Y305" i="3"/>
  <c r="AA305" i="3" s="1"/>
  <c r="AB305" i="3" s="1"/>
  <c r="Y297" i="3"/>
  <c r="AA297" i="3" s="1"/>
  <c r="AB297" i="3" s="1"/>
  <c r="Y289" i="3"/>
  <c r="AA289" i="3" s="1"/>
  <c r="AB289" i="3" s="1"/>
  <c r="Y281" i="3"/>
  <c r="AA281" i="3" s="1"/>
  <c r="AB281" i="3" s="1"/>
  <c r="Y273" i="3"/>
  <c r="Y265" i="3"/>
  <c r="AA265" i="3" s="1"/>
  <c r="AB265" i="3" s="1"/>
  <c r="Y257" i="3"/>
  <c r="Y249" i="3"/>
  <c r="Y241" i="3"/>
  <c r="AA241" i="3" s="1"/>
  <c r="AB241" i="3" s="1"/>
  <c r="Y233" i="3"/>
  <c r="AA233" i="3" s="1"/>
  <c r="AB233" i="3" s="1"/>
  <c r="Y225" i="3"/>
  <c r="AA225" i="3" s="1"/>
  <c r="AB225" i="3" s="1"/>
  <c r="Y217" i="3"/>
  <c r="AA217" i="3" s="1"/>
  <c r="AB217" i="3" s="1"/>
  <c r="Y209" i="3"/>
  <c r="AA209" i="3" s="1"/>
  <c r="AB209" i="3" s="1"/>
  <c r="Y201" i="3"/>
  <c r="AA201" i="3" s="1"/>
  <c r="AB201" i="3" s="1"/>
  <c r="Y193" i="3"/>
  <c r="AA193" i="3" s="1"/>
  <c r="AB193" i="3" s="1"/>
  <c r="Y185" i="3"/>
  <c r="Y177" i="3"/>
  <c r="AA177" i="3" s="1"/>
  <c r="AB177" i="3" s="1"/>
  <c r="Y169" i="3"/>
  <c r="AA169" i="3" s="1"/>
  <c r="AB169" i="3" s="1"/>
  <c r="Y161" i="3"/>
  <c r="AA161" i="3" s="1"/>
  <c r="AB161" i="3" s="1"/>
  <c r="Y153" i="3"/>
  <c r="AA153" i="3" s="1"/>
  <c r="AB153" i="3" s="1"/>
  <c r="Y145" i="3"/>
  <c r="AA145" i="3" s="1"/>
  <c r="AB145" i="3" s="1"/>
  <c r="Y137" i="3"/>
  <c r="AA137" i="3" s="1"/>
  <c r="AB137" i="3" s="1"/>
  <c r="Y129" i="3"/>
  <c r="AA129" i="3" s="1"/>
  <c r="AB129" i="3" s="1"/>
  <c r="Y121" i="3"/>
  <c r="Y113" i="3"/>
  <c r="AA113" i="3" s="1"/>
  <c r="AB113" i="3" s="1"/>
  <c r="Y105" i="3"/>
  <c r="AA105" i="3" s="1"/>
  <c r="AB105" i="3" s="1"/>
  <c r="Y97" i="3"/>
  <c r="AA97" i="3" s="1"/>
  <c r="AB97" i="3" s="1"/>
  <c r="Y89" i="3"/>
  <c r="AA89" i="3" s="1"/>
  <c r="AB89" i="3" s="1"/>
  <c r="Y81" i="3"/>
  <c r="AA81" i="3" s="1"/>
  <c r="AB81" i="3" s="1"/>
  <c r="Y73" i="3"/>
  <c r="AA73" i="3" s="1"/>
  <c r="AB73" i="3" s="1"/>
  <c r="Y65" i="3"/>
  <c r="AA65" i="3" s="1"/>
  <c r="AB65" i="3" s="1"/>
  <c r="Y57" i="3"/>
  <c r="Y49" i="3"/>
  <c r="AA49" i="3" s="1"/>
  <c r="AB49" i="3" s="1"/>
  <c r="Y41" i="3"/>
  <c r="AA41" i="3" s="1"/>
  <c r="AB41" i="3" s="1"/>
  <c r="Y33" i="3"/>
  <c r="AA33" i="3" s="1"/>
  <c r="AB33" i="3" s="1"/>
  <c r="Y25" i="3"/>
  <c r="AA25" i="3" s="1"/>
  <c r="AB25" i="3" s="1"/>
  <c r="Y17" i="3"/>
  <c r="AA17" i="3" s="1"/>
  <c r="AB17" i="3" s="1"/>
  <c r="Y9" i="3"/>
  <c r="AA9" i="3" s="1"/>
  <c r="AB9" i="3" s="1"/>
  <c r="Y590" i="3"/>
  <c r="AA590" i="3" s="1"/>
  <c r="AB590" i="3" s="1"/>
  <c r="Y558" i="3"/>
  <c r="AA558" i="3" s="1"/>
  <c r="AB558" i="3" s="1"/>
  <c r="Y510" i="3"/>
  <c r="AA510" i="3" s="1"/>
  <c r="AB510" i="3" s="1"/>
  <c r="Y454" i="3"/>
  <c r="AA454" i="3" s="1"/>
  <c r="AB454" i="3" s="1"/>
  <c r="Y390" i="3"/>
  <c r="AA390" i="3" s="1"/>
  <c r="AB390" i="3" s="1"/>
  <c r="Y334" i="3"/>
  <c r="AA334" i="3" s="1"/>
  <c r="AB334" i="3" s="1"/>
  <c r="Y270" i="3"/>
  <c r="AA270" i="3" s="1"/>
  <c r="AB270" i="3" s="1"/>
  <c r="Y206" i="3"/>
  <c r="AA206" i="3" s="1"/>
  <c r="AB206" i="3" s="1"/>
  <c r="Y150" i="3"/>
  <c r="AA150" i="3" s="1"/>
  <c r="AB150" i="3" s="1"/>
  <c r="Y54" i="3"/>
  <c r="Y627" i="3"/>
  <c r="AA627" i="3" s="1"/>
  <c r="AB627" i="3" s="1"/>
  <c r="Y587" i="3"/>
  <c r="AA587" i="3" s="1"/>
  <c r="AB587" i="3" s="1"/>
  <c r="Y555" i="3"/>
  <c r="AA555" i="3" s="1"/>
  <c r="AB555" i="3" s="1"/>
  <c r="Y523" i="3"/>
  <c r="AA523" i="3" s="1"/>
  <c r="AB523" i="3" s="1"/>
  <c r="Y483" i="3"/>
  <c r="AA483" i="3" s="1"/>
  <c r="AB483" i="3" s="1"/>
  <c r="Y451" i="3"/>
  <c r="AA451" i="3" s="1"/>
  <c r="AB451" i="3" s="1"/>
  <c r="Y419" i="3"/>
  <c r="AA419" i="3" s="1"/>
  <c r="AB419" i="3" s="1"/>
  <c r="Y387" i="3"/>
  <c r="Y371" i="3"/>
  <c r="AA371" i="3" s="1"/>
  <c r="AB371" i="3" s="1"/>
  <c r="Y339" i="3"/>
  <c r="AA339" i="3" s="1"/>
  <c r="AB339" i="3" s="1"/>
  <c r="Y299" i="3"/>
  <c r="AA299" i="3" s="1"/>
  <c r="AB299" i="3" s="1"/>
  <c r="Y267" i="3"/>
  <c r="AA267" i="3" s="1"/>
  <c r="AB267" i="3" s="1"/>
  <c r="Y235" i="3"/>
  <c r="AA235" i="3" s="1"/>
  <c r="AB235" i="3" s="1"/>
  <c r="Y203" i="3"/>
  <c r="Y179" i="3"/>
  <c r="AA179" i="3" s="1"/>
  <c r="AB179" i="3" s="1"/>
  <c r="Y147" i="3"/>
  <c r="Y123" i="3"/>
  <c r="AA123" i="3" s="1"/>
  <c r="AB123" i="3" s="1"/>
  <c r="Y91" i="3"/>
  <c r="AA91" i="3" s="1"/>
  <c r="AB91" i="3" s="1"/>
  <c r="Y67" i="3"/>
  <c r="AA67" i="3" s="1"/>
  <c r="AB67" i="3" s="1"/>
  <c r="Y51" i="3"/>
  <c r="AA51" i="3" s="1"/>
  <c r="AB51" i="3" s="1"/>
  <c r="Y618" i="3"/>
  <c r="AA618" i="3" s="1"/>
  <c r="AB618" i="3" s="1"/>
  <c r="Y586" i="3"/>
  <c r="AA586" i="3" s="1"/>
  <c r="AB586" i="3" s="1"/>
  <c r="Y562" i="3"/>
  <c r="Y530" i="3"/>
  <c r="AA530" i="3" s="1"/>
  <c r="AB530" i="3" s="1"/>
  <c r="Y490" i="3"/>
  <c r="AA490" i="3" s="1"/>
  <c r="AB490" i="3" s="1"/>
  <c r="Y632" i="3"/>
  <c r="AA632" i="3" s="1"/>
  <c r="AB632" i="3" s="1"/>
  <c r="Y600" i="3"/>
  <c r="AA600" i="3" s="1"/>
  <c r="AB600" i="3" s="1"/>
  <c r="Y584" i="3"/>
  <c r="AA584" i="3" s="1"/>
  <c r="AB584" i="3" s="1"/>
  <c r="Y568" i="3"/>
  <c r="AA568" i="3" s="1"/>
  <c r="AB568" i="3" s="1"/>
  <c r="Y560" i="3"/>
  <c r="AA560" i="3" s="1"/>
  <c r="AB560" i="3" s="1"/>
  <c r="Y552" i="3"/>
  <c r="Y544" i="3"/>
  <c r="Y536" i="3"/>
  <c r="AA536" i="3" s="1"/>
  <c r="AB536" i="3" s="1"/>
  <c r="Y528" i="3"/>
  <c r="AA528" i="3" s="1"/>
  <c r="AB528" i="3" s="1"/>
  <c r="Y520" i="3"/>
  <c r="AA520" i="3" s="1"/>
  <c r="AB520" i="3" s="1"/>
  <c r="Y512" i="3"/>
  <c r="AA512" i="3" s="1"/>
  <c r="AB512" i="3" s="1"/>
  <c r="Y504" i="3"/>
  <c r="AA504" i="3" s="1"/>
  <c r="AB504" i="3" s="1"/>
  <c r="Y496" i="3"/>
  <c r="AA496" i="3" s="1"/>
  <c r="AB496" i="3" s="1"/>
  <c r="Y488" i="3"/>
  <c r="AA488" i="3" s="1"/>
  <c r="AB488" i="3" s="1"/>
  <c r="Y480" i="3"/>
  <c r="Y472" i="3"/>
  <c r="AA472" i="3" s="1"/>
  <c r="AB472" i="3" s="1"/>
  <c r="Y464" i="3"/>
  <c r="AA464" i="3" s="1"/>
  <c r="AB464" i="3" s="1"/>
  <c r="Y456" i="3"/>
  <c r="AA456" i="3" s="1"/>
  <c r="AB456" i="3" s="1"/>
  <c r="Y448" i="3"/>
  <c r="AA448" i="3" s="1"/>
  <c r="AB448" i="3" s="1"/>
  <c r="Y440" i="3"/>
  <c r="AA440" i="3" s="1"/>
  <c r="AB440" i="3" s="1"/>
  <c r="Y432" i="3"/>
  <c r="AA432" i="3" s="1"/>
  <c r="AB432" i="3" s="1"/>
  <c r="Y424" i="3"/>
  <c r="AA424" i="3" s="1"/>
  <c r="AB424" i="3" s="1"/>
  <c r="Y416" i="3"/>
  <c r="Y408" i="3"/>
  <c r="AA408" i="3" s="1"/>
  <c r="AB408" i="3" s="1"/>
  <c r="Y400" i="3"/>
  <c r="AA400" i="3" s="1"/>
  <c r="AB400" i="3" s="1"/>
  <c r="Y392" i="3"/>
  <c r="AA392" i="3" s="1"/>
  <c r="AB392" i="3" s="1"/>
  <c r="Y384" i="3"/>
  <c r="AA384" i="3" s="1"/>
  <c r="AB384" i="3" s="1"/>
  <c r="Y376" i="3"/>
  <c r="AA376" i="3" s="1"/>
  <c r="AB376" i="3" s="1"/>
  <c r="Y368" i="3"/>
  <c r="AA368" i="3" s="1"/>
  <c r="AB368" i="3" s="1"/>
  <c r="Y360" i="3"/>
  <c r="AA360" i="3" s="1"/>
  <c r="AB360" i="3" s="1"/>
  <c r="Y352" i="3"/>
  <c r="Y344" i="3"/>
  <c r="AA344" i="3" s="1"/>
  <c r="AB344" i="3" s="1"/>
  <c r="Y336" i="3"/>
  <c r="AA336" i="3" s="1"/>
  <c r="AB336" i="3" s="1"/>
  <c r="Y328" i="3"/>
  <c r="AA328" i="3" s="1"/>
  <c r="AB328" i="3" s="1"/>
  <c r="Y320" i="3"/>
  <c r="Y312" i="3"/>
  <c r="AA312" i="3" s="1"/>
  <c r="AB312" i="3" s="1"/>
  <c r="Y304" i="3"/>
  <c r="AA304" i="3" s="1"/>
  <c r="AB304" i="3" s="1"/>
  <c r="Y296" i="3"/>
  <c r="AA296" i="3" s="1"/>
  <c r="AB296" i="3" s="1"/>
  <c r="Y288" i="3"/>
  <c r="AA288" i="3" s="1"/>
  <c r="AB288" i="3" s="1"/>
  <c r="Y280" i="3"/>
  <c r="AA280" i="3" s="1"/>
  <c r="AB280" i="3" s="1"/>
  <c r="Y272" i="3"/>
  <c r="AA272" i="3" s="1"/>
  <c r="AB272" i="3" s="1"/>
  <c r="Y264" i="3"/>
  <c r="AA264" i="3" s="1"/>
  <c r="AB264" i="3" s="1"/>
  <c r="Y256" i="3"/>
  <c r="AA256" i="3" s="1"/>
  <c r="AB256" i="3" s="1"/>
  <c r="Y248" i="3"/>
  <c r="AA248" i="3" s="1"/>
  <c r="AB248" i="3" s="1"/>
  <c r="Y240" i="3"/>
  <c r="AA240" i="3" s="1"/>
  <c r="AB240" i="3" s="1"/>
  <c r="Y232" i="3"/>
  <c r="AA232" i="3" s="1"/>
  <c r="AB232" i="3" s="1"/>
  <c r="Y224" i="3"/>
  <c r="Y216" i="3"/>
  <c r="AA216" i="3" s="1"/>
  <c r="AB216" i="3" s="1"/>
  <c r="Y208" i="3"/>
  <c r="AA208" i="3" s="1"/>
  <c r="AB208" i="3" s="1"/>
  <c r="Y200" i="3"/>
  <c r="AA200" i="3" s="1"/>
  <c r="AB200" i="3" s="1"/>
  <c r="Y192" i="3"/>
  <c r="AA192" i="3" s="1"/>
  <c r="AB192" i="3" s="1"/>
  <c r="Y184" i="3"/>
  <c r="AA184" i="3" s="1"/>
  <c r="AB184" i="3" s="1"/>
  <c r="Y176" i="3"/>
  <c r="AA176" i="3" s="1"/>
  <c r="AB176" i="3" s="1"/>
  <c r="Y168" i="3"/>
  <c r="AA168" i="3" s="1"/>
  <c r="AB168" i="3" s="1"/>
  <c r="Y160" i="3"/>
  <c r="Y152" i="3"/>
  <c r="AA152" i="3" s="1"/>
  <c r="AB152" i="3" s="1"/>
  <c r="Y144" i="3"/>
  <c r="AA144" i="3" s="1"/>
  <c r="AB144" i="3" s="1"/>
  <c r="Y136" i="3"/>
  <c r="AA136" i="3" s="1"/>
  <c r="AB136" i="3" s="1"/>
  <c r="Y128" i="3"/>
  <c r="AA128" i="3" s="1"/>
  <c r="AB128" i="3" s="1"/>
  <c r="Y120" i="3"/>
  <c r="AA120" i="3" s="1"/>
  <c r="AB120" i="3" s="1"/>
  <c r="Y112" i="3"/>
  <c r="AA112" i="3" s="1"/>
  <c r="AB112" i="3" s="1"/>
  <c r="Y104" i="3"/>
  <c r="AA104" i="3" s="1"/>
  <c r="AB104" i="3" s="1"/>
  <c r="Y96" i="3"/>
  <c r="Y88" i="3"/>
  <c r="AA88" i="3" s="1"/>
  <c r="AB88" i="3" s="1"/>
  <c r="Y80" i="3"/>
  <c r="AA80" i="3" s="1"/>
  <c r="AB80" i="3" s="1"/>
  <c r="Y72" i="3"/>
  <c r="AA72" i="3" s="1"/>
  <c r="AB72" i="3" s="1"/>
  <c r="Y64" i="3"/>
  <c r="Y56" i="3"/>
  <c r="AA56" i="3" s="1"/>
  <c r="AB56" i="3" s="1"/>
  <c r="Y48" i="3"/>
  <c r="AA48" i="3" s="1"/>
  <c r="AB48" i="3" s="1"/>
  <c r="Y40" i="3"/>
  <c r="Y32" i="3"/>
  <c r="Y24" i="3"/>
  <c r="AA24" i="3" s="1"/>
  <c r="AB24" i="3" s="1"/>
  <c r="Y16" i="3"/>
  <c r="AA16" i="3" s="1"/>
  <c r="AB16" i="3" s="1"/>
  <c r="Y8" i="3"/>
  <c r="AA8" i="3" s="1"/>
  <c r="AB8" i="3" s="1"/>
  <c r="Y622" i="3"/>
  <c r="AA622" i="3" s="1"/>
  <c r="AB622" i="3" s="1"/>
  <c r="Y574" i="3"/>
  <c r="Y518" i="3"/>
  <c r="AA518" i="3" s="1"/>
  <c r="AB518" i="3" s="1"/>
  <c r="Y470" i="3"/>
  <c r="AA470" i="3" s="1"/>
  <c r="AB470" i="3" s="1"/>
  <c r="Y422" i="3"/>
  <c r="Y382" i="3"/>
  <c r="AA382" i="3" s="1"/>
  <c r="AB382" i="3" s="1"/>
  <c r="Y350" i="3"/>
  <c r="AA350" i="3" s="1"/>
  <c r="AB350" i="3" s="1"/>
  <c r="Y294" i="3"/>
  <c r="AA294" i="3" s="1"/>
  <c r="AB294" i="3" s="1"/>
  <c r="Y254" i="3"/>
  <c r="AA254" i="3" s="1"/>
  <c r="AB254" i="3" s="1"/>
  <c r="Y198" i="3"/>
  <c r="AA198" i="3" s="1"/>
  <c r="AB198" i="3" s="1"/>
  <c r="Y126" i="3"/>
  <c r="AA126" i="3" s="1"/>
  <c r="AB126" i="3" s="1"/>
  <c r="Y22" i="3"/>
  <c r="AA22" i="3" s="1"/>
  <c r="AB22" i="3" s="1"/>
  <c r="Y619" i="3"/>
  <c r="AA619" i="3" s="1"/>
  <c r="AB619" i="3" s="1"/>
  <c r="Y579" i="3"/>
  <c r="Y539" i="3"/>
  <c r="AA539" i="3" s="1"/>
  <c r="AB539" i="3" s="1"/>
  <c r="Y499" i="3"/>
  <c r="AA499" i="3" s="1"/>
  <c r="AB499" i="3" s="1"/>
  <c r="Y459" i="3"/>
  <c r="AA459" i="3" s="1"/>
  <c r="AB459" i="3" s="1"/>
  <c r="Y411" i="3"/>
  <c r="AA411" i="3" s="1"/>
  <c r="AB411" i="3" s="1"/>
  <c r="Y355" i="3"/>
  <c r="AA355" i="3" s="1"/>
  <c r="AB355" i="3" s="1"/>
  <c r="Y323" i="3"/>
  <c r="AA323" i="3" s="1"/>
  <c r="AB323" i="3" s="1"/>
  <c r="Y291" i="3"/>
  <c r="AA291" i="3" s="1"/>
  <c r="AB291" i="3" s="1"/>
  <c r="Y251" i="3"/>
  <c r="Y219" i="3"/>
  <c r="AA219" i="3" s="1"/>
  <c r="AB219" i="3" s="1"/>
  <c r="Y187" i="3"/>
  <c r="AA187" i="3" s="1"/>
  <c r="AB187" i="3" s="1"/>
  <c r="Y155" i="3"/>
  <c r="AA155" i="3" s="1"/>
  <c r="AB155" i="3" s="1"/>
  <c r="Y107" i="3"/>
  <c r="AA107" i="3" s="1"/>
  <c r="AB107" i="3" s="1"/>
  <c r="Y75" i="3"/>
  <c r="Y43" i="3"/>
  <c r="AA43" i="3" s="1"/>
  <c r="AB43" i="3" s="1"/>
  <c r="Y3" i="3"/>
  <c r="Y626" i="3"/>
  <c r="AA626" i="3" s="1"/>
  <c r="AB626" i="3" s="1"/>
  <c r="Y602" i="3"/>
  <c r="AA602" i="3" s="1"/>
  <c r="AB602" i="3" s="1"/>
  <c r="Y570" i="3"/>
  <c r="AA570" i="3" s="1"/>
  <c r="AB570" i="3" s="1"/>
  <c r="Y546" i="3"/>
  <c r="AA546" i="3" s="1"/>
  <c r="AB546" i="3" s="1"/>
  <c r="Y514" i="3"/>
  <c r="AA514" i="3" s="1"/>
  <c r="AB514" i="3" s="1"/>
  <c r="Y482" i="3"/>
  <c r="AA482" i="3" s="1"/>
  <c r="AB482" i="3" s="1"/>
  <c r="Y625" i="3"/>
  <c r="AA625" i="3" s="1"/>
  <c r="AB625" i="3" s="1"/>
  <c r="Y624" i="3"/>
  <c r="Y616" i="3"/>
  <c r="AA616" i="3" s="1"/>
  <c r="AB616" i="3" s="1"/>
  <c r="Y608" i="3"/>
  <c r="AA608" i="3" s="1"/>
  <c r="AB608" i="3" s="1"/>
  <c r="Y592" i="3"/>
  <c r="AA592" i="3" s="1"/>
  <c r="AB592" i="3" s="1"/>
  <c r="Y576" i="3"/>
  <c r="AA576" i="3" s="1"/>
  <c r="AB576" i="3" s="1"/>
  <c r="Y631" i="3"/>
  <c r="AA631" i="3" s="1"/>
  <c r="AB631" i="3" s="1"/>
  <c r="Y623" i="3"/>
  <c r="AA623" i="3" s="1"/>
  <c r="AB623" i="3" s="1"/>
  <c r="Y615" i="3"/>
  <c r="AA615" i="3" s="1"/>
  <c r="AB615" i="3" s="1"/>
  <c r="Y607" i="3"/>
  <c r="Y599" i="3"/>
  <c r="AA599" i="3" s="1"/>
  <c r="AB599" i="3" s="1"/>
  <c r="Y591" i="3"/>
  <c r="AA591" i="3" s="1"/>
  <c r="AB591" i="3" s="1"/>
  <c r="Y583" i="3"/>
  <c r="AA583" i="3" s="1"/>
  <c r="AB583" i="3" s="1"/>
  <c r="Y575" i="3"/>
  <c r="AA575" i="3" s="1"/>
  <c r="AB575" i="3" s="1"/>
  <c r="Y567" i="3"/>
  <c r="AA567" i="3" s="1"/>
  <c r="AB567" i="3" s="1"/>
  <c r="Y559" i="3"/>
  <c r="AA559" i="3" s="1"/>
  <c r="AB559" i="3" s="1"/>
  <c r="Y551" i="3"/>
  <c r="AA551" i="3" s="1"/>
  <c r="AB551" i="3" s="1"/>
  <c r="Y543" i="3"/>
  <c r="Y535" i="3"/>
  <c r="AA535" i="3" s="1"/>
  <c r="AB535" i="3" s="1"/>
  <c r="Y527" i="3"/>
  <c r="AA527" i="3" s="1"/>
  <c r="AB527" i="3" s="1"/>
  <c r="Y519" i="3"/>
  <c r="AA519" i="3" s="1"/>
  <c r="AB519" i="3" s="1"/>
  <c r="Y511" i="3"/>
  <c r="AA511" i="3" s="1"/>
  <c r="AB511" i="3" s="1"/>
  <c r="Y503" i="3"/>
  <c r="AA503" i="3" s="1"/>
  <c r="AB503" i="3" s="1"/>
  <c r="Y495" i="3"/>
  <c r="AA495" i="3" s="1"/>
  <c r="AB495" i="3" s="1"/>
  <c r="Y487" i="3"/>
  <c r="AA487" i="3" s="1"/>
  <c r="AB487" i="3" s="1"/>
  <c r="Y479" i="3"/>
  <c r="AA479" i="3" s="1"/>
  <c r="AB479" i="3" s="1"/>
  <c r="Y471" i="3"/>
  <c r="AA471" i="3" s="1"/>
  <c r="AB471" i="3" s="1"/>
  <c r="Y463" i="3"/>
  <c r="AA463" i="3" s="1"/>
  <c r="AB463" i="3" s="1"/>
  <c r="Y455" i="3"/>
  <c r="AA455" i="3" s="1"/>
  <c r="AB455" i="3" s="1"/>
  <c r="Y447" i="3"/>
  <c r="AA447" i="3" s="1"/>
  <c r="AB447" i="3" s="1"/>
  <c r="Y439" i="3"/>
  <c r="AA439" i="3" s="1"/>
  <c r="AB439" i="3" s="1"/>
  <c r="Y431" i="3"/>
  <c r="AA431" i="3" s="1"/>
  <c r="AB431" i="3" s="1"/>
  <c r="Y423" i="3"/>
  <c r="AA423" i="3" s="1"/>
  <c r="AB423" i="3" s="1"/>
  <c r="Y415" i="3"/>
  <c r="Y407" i="3"/>
  <c r="AA407" i="3" s="1"/>
  <c r="AB407" i="3" s="1"/>
  <c r="Y399" i="3"/>
  <c r="AA399" i="3" s="1"/>
  <c r="AB399" i="3" s="1"/>
  <c r="Y391" i="3"/>
  <c r="AA391" i="3" s="1"/>
  <c r="AB391" i="3" s="1"/>
  <c r="Y383" i="3"/>
  <c r="AA383" i="3" s="1"/>
  <c r="AB383" i="3" s="1"/>
  <c r="Y375" i="3"/>
  <c r="AA375" i="3" s="1"/>
  <c r="AB375" i="3" s="1"/>
  <c r="Y367" i="3"/>
  <c r="AA367" i="3" s="1"/>
  <c r="AB367" i="3" s="1"/>
  <c r="Y359" i="3"/>
  <c r="AA359" i="3" s="1"/>
  <c r="AB359" i="3" s="1"/>
  <c r="Y351" i="3"/>
  <c r="Y343" i="3"/>
  <c r="AA343" i="3" s="1"/>
  <c r="AB343" i="3" s="1"/>
  <c r="Y335" i="3"/>
  <c r="AA335" i="3" s="1"/>
  <c r="AB335" i="3" s="1"/>
  <c r="Y327" i="3"/>
  <c r="AA327" i="3" s="1"/>
  <c r="AB327" i="3" s="1"/>
  <c r="Y319" i="3"/>
  <c r="AA319" i="3" s="1"/>
  <c r="AB319" i="3" s="1"/>
  <c r="Y311" i="3"/>
  <c r="AA311" i="3" s="1"/>
  <c r="AB311" i="3" s="1"/>
  <c r="Y303" i="3"/>
  <c r="AA303" i="3" s="1"/>
  <c r="AB303" i="3" s="1"/>
  <c r="Y295" i="3"/>
  <c r="AA295" i="3" s="1"/>
  <c r="AB295" i="3" s="1"/>
  <c r="Y287" i="3"/>
  <c r="AA287" i="3" s="1"/>
  <c r="AB287" i="3" s="1"/>
  <c r="Y279" i="3"/>
  <c r="AA279" i="3" s="1"/>
  <c r="AB279" i="3" s="1"/>
  <c r="Y271" i="3"/>
  <c r="AA271" i="3" s="1"/>
  <c r="AB271" i="3" s="1"/>
  <c r="Y263" i="3"/>
  <c r="AA263" i="3" s="1"/>
  <c r="AB263" i="3" s="1"/>
  <c r="Y255" i="3"/>
  <c r="AA255" i="3" s="1"/>
  <c r="AB255" i="3" s="1"/>
  <c r="Y247" i="3"/>
  <c r="AA247" i="3" s="1"/>
  <c r="AB247" i="3" s="1"/>
  <c r="Y239" i="3"/>
  <c r="AA239" i="3" s="1"/>
  <c r="AB239" i="3" s="1"/>
  <c r="Y231" i="3"/>
  <c r="AA231" i="3" s="1"/>
  <c r="AB231" i="3" s="1"/>
  <c r="Y223" i="3"/>
  <c r="AA223" i="3" s="1"/>
  <c r="AB223" i="3" s="1"/>
  <c r="Y215" i="3"/>
  <c r="AA215" i="3" s="1"/>
  <c r="AB215" i="3" s="1"/>
  <c r="Y207" i="3"/>
  <c r="AA207" i="3" s="1"/>
  <c r="AB207" i="3" s="1"/>
  <c r="Y199" i="3"/>
  <c r="AA199" i="3" s="1"/>
  <c r="AB199" i="3" s="1"/>
  <c r="Y191" i="3"/>
  <c r="AA191" i="3" s="1"/>
  <c r="AB191" i="3" s="1"/>
  <c r="Y183" i="3"/>
  <c r="AA183" i="3" s="1"/>
  <c r="AB183" i="3" s="1"/>
  <c r="Y175" i="3"/>
  <c r="AA175" i="3" s="1"/>
  <c r="AB175" i="3" s="1"/>
  <c r="Y167" i="3"/>
  <c r="Y159" i="3"/>
  <c r="AA159" i="3" s="1"/>
  <c r="AB159" i="3" s="1"/>
  <c r="Y151" i="3"/>
  <c r="AA151" i="3" s="1"/>
  <c r="AB151" i="3" s="1"/>
  <c r="Y143" i="3"/>
  <c r="AA143" i="3" s="1"/>
  <c r="AB143" i="3" s="1"/>
  <c r="Y135" i="3"/>
  <c r="AA135" i="3" s="1"/>
  <c r="AB135" i="3" s="1"/>
  <c r="Y127" i="3"/>
  <c r="AA127" i="3" s="1"/>
  <c r="AB127" i="3" s="1"/>
  <c r="Y119" i="3"/>
  <c r="AA119" i="3" s="1"/>
  <c r="AB119" i="3" s="1"/>
  <c r="Y111" i="3"/>
  <c r="AA111" i="3" s="1"/>
  <c r="AB111" i="3" s="1"/>
  <c r="Y103" i="3"/>
  <c r="Y95" i="3"/>
  <c r="Y87" i="3"/>
  <c r="AA87" i="3" s="1"/>
  <c r="AB87" i="3" s="1"/>
  <c r="Y79" i="3"/>
  <c r="AA79" i="3" s="1"/>
  <c r="AB79" i="3" s="1"/>
  <c r="Y71" i="3"/>
  <c r="AA71" i="3" s="1"/>
  <c r="AB71" i="3" s="1"/>
  <c r="Y63" i="3"/>
  <c r="AA63" i="3" s="1"/>
  <c r="AB63" i="3" s="1"/>
  <c r="Y55" i="3"/>
  <c r="AA55" i="3" s="1"/>
  <c r="AB55" i="3" s="1"/>
  <c r="Y47" i="3"/>
  <c r="AA47" i="3" s="1"/>
  <c r="AB47" i="3" s="1"/>
  <c r="Y39" i="3"/>
  <c r="AA39" i="3" s="1"/>
  <c r="AB39" i="3" s="1"/>
  <c r="Y31" i="3"/>
  <c r="AA31" i="3" s="1"/>
  <c r="AB31" i="3" s="1"/>
  <c r="Y23" i="3"/>
  <c r="AA23" i="3" s="1"/>
  <c r="AB23" i="3" s="1"/>
  <c r="Y15" i="3"/>
  <c r="AA15" i="3" s="1"/>
  <c r="AB15" i="3" s="1"/>
  <c r="Y7" i="3"/>
  <c r="AA7" i="3" s="1"/>
  <c r="AB7" i="3" s="1"/>
  <c r="F86" i="13"/>
  <c r="G86" i="13" s="1"/>
  <c r="F351" i="13"/>
  <c r="G351" i="13" s="1"/>
  <c r="F630" i="13"/>
  <c r="G630" i="13" s="1"/>
  <c r="F629" i="13"/>
  <c r="G629" i="13" s="1"/>
  <c r="F79" i="13"/>
  <c r="G79" i="13" s="1"/>
  <c r="F623" i="13"/>
  <c r="G623" i="13" s="1"/>
  <c r="F433" i="13"/>
  <c r="G433" i="13" s="1"/>
  <c r="F255" i="13"/>
  <c r="G255" i="13" s="1"/>
  <c r="F174" i="13"/>
  <c r="G174" i="13" s="1"/>
  <c r="F519" i="13"/>
  <c r="G519" i="13" s="1"/>
  <c r="F344" i="13"/>
  <c r="G344" i="13" s="1"/>
  <c r="AA562" i="3"/>
  <c r="AB562" i="3" s="1"/>
  <c r="AA250" i="3"/>
  <c r="AB250" i="3" s="1"/>
  <c r="AA186" i="3"/>
  <c r="AB186" i="3" s="1"/>
  <c r="AA58" i="3"/>
  <c r="AB58" i="3" s="1"/>
  <c r="AA441" i="3"/>
  <c r="AB441" i="3" s="1"/>
  <c r="AA273" i="3"/>
  <c r="AB273" i="3" s="1"/>
  <c r="AA185" i="3"/>
  <c r="AB185" i="3" s="1"/>
  <c r="AA121" i="3"/>
  <c r="AB121" i="3" s="1"/>
  <c r="AA57" i="3"/>
  <c r="AB57" i="3" s="1"/>
  <c r="AA624" i="3"/>
  <c r="AB624" i="3" s="1"/>
  <c r="AA552" i="3"/>
  <c r="AB552" i="3" s="1"/>
  <c r="AA544" i="3"/>
  <c r="AB544" i="3" s="1"/>
  <c r="AA480" i="3"/>
  <c r="AB480" i="3" s="1"/>
  <c r="AA416" i="3"/>
  <c r="AB416" i="3" s="1"/>
  <c r="AA352" i="3"/>
  <c r="AB352" i="3" s="1"/>
  <c r="AA320" i="3"/>
  <c r="AB320" i="3" s="1"/>
  <c r="AA224" i="3"/>
  <c r="AB224" i="3" s="1"/>
  <c r="AA160" i="3"/>
  <c r="AB160" i="3" s="1"/>
  <c r="AA96" i="3"/>
  <c r="AB96" i="3" s="1"/>
  <c r="AA64" i="3"/>
  <c r="AB64" i="3" s="1"/>
  <c r="AA40" i="3"/>
  <c r="AB40" i="3" s="1"/>
  <c r="AA32" i="3"/>
  <c r="AB32" i="3" s="1"/>
  <c r="AA314" i="3"/>
  <c r="AB314" i="3" s="1"/>
  <c r="AA154" i="3"/>
  <c r="AB154" i="3" s="1"/>
  <c r="AA114" i="3"/>
  <c r="AB114" i="3" s="1"/>
  <c r="AA449" i="3"/>
  <c r="AB449" i="3" s="1"/>
  <c r="AA313" i="3"/>
  <c r="AB313" i="3" s="1"/>
  <c r="AA607" i="3"/>
  <c r="AB607" i="3" s="1"/>
  <c r="AA95" i="3"/>
  <c r="AB95" i="3" s="1"/>
  <c r="AA594" i="3"/>
  <c r="AB594" i="3" s="1"/>
  <c r="AA122" i="3"/>
  <c r="AB122" i="3" s="1"/>
  <c r="AA601" i="3"/>
  <c r="AB601" i="3" s="1"/>
  <c r="AA351" i="3"/>
  <c r="AB351" i="3" s="1"/>
  <c r="AA167" i="3"/>
  <c r="AB167" i="3" s="1"/>
  <c r="AA574" i="3"/>
  <c r="AB574" i="3" s="1"/>
  <c r="AA542" i="3"/>
  <c r="AB542" i="3" s="1"/>
  <c r="AA534" i="3"/>
  <c r="AB534" i="3" s="1"/>
  <c r="AA494" i="3"/>
  <c r="AB494" i="3" s="1"/>
  <c r="AA462" i="3"/>
  <c r="AB462" i="3" s="1"/>
  <c r="AA422" i="3"/>
  <c r="AB422" i="3" s="1"/>
  <c r="AA406" i="3"/>
  <c r="AB406" i="3" s="1"/>
  <c r="AA398" i="3"/>
  <c r="AB398" i="3" s="1"/>
  <c r="AA326" i="3"/>
  <c r="AB326" i="3" s="1"/>
  <c r="AA318" i="3"/>
  <c r="AB318" i="3" s="1"/>
  <c r="AA142" i="3"/>
  <c r="AB142" i="3" s="1"/>
  <c r="AA70" i="3"/>
  <c r="AB70" i="3" s="1"/>
  <c r="AA54" i="3"/>
  <c r="AB54" i="3" s="1"/>
  <c r="AA30" i="3"/>
  <c r="AB30" i="3" s="1"/>
  <c r="AA6" i="3"/>
  <c r="AB6" i="3" s="1"/>
  <c r="AA543" i="3"/>
  <c r="AB543" i="3" s="1"/>
  <c r="AA103" i="3"/>
  <c r="AB103" i="3" s="1"/>
  <c r="AA597" i="3"/>
  <c r="AB597" i="3" s="1"/>
  <c r="AA573" i="3"/>
  <c r="AB573" i="3" s="1"/>
  <c r="AA565" i="3"/>
  <c r="AB565" i="3" s="1"/>
  <c r="AA549" i="3"/>
  <c r="AB549" i="3" s="1"/>
  <c r="AA533" i="3"/>
  <c r="AB533" i="3" s="1"/>
  <c r="AA485" i="3"/>
  <c r="AB485" i="3" s="1"/>
  <c r="AA477" i="3"/>
  <c r="AB477" i="3" s="1"/>
  <c r="AA429" i="3"/>
  <c r="AB429" i="3" s="1"/>
  <c r="AA421" i="3"/>
  <c r="AB421" i="3" s="1"/>
  <c r="AA389" i="3"/>
  <c r="AB389" i="3" s="1"/>
  <c r="AA325" i="3"/>
  <c r="AB325" i="3" s="1"/>
  <c r="AA317" i="3"/>
  <c r="AB317" i="3" s="1"/>
  <c r="AA261" i="3"/>
  <c r="AB261" i="3" s="1"/>
  <c r="AA197" i="3"/>
  <c r="AB197" i="3" s="1"/>
  <c r="AA157" i="3"/>
  <c r="AB157" i="3" s="1"/>
  <c r="AA133" i="3"/>
  <c r="AB133" i="3" s="1"/>
  <c r="AA125" i="3"/>
  <c r="AB125" i="3" s="1"/>
  <c r="AA85" i="3"/>
  <c r="AB85" i="3" s="1"/>
  <c r="AA77" i="3"/>
  <c r="AB77" i="3" s="1"/>
  <c r="AA69" i="3"/>
  <c r="AB69" i="3" s="1"/>
  <c r="AA442" i="3"/>
  <c r="AB442" i="3" s="1"/>
  <c r="AA18" i="3"/>
  <c r="AB18" i="3" s="1"/>
  <c r="AA577" i="3"/>
  <c r="AB577" i="3" s="1"/>
  <c r="AA505" i="3"/>
  <c r="AB505" i="3" s="1"/>
  <c r="AA433" i="3"/>
  <c r="AB433" i="3" s="1"/>
  <c r="AA257" i="3"/>
  <c r="AB257" i="3" s="1"/>
  <c r="AA572" i="3"/>
  <c r="AB572" i="3" s="1"/>
  <c r="AA564" i="3"/>
  <c r="AB564" i="3" s="1"/>
  <c r="AA556" i="3"/>
  <c r="AB556" i="3" s="1"/>
  <c r="AA540" i="3"/>
  <c r="AB540" i="3" s="1"/>
  <c r="AA508" i="3"/>
  <c r="AB508" i="3" s="1"/>
  <c r="AA500" i="3"/>
  <c r="AB500" i="3" s="1"/>
  <c r="AA484" i="3"/>
  <c r="AB484" i="3" s="1"/>
  <c r="AA476" i="3"/>
  <c r="AB476" i="3" s="1"/>
  <c r="AA412" i="3"/>
  <c r="AB412" i="3" s="1"/>
  <c r="AA388" i="3"/>
  <c r="AB388" i="3" s="1"/>
  <c r="AA372" i="3"/>
  <c r="AB372" i="3" s="1"/>
  <c r="AA316" i="3"/>
  <c r="AB316" i="3" s="1"/>
  <c r="AA260" i="3"/>
  <c r="AB260" i="3" s="1"/>
  <c r="AA228" i="3"/>
  <c r="AB228" i="3" s="1"/>
  <c r="AA172" i="3"/>
  <c r="AB172" i="3" s="1"/>
  <c r="AA164" i="3"/>
  <c r="AB164" i="3" s="1"/>
  <c r="AA156" i="3"/>
  <c r="AB156" i="3" s="1"/>
  <c r="AA100" i="3"/>
  <c r="AB100" i="3" s="1"/>
  <c r="AA68" i="3"/>
  <c r="AB68" i="3" s="1"/>
  <c r="AA60" i="3"/>
  <c r="AB60" i="3" s="1"/>
  <c r="AA36" i="3"/>
  <c r="AB36" i="3" s="1"/>
  <c r="AA28" i="3"/>
  <c r="AB28" i="3" s="1"/>
  <c r="AA4" i="3"/>
  <c r="AB4" i="3" s="1"/>
  <c r="AA378" i="3"/>
  <c r="AB378" i="3" s="1"/>
  <c r="AA569" i="3"/>
  <c r="AB569" i="3" s="1"/>
  <c r="AA249" i="3"/>
  <c r="AB249" i="3" s="1"/>
  <c r="AA415" i="3"/>
  <c r="AB415" i="3" s="1"/>
  <c r="AA612" i="3"/>
  <c r="AB612" i="3" s="1"/>
  <c r="AA595" i="3"/>
  <c r="AB595" i="3" s="1"/>
  <c r="AA579" i="3"/>
  <c r="AB579" i="3" s="1"/>
  <c r="AA571" i="3"/>
  <c r="AB571" i="3" s="1"/>
  <c r="AA547" i="3"/>
  <c r="AB547" i="3" s="1"/>
  <c r="AA507" i="3"/>
  <c r="AB507" i="3" s="1"/>
  <c r="AA475" i="3"/>
  <c r="AB475" i="3" s="1"/>
  <c r="AA403" i="3"/>
  <c r="AB403" i="3" s="1"/>
  <c r="AA387" i="3"/>
  <c r="AB387" i="3" s="1"/>
  <c r="AA315" i="3"/>
  <c r="AB315" i="3" s="1"/>
  <c r="AA307" i="3"/>
  <c r="AB307" i="3" s="1"/>
  <c r="AA259" i="3"/>
  <c r="AB259" i="3" s="1"/>
  <c r="AA251" i="3"/>
  <c r="AB251" i="3" s="1"/>
  <c r="AA227" i="3"/>
  <c r="AB227" i="3" s="1"/>
  <c r="AA211" i="3"/>
  <c r="AB211" i="3" s="1"/>
  <c r="AA203" i="3"/>
  <c r="AB203" i="3" s="1"/>
  <c r="AA147" i="3"/>
  <c r="AB147" i="3" s="1"/>
  <c r="AA139" i="3"/>
  <c r="AB139" i="3" s="1"/>
  <c r="AA75" i="3"/>
  <c r="AB75" i="3" s="1"/>
  <c r="AA3" i="3"/>
  <c r="AB3" i="3" s="1"/>
  <c r="AA633" i="3" l="1"/>
  <c r="Y634" i="3"/>
  <c r="F352" i="13"/>
  <c r="G352" i="13" s="1"/>
  <c r="F353" i="13"/>
  <c r="G353" i="13" s="1"/>
  <c r="F87" i="13"/>
  <c r="G87" i="13" s="1"/>
  <c r="F88" i="13"/>
  <c r="G88" i="13" s="1"/>
  <c r="F254" i="13"/>
  <c r="G254" i="13" s="1"/>
  <c r="F343" i="13"/>
  <c r="G343" i="13" s="1"/>
  <c r="F432" i="13"/>
  <c r="G432" i="13" s="1"/>
  <c r="F518" i="13"/>
  <c r="G518" i="13" s="1"/>
  <c r="F622" i="13"/>
  <c r="G622" i="13" s="1"/>
  <c r="F173" i="13"/>
  <c r="G173" i="13" s="1"/>
  <c r="F78" i="13"/>
  <c r="G78" i="13" s="1"/>
  <c r="AB633" i="3" l="1"/>
  <c r="AA634" i="3"/>
  <c r="F517" i="13"/>
  <c r="G517" i="13" s="1"/>
  <c r="F77" i="13"/>
  <c r="G77" i="13" s="1"/>
  <c r="F431" i="13"/>
  <c r="G431" i="13" s="1"/>
  <c r="F172" i="13"/>
  <c r="G172" i="13" s="1"/>
  <c r="F342" i="13"/>
  <c r="G342" i="13" s="1"/>
  <c r="F253" i="13"/>
  <c r="G253" i="13" s="1"/>
  <c r="F621" i="13"/>
  <c r="G621" i="13" s="1"/>
  <c r="F430" i="13" l="1"/>
  <c r="G430" i="13" s="1"/>
  <c r="F171" i="13"/>
  <c r="G171" i="13" s="1"/>
  <c r="F620" i="13"/>
  <c r="G620" i="13" s="1"/>
  <c r="F252" i="13"/>
  <c r="G252" i="13" s="1"/>
  <c r="F76" i="13"/>
  <c r="G76" i="13" s="1"/>
  <c r="F341" i="13"/>
  <c r="G341" i="13" s="1"/>
  <c r="F516" i="13"/>
  <c r="G516" i="13" s="1"/>
  <c r="F251" i="13" l="1"/>
  <c r="G251" i="13" s="1"/>
  <c r="F619" i="13"/>
  <c r="G619" i="13" s="1"/>
  <c r="F170" i="13"/>
  <c r="G170" i="13" s="1"/>
  <c r="F515" i="13"/>
  <c r="G515" i="13" s="1"/>
  <c r="F340" i="13"/>
  <c r="G340" i="13" s="1"/>
  <c r="F75" i="13"/>
  <c r="G75" i="13" s="1"/>
  <c r="F429" i="13"/>
  <c r="G429" i="13" s="1"/>
  <c r="F428" i="13" l="1"/>
  <c r="G428" i="13" s="1"/>
  <c r="F74" i="13"/>
  <c r="G74" i="13" s="1"/>
  <c r="F514" i="13"/>
  <c r="G514" i="13" s="1"/>
  <c r="F169" i="13"/>
  <c r="G169" i="13" s="1"/>
  <c r="F618" i="13"/>
  <c r="G618" i="13" s="1"/>
  <c r="F250" i="13"/>
  <c r="G250" i="13" s="1"/>
  <c r="F339" i="13"/>
  <c r="G339" i="13" s="1"/>
  <c r="F168" i="13" l="1"/>
  <c r="G168" i="13" s="1"/>
  <c r="F338" i="13"/>
  <c r="G338" i="13" s="1"/>
  <c r="F73" i="13"/>
  <c r="G73" i="13" s="1"/>
  <c r="F513" i="13"/>
  <c r="G513" i="13" s="1"/>
  <c r="F249" i="13"/>
  <c r="G249" i="13" s="1"/>
  <c r="F617" i="13"/>
  <c r="G617" i="13" s="1"/>
  <c r="F427" i="13"/>
  <c r="G427" i="13" s="1"/>
  <c r="F512" i="13" l="1"/>
  <c r="G512" i="13" s="1"/>
  <c r="F426" i="13"/>
  <c r="G426" i="13" s="1"/>
  <c r="F72" i="13"/>
  <c r="G72" i="13" s="1"/>
  <c r="F616" i="13"/>
  <c r="G616" i="13" s="1"/>
  <c r="F337" i="13"/>
  <c r="G337" i="13" s="1"/>
  <c r="F248" i="13"/>
  <c r="G248" i="13" s="1"/>
  <c r="F167" i="13"/>
  <c r="G167" i="13" s="1"/>
  <c r="F615" i="13" l="1"/>
  <c r="G615" i="13" s="1"/>
  <c r="F166" i="13"/>
  <c r="G166" i="13" s="1"/>
  <c r="F71" i="13"/>
  <c r="G71" i="13" s="1"/>
  <c r="F247" i="13"/>
  <c r="G247" i="13" s="1"/>
  <c r="F425" i="13"/>
  <c r="G425" i="13" s="1"/>
  <c r="F336" i="13"/>
  <c r="G336" i="13" s="1"/>
  <c r="F511" i="13"/>
  <c r="G511" i="13" s="1"/>
  <c r="F246" i="13" l="1"/>
  <c r="G246" i="13" s="1"/>
  <c r="F510" i="13"/>
  <c r="G510" i="13" s="1"/>
  <c r="F335" i="13"/>
  <c r="G335" i="13" s="1"/>
  <c r="F70" i="13"/>
  <c r="G70" i="13" s="1"/>
  <c r="F165" i="13"/>
  <c r="G165" i="13" s="1"/>
  <c r="F424" i="13"/>
  <c r="G424" i="13" s="1"/>
  <c r="F614" i="13"/>
  <c r="G614" i="13" s="1"/>
  <c r="F69" i="13" l="1"/>
  <c r="G69" i="13" s="1"/>
  <c r="F245" i="13"/>
  <c r="G245" i="13" s="1"/>
  <c r="F613" i="13"/>
  <c r="G613" i="13" s="1"/>
  <c r="F334" i="13"/>
  <c r="G334" i="13" s="1"/>
  <c r="F423" i="13"/>
  <c r="G423" i="13" s="1"/>
  <c r="F509" i="13"/>
  <c r="G509" i="13" s="1"/>
  <c r="F164" i="13"/>
  <c r="G164" i="13" s="1"/>
  <c r="F68" i="13" l="1"/>
  <c r="G68" i="13" s="1"/>
  <c r="F422" i="13"/>
  <c r="G422" i="13" s="1"/>
  <c r="F333" i="13"/>
  <c r="G333" i="13" s="1"/>
  <c r="F163" i="13"/>
  <c r="G163" i="13" s="1"/>
  <c r="F612" i="13"/>
  <c r="G612" i="13" s="1"/>
  <c r="F508" i="13"/>
  <c r="G508" i="13" s="1"/>
  <c r="F244" i="13"/>
  <c r="G244" i="13" s="1"/>
  <c r="F162" i="13" l="1"/>
  <c r="G162" i="13" s="1"/>
  <c r="F507" i="13"/>
  <c r="G507" i="13" s="1"/>
  <c r="F243" i="13"/>
  <c r="G243" i="13" s="1"/>
  <c r="F332" i="13"/>
  <c r="G332" i="13" s="1"/>
  <c r="F421" i="13"/>
  <c r="G421" i="13" s="1"/>
  <c r="F611" i="13"/>
  <c r="G611" i="13" s="1"/>
  <c r="F67" i="13"/>
  <c r="G67" i="13" s="1"/>
  <c r="F331" i="13" l="1"/>
  <c r="G331" i="13" s="1"/>
  <c r="F242" i="13"/>
  <c r="G242" i="13" s="1"/>
  <c r="F506" i="13"/>
  <c r="G506" i="13" s="1"/>
  <c r="F66" i="13"/>
  <c r="G66" i="13" s="1"/>
  <c r="F610" i="13"/>
  <c r="G610" i="13" s="1"/>
  <c r="F420" i="13"/>
  <c r="G420" i="13" s="1"/>
  <c r="F161" i="13"/>
  <c r="G161" i="13" s="1"/>
  <c r="F160" i="13" l="1"/>
  <c r="G160" i="13" s="1"/>
  <c r="F505" i="13"/>
  <c r="G505" i="13" s="1"/>
  <c r="F241" i="13"/>
  <c r="G241" i="13" s="1"/>
  <c r="F419" i="13"/>
  <c r="G419" i="13" s="1"/>
  <c r="F330" i="13"/>
  <c r="G330" i="13" s="1"/>
  <c r="F65" i="13"/>
  <c r="G65" i="13" s="1"/>
  <c r="F609" i="13"/>
  <c r="G609" i="13" s="1"/>
  <c r="F608" i="13" l="1"/>
  <c r="G608" i="13" s="1"/>
  <c r="F240" i="13"/>
  <c r="G240" i="13" s="1"/>
  <c r="F64" i="13"/>
  <c r="G64" i="13" s="1"/>
  <c r="F418" i="13"/>
  <c r="G418" i="13" s="1"/>
  <c r="F504" i="13"/>
  <c r="G504" i="13" s="1"/>
  <c r="F329" i="13"/>
  <c r="G329" i="13" s="1"/>
  <c r="F159" i="13"/>
  <c r="G159" i="13" s="1"/>
  <c r="F158" i="13" l="1"/>
  <c r="G158" i="13" s="1"/>
  <c r="F63" i="13"/>
  <c r="G63" i="13" s="1"/>
  <c r="F328" i="13"/>
  <c r="G328" i="13" s="1"/>
  <c r="F417" i="13"/>
  <c r="G417" i="13" s="1"/>
  <c r="F239" i="13"/>
  <c r="G239" i="13" s="1"/>
  <c r="F503" i="13"/>
  <c r="G503" i="13" s="1"/>
  <c r="F607" i="13"/>
  <c r="G607" i="13" s="1"/>
  <c r="F157" i="13" l="1"/>
  <c r="G157" i="13" s="1"/>
  <c r="F416" i="13"/>
  <c r="G416" i="13" s="1"/>
  <c r="F606" i="13"/>
  <c r="G606" i="13" s="1"/>
  <c r="F327" i="13"/>
  <c r="G327" i="13" s="1"/>
  <c r="F502" i="13"/>
  <c r="G502" i="13" s="1"/>
  <c r="F62" i="13"/>
  <c r="G62" i="13" s="1"/>
  <c r="F238" i="13"/>
  <c r="G238" i="13" s="1"/>
  <c r="F326" i="13" l="1"/>
  <c r="G326" i="13" s="1"/>
  <c r="F605" i="13"/>
  <c r="G605" i="13" s="1"/>
  <c r="F237" i="13"/>
  <c r="G237" i="13" s="1"/>
  <c r="F61" i="13"/>
  <c r="G61" i="13" s="1"/>
  <c r="F415" i="13"/>
  <c r="G415" i="13" s="1"/>
  <c r="F501" i="13"/>
  <c r="G501" i="13" s="1"/>
  <c r="F156" i="13"/>
  <c r="G156" i="13" s="1"/>
  <c r="F60" i="13" l="1"/>
  <c r="G60" i="13" s="1"/>
  <c r="F236" i="13"/>
  <c r="G236" i="13" s="1"/>
  <c r="F155" i="13"/>
  <c r="G155" i="13" s="1"/>
  <c r="F500" i="13"/>
  <c r="G500" i="13" s="1"/>
  <c r="F604" i="13"/>
  <c r="G604" i="13" s="1"/>
  <c r="F414" i="13"/>
  <c r="G414" i="13" s="1"/>
  <c r="F325" i="13"/>
  <c r="G325" i="13" s="1"/>
  <c r="F324" i="13" l="1"/>
  <c r="G324" i="13" s="1"/>
  <c r="F499" i="13"/>
  <c r="G499" i="13" s="1"/>
  <c r="F154" i="13"/>
  <c r="G154" i="13" s="1"/>
  <c r="F413" i="13"/>
  <c r="G413" i="13" s="1"/>
  <c r="F235" i="13"/>
  <c r="G235" i="13" s="1"/>
  <c r="F603" i="13"/>
  <c r="G603" i="13" s="1"/>
  <c r="F59" i="13"/>
  <c r="G59" i="13" s="1"/>
  <c r="F412" i="13" l="1"/>
  <c r="G412" i="13" s="1"/>
  <c r="F153" i="13"/>
  <c r="G153" i="13" s="1"/>
  <c r="F58" i="13"/>
  <c r="G58" i="13" s="1"/>
  <c r="F602" i="13"/>
  <c r="G602" i="13" s="1"/>
  <c r="F498" i="13"/>
  <c r="G498" i="13" s="1"/>
  <c r="F234" i="13"/>
  <c r="G234" i="13" s="1"/>
  <c r="F323" i="13"/>
  <c r="G323" i="13" s="1"/>
  <c r="F601" i="13" l="1"/>
  <c r="G601" i="13" s="1"/>
  <c r="F57" i="13"/>
  <c r="G57" i="13" s="1"/>
  <c r="F322" i="13"/>
  <c r="G322" i="13" s="1"/>
  <c r="F233" i="13"/>
  <c r="G233" i="13" s="1"/>
  <c r="F152" i="13"/>
  <c r="G152" i="13" s="1"/>
  <c r="F497" i="13"/>
  <c r="G497" i="13" s="1"/>
  <c r="F411" i="13"/>
  <c r="G411" i="13" s="1"/>
  <c r="F232" i="13" l="1"/>
  <c r="G232" i="13" s="1"/>
  <c r="F410" i="13"/>
  <c r="G410" i="13" s="1"/>
  <c r="F321" i="13"/>
  <c r="G321" i="13" s="1"/>
  <c r="F496" i="13"/>
  <c r="G496" i="13" s="1"/>
  <c r="F56" i="13"/>
  <c r="G56" i="13" s="1"/>
  <c r="F151" i="13"/>
  <c r="G151" i="13" s="1"/>
  <c r="F600" i="13"/>
  <c r="G600" i="13" s="1"/>
  <c r="F495" i="13" l="1"/>
  <c r="G495" i="13" s="1"/>
  <c r="F320" i="13"/>
  <c r="G320" i="13" s="1"/>
  <c r="F231" i="13"/>
  <c r="G231" i="13" s="1"/>
  <c r="F599" i="13"/>
  <c r="G599" i="13" s="1"/>
  <c r="F150" i="13"/>
  <c r="G150" i="13" s="1"/>
  <c r="F409" i="13"/>
  <c r="G409" i="13" s="1"/>
  <c r="F55" i="13"/>
  <c r="G55" i="13" s="1"/>
  <c r="F598" i="13" l="1"/>
  <c r="G598" i="13" s="1"/>
  <c r="F54" i="13"/>
  <c r="G54" i="13" s="1"/>
  <c r="F319" i="13"/>
  <c r="G319" i="13" s="1"/>
  <c r="F230" i="13"/>
  <c r="G230" i="13" s="1"/>
  <c r="F408" i="13"/>
  <c r="G408" i="13" s="1"/>
  <c r="F149" i="13"/>
  <c r="G149" i="13" s="1"/>
  <c r="F494" i="13"/>
  <c r="G494" i="13" s="1"/>
  <c r="F229" i="13" l="1"/>
  <c r="G229" i="13" s="1"/>
  <c r="F493" i="13"/>
  <c r="G493" i="13" s="1"/>
  <c r="F318" i="13"/>
  <c r="G318" i="13" s="1"/>
  <c r="F148" i="13"/>
  <c r="G148" i="13" s="1"/>
  <c r="F53" i="13"/>
  <c r="G53" i="13" s="1"/>
  <c r="F407" i="13"/>
  <c r="G407" i="13" s="1"/>
  <c r="F597" i="13"/>
  <c r="G597" i="13" s="1"/>
  <c r="F317" i="13" l="1"/>
  <c r="G317" i="13" s="1"/>
  <c r="F147" i="13"/>
  <c r="G147" i="13" s="1"/>
  <c r="F596" i="13"/>
  <c r="G596" i="13" s="1"/>
  <c r="F406" i="13"/>
  <c r="G406" i="13" s="1"/>
  <c r="F492" i="13"/>
  <c r="G492" i="13" s="1"/>
  <c r="F52" i="13"/>
  <c r="G52" i="13" s="1"/>
  <c r="F228" i="13"/>
  <c r="G228" i="13" s="1"/>
  <c r="F595" i="13" l="1"/>
  <c r="G595" i="13" s="1"/>
  <c r="F146" i="13"/>
  <c r="G146" i="13" s="1"/>
  <c r="F405" i="13"/>
  <c r="G405" i="13" s="1"/>
  <c r="F227" i="13"/>
  <c r="G227" i="13" s="1"/>
  <c r="F51" i="13"/>
  <c r="G51" i="13" s="1"/>
  <c r="F491" i="13"/>
  <c r="G491" i="13" s="1"/>
  <c r="F316" i="13"/>
  <c r="G316" i="13" s="1"/>
  <c r="F226" i="13" l="1"/>
  <c r="G226" i="13" s="1"/>
  <c r="F490" i="13"/>
  <c r="G490" i="13" s="1"/>
  <c r="F145" i="13"/>
  <c r="G145" i="13" s="1"/>
  <c r="F594" i="13"/>
  <c r="G594" i="13" s="1"/>
  <c r="F315" i="13"/>
  <c r="G315" i="13" s="1"/>
  <c r="F404" i="13"/>
  <c r="G404" i="13" s="1"/>
  <c r="F50" i="13"/>
  <c r="G50" i="13" s="1"/>
  <c r="F144" i="13" l="1"/>
  <c r="G144" i="13" s="1"/>
  <c r="F49" i="13"/>
  <c r="G49" i="13" s="1"/>
  <c r="F403" i="13"/>
  <c r="G403" i="13" s="1"/>
  <c r="F489" i="13"/>
  <c r="G489" i="13" s="1"/>
  <c r="F314" i="13"/>
  <c r="G314" i="13" s="1"/>
  <c r="F225" i="13"/>
  <c r="G225" i="13" s="1"/>
  <c r="F593" i="13"/>
  <c r="G593" i="13" s="1"/>
  <c r="F224" i="13" l="1"/>
  <c r="G224" i="13" s="1"/>
  <c r="F48" i="13"/>
  <c r="G48" i="13" s="1"/>
  <c r="F488" i="13"/>
  <c r="G488" i="13" s="1"/>
  <c r="F592" i="13"/>
  <c r="G592" i="13" s="1"/>
  <c r="F143" i="13"/>
  <c r="G143" i="13" s="1"/>
  <c r="F402" i="13"/>
  <c r="G402" i="13" s="1"/>
  <c r="F313" i="13"/>
  <c r="G313" i="13" s="1"/>
  <c r="F591" i="13" l="1"/>
  <c r="G591" i="13" s="1"/>
  <c r="F312" i="13"/>
  <c r="G312" i="13" s="1"/>
  <c r="F487" i="13"/>
  <c r="G487" i="13" s="1"/>
  <c r="F47" i="13"/>
  <c r="G47" i="13" s="1"/>
  <c r="F401" i="13"/>
  <c r="G401" i="13" s="1"/>
  <c r="F142" i="13"/>
  <c r="G142" i="13" s="1"/>
  <c r="F223" i="13"/>
  <c r="G223" i="13" s="1"/>
  <c r="F222" i="13" l="1"/>
  <c r="G222" i="13" s="1"/>
  <c r="F486" i="13"/>
  <c r="G486" i="13" s="1"/>
  <c r="F311" i="13"/>
  <c r="G311" i="13" s="1"/>
  <c r="F141" i="13"/>
  <c r="G141" i="13" s="1"/>
  <c r="F46" i="13"/>
  <c r="G46" i="13" s="1"/>
  <c r="F400" i="13"/>
  <c r="G400" i="13" s="1"/>
  <c r="F590" i="13"/>
  <c r="G590" i="13" s="1"/>
  <c r="F140" i="13" l="1"/>
  <c r="G140" i="13" s="1"/>
  <c r="F45" i="13"/>
  <c r="G45" i="13" s="1"/>
  <c r="F485" i="13"/>
  <c r="G485" i="13" s="1"/>
  <c r="F589" i="13"/>
  <c r="G589" i="13" s="1"/>
  <c r="F310" i="13"/>
  <c r="G310" i="13" s="1"/>
  <c r="F399" i="13"/>
  <c r="G399" i="13" s="1"/>
  <c r="F221" i="13"/>
  <c r="G221" i="13" s="1"/>
  <c r="F588" i="13" l="1"/>
  <c r="G588" i="13" s="1"/>
  <c r="F484" i="13"/>
  <c r="G484" i="13" s="1"/>
  <c r="F220" i="13"/>
  <c r="G220" i="13" s="1"/>
  <c r="F398" i="13"/>
  <c r="G398" i="13" s="1"/>
  <c r="F44" i="13"/>
  <c r="G44" i="13" s="1"/>
  <c r="F309" i="13"/>
  <c r="G309" i="13" s="1"/>
  <c r="F139" i="13"/>
  <c r="G139" i="13" s="1"/>
  <c r="F397" i="13" l="1"/>
  <c r="G397" i="13" s="1"/>
  <c r="F219" i="13"/>
  <c r="G219" i="13" s="1"/>
  <c r="F138" i="13"/>
  <c r="G138" i="13" s="1"/>
  <c r="F308" i="13"/>
  <c r="G308" i="13" s="1"/>
  <c r="F483" i="13"/>
  <c r="G483" i="13" s="1"/>
  <c r="F43" i="13"/>
  <c r="G43" i="13" s="1"/>
  <c r="F587" i="13"/>
  <c r="G587" i="13" s="1"/>
  <c r="F137" i="13" l="1"/>
  <c r="G137" i="13" s="1"/>
  <c r="F307" i="13"/>
  <c r="G307" i="13" s="1"/>
  <c r="F586" i="13"/>
  <c r="G586" i="13" s="1"/>
  <c r="F42" i="13"/>
  <c r="G42" i="13" s="1"/>
  <c r="F218" i="13"/>
  <c r="G218" i="13" s="1"/>
  <c r="F482" i="13"/>
  <c r="G482" i="13" s="1"/>
  <c r="F396" i="13"/>
  <c r="G396" i="13" s="1"/>
  <c r="F41" i="13" l="1"/>
  <c r="G41" i="13" s="1"/>
  <c r="F395" i="13"/>
  <c r="G395" i="13" s="1"/>
  <c r="F585" i="13"/>
  <c r="G585" i="13" s="1"/>
  <c r="F481" i="13"/>
  <c r="G481" i="13" s="1"/>
  <c r="F306" i="13"/>
  <c r="G306" i="13" s="1"/>
  <c r="F217" i="13"/>
  <c r="G217" i="13" s="1"/>
  <c r="F136" i="13"/>
  <c r="G136" i="13" s="1"/>
  <c r="F584" i="13" l="1"/>
  <c r="G584" i="13" s="1"/>
  <c r="F480" i="13"/>
  <c r="G480" i="13" s="1"/>
  <c r="F135" i="13"/>
  <c r="G135" i="13" s="1"/>
  <c r="F394" i="13"/>
  <c r="G394" i="13" s="1"/>
  <c r="F216" i="13"/>
  <c r="G216" i="13" s="1"/>
  <c r="F305" i="13"/>
  <c r="G305" i="13" s="1"/>
  <c r="F40" i="13"/>
  <c r="G40" i="13" s="1"/>
  <c r="F393" i="13" l="1"/>
  <c r="G393" i="13" s="1"/>
  <c r="F134" i="13"/>
  <c r="G134" i="13" s="1"/>
  <c r="F39" i="13"/>
  <c r="G39" i="13" s="1"/>
  <c r="F304" i="13"/>
  <c r="G304" i="13" s="1"/>
  <c r="F479" i="13"/>
  <c r="G479" i="13" s="1"/>
  <c r="F215" i="13"/>
  <c r="G215" i="13" s="1"/>
  <c r="F583" i="13"/>
  <c r="G583" i="13" s="1"/>
  <c r="F38" i="13" l="1"/>
  <c r="G38" i="13" s="1"/>
  <c r="F303" i="13"/>
  <c r="G303" i="13" s="1"/>
  <c r="F582" i="13"/>
  <c r="G582" i="13" s="1"/>
  <c r="F214" i="13"/>
  <c r="G214" i="13" s="1"/>
  <c r="F133" i="13"/>
  <c r="G133" i="13" s="1"/>
  <c r="F478" i="13"/>
  <c r="G478" i="13" s="1"/>
  <c r="F392" i="13"/>
  <c r="G392" i="13" s="1"/>
  <c r="F391" i="13" l="1"/>
  <c r="G391" i="13" s="1"/>
  <c r="F213" i="13"/>
  <c r="G213" i="13" s="1"/>
  <c r="F581" i="13"/>
  <c r="G581" i="13" s="1"/>
  <c r="F477" i="13"/>
  <c r="G477" i="13" s="1"/>
  <c r="F302" i="13"/>
  <c r="G302" i="13" s="1"/>
  <c r="F132" i="13"/>
  <c r="G132" i="13" s="1"/>
  <c r="F37" i="13"/>
  <c r="G37" i="13" s="1"/>
  <c r="F36" i="13" l="1"/>
  <c r="G36" i="13" s="1"/>
  <c r="F476" i="13"/>
  <c r="G476" i="13" s="1"/>
  <c r="F580" i="13"/>
  <c r="G580" i="13" s="1"/>
  <c r="F131" i="13"/>
  <c r="G131" i="13" s="1"/>
  <c r="F212" i="13"/>
  <c r="G212" i="13" s="1"/>
  <c r="F301" i="13"/>
  <c r="G301" i="13" s="1"/>
  <c r="F390" i="13"/>
  <c r="G390" i="13" s="1"/>
  <c r="F389" i="13" l="1"/>
  <c r="G389" i="13" s="1"/>
  <c r="F130" i="13"/>
  <c r="G130" i="13" s="1"/>
  <c r="F579" i="13"/>
  <c r="G579" i="13" s="1"/>
  <c r="F300" i="13"/>
  <c r="G300" i="13" s="1"/>
  <c r="F475" i="13"/>
  <c r="G475" i="13" s="1"/>
  <c r="F211" i="13"/>
  <c r="G211" i="13" s="1"/>
  <c r="F35" i="13"/>
  <c r="G35" i="13" s="1"/>
  <c r="F299" i="13" l="1"/>
  <c r="G299" i="13" s="1"/>
  <c r="F34" i="13"/>
  <c r="G34" i="13" s="1"/>
  <c r="F578" i="13"/>
  <c r="G578" i="13" s="1"/>
  <c r="F210" i="13"/>
  <c r="G210" i="13" s="1"/>
  <c r="F129" i="13"/>
  <c r="G129" i="13" s="1"/>
  <c r="F474" i="13"/>
  <c r="G474" i="13" s="1"/>
  <c r="F388" i="13"/>
  <c r="G388" i="13" s="1"/>
  <c r="F209" i="13" l="1"/>
  <c r="G209" i="13" s="1"/>
  <c r="F387" i="13"/>
  <c r="G387" i="13" s="1"/>
  <c r="F577" i="13"/>
  <c r="G577" i="13" s="1"/>
  <c r="F473" i="13"/>
  <c r="G473" i="13" s="1"/>
  <c r="F33" i="13"/>
  <c r="G33" i="13" s="1"/>
  <c r="F128" i="13"/>
  <c r="G128" i="13" s="1"/>
  <c r="F298" i="13"/>
  <c r="G298" i="13" s="1"/>
  <c r="F472" i="13" l="1"/>
  <c r="G472" i="13" s="1"/>
  <c r="F576" i="13"/>
  <c r="G576" i="13" s="1"/>
  <c r="F297" i="13"/>
  <c r="G297" i="13" s="1"/>
  <c r="F386" i="13"/>
  <c r="G386" i="13" s="1"/>
  <c r="F127" i="13"/>
  <c r="G127" i="13" s="1"/>
  <c r="F208" i="13"/>
  <c r="G208" i="13" s="1"/>
  <c r="F32" i="13"/>
  <c r="G32" i="13" s="1"/>
  <c r="F385" i="13" l="1"/>
  <c r="G385" i="13" s="1"/>
  <c r="F296" i="13"/>
  <c r="G296" i="13" s="1"/>
  <c r="F31" i="13"/>
  <c r="G31" i="13" s="1"/>
  <c r="F207" i="13"/>
  <c r="G207" i="13" s="1"/>
  <c r="F575" i="13"/>
  <c r="G575" i="13" s="1"/>
  <c r="F126" i="13"/>
  <c r="G126" i="13" s="1"/>
  <c r="F471" i="13"/>
  <c r="G471" i="13" s="1"/>
  <c r="F470" i="13" l="1"/>
  <c r="G470" i="13" s="1"/>
  <c r="F30" i="13"/>
  <c r="G30" i="13" s="1"/>
  <c r="F125" i="13"/>
  <c r="G125" i="13" s="1"/>
  <c r="F206" i="13"/>
  <c r="G206" i="13" s="1"/>
  <c r="F295" i="13"/>
  <c r="G295" i="13" s="1"/>
  <c r="F574" i="13"/>
  <c r="G574" i="13" s="1"/>
  <c r="F384" i="13"/>
  <c r="G384" i="13" s="1"/>
  <c r="F124" i="13" l="1"/>
  <c r="G124" i="13" s="1"/>
  <c r="F205" i="13"/>
  <c r="G205" i="13" s="1"/>
  <c r="F383" i="13"/>
  <c r="G383" i="13" s="1"/>
  <c r="F573" i="13"/>
  <c r="G573" i="13" s="1"/>
  <c r="F29" i="13"/>
  <c r="G29" i="13" s="1"/>
  <c r="F294" i="13"/>
  <c r="G294" i="13" s="1"/>
  <c r="F469" i="13"/>
  <c r="G469" i="13" s="1"/>
  <c r="F572" i="13" l="1"/>
  <c r="G572" i="13" s="1"/>
  <c r="F468" i="13"/>
  <c r="G468" i="13" s="1"/>
  <c r="F382" i="13"/>
  <c r="G382" i="13" s="1"/>
  <c r="F293" i="13"/>
  <c r="G293" i="13" s="1"/>
  <c r="F204" i="13"/>
  <c r="G204" i="13" s="1"/>
  <c r="F28" i="13"/>
  <c r="G28" i="13" s="1"/>
  <c r="F123" i="13"/>
  <c r="G123" i="13" s="1"/>
  <c r="F122" i="13" l="1"/>
  <c r="G122" i="13" s="1"/>
  <c r="F292" i="13"/>
  <c r="G292" i="13" s="1"/>
  <c r="F381" i="13"/>
  <c r="G381" i="13" s="1"/>
  <c r="F27" i="13"/>
  <c r="G27" i="13" s="1"/>
  <c r="F467" i="13"/>
  <c r="G467" i="13" s="1"/>
  <c r="F203" i="13"/>
  <c r="G203" i="13" s="1"/>
  <c r="F571" i="13"/>
  <c r="G571" i="13" s="1"/>
  <c r="F26" i="13" l="1"/>
  <c r="G26" i="13" s="1"/>
  <c r="F202" i="13"/>
  <c r="G202" i="13" s="1"/>
  <c r="F121" i="13"/>
  <c r="G121" i="13" s="1"/>
  <c r="F570" i="13"/>
  <c r="G570" i="13" s="1"/>
  <c r="F380" i="13"/>
  <c r="G380" i="13" s="1"/>
  <c r="F291" i="13"/>
  <c r="G291" i="13" s="1"/>
  <c r="F466" i="13"/>
  <c r="G466" i="13" s="1"/>
  <c r="F569" i="13" l="1"/>
  <c r="G569" i="13" s="1"/>
  <c r="F465" i="13"/>
  <c r="G465" i="13" s="1"/>
  <c r="F201" i="13"/>
  <c r="G201" i="13" s="1"/>
  <c r="F25" i="13"/>
  <c r="G25" i="13" s="1"/>
  <c r="F120" i="13"/>
  <c r="G120" i="13" s="1"/>
  <c r="F290" i="13"/>
  <c r="G290" i="13" s="1"/>
  <c r="F379" i="13"/>
  <c r="G379" i="13" s="1"/>
  <c r="F24" i="13" l="1"/>
  <c r="G24" i="13" s="1"/>
  <c r="F378" i="13"/>
  <c r="G378" i="13" s="1"/>
  <c r="F464" i="13"/>
  <c r="G464" i="13" s="1"/>
  <c r="F200" i="13"/>
  <c r="G200" i="13" s="1"/>
  <c r="F289" i="13"/>
  <c r="G289" i="13" s="1"/>
  <c r="F119" i="13"/>
  <c r="G119" i="13" s="1"/>
  <c r="F568" i="13"/>
  <c r="G568" i="13" s="1"/>
  <c r="F567" i="13" l="1"/>
  <c r="G567" i="13" s="1"/>
  <c r="F463" i="13"/>
  <c r="G463" i="13" s="1"/>
  <c r="F199" i="13"/>
  <c r="G199" i="13" s="1"/>
  <c r="F118" i="13"/>
  <c r="G118" i="13" s="1"/>
  <c r="F377" i="13"/>
  <c r="G377" i="13" s="1"/>
  <c r="F288" i="13"/>
  <c r="G288" i="13" s="1"/>
  <c r="F23" i="13"/>
  <c r="G23" i="13" s="1"/>
  <c r="F117" i="13" l="1"/>
  <c r="G117" i="13" s="1"/>
  <c r="F198" i="13"/>
  <c r="G198" i="13" s="1"/>
  <c r="F22" i="13"/>
  <c r="G22" i="13" s="1"/>
  <c r="F287" i="13"/>
  <c r="G287" i="13" s="1"/>
  <c r="F462" i="13"/>
  <c r="G462" i="13" s="1"/>
  <c r="F376" i="13"/>
  <c r="G376" i="13" s="1"/>
  <c r="F566" i="13"/>
  <c r="G566" i="13" s="1"/>
  <c r="F286" i="13" l="1"/>
  <c r="G286" i="13" s="1"/>
  <c r="F21" i="13"/>
  <c r="G21" i="13" s="1"/>
  <c r="F461" i="13"/>
  <c r="G461" i="13" s="1"/>
  <c r="F565" i="13"/>
  <c r="G565" i="13" s="1"/>
  <c r="F375" i="13"/>
  <c r="G375" i="13" s="1"/>
  <c r="F197" i="13"/>
  <c r="G197" i="13" s="1"/>
  <c r="F116" i="13"/>
  <c r="G116" i="13" s="1"/>
  <c r="F564" i="13" l="1"/>
  <c r="G564" i="13" s="1"/>
  <c r="F460" i="13"/>
  <c r="G460" i="13" s="1"/>
  <c r="F20" i="13"/>
  <c r="G20" i="13" s="1"/>
  <c r="F115" i="13"/>
  <c r="G115" i="13" s="1"/>
  <c r="F196" i="13"/>
  <c r="G196" i="13" s="1"/>
  <c r="F374" i="13"/>
  <c r="G374" i="13" s="1"/>
  <c r="F285" i="13"/>
  <c r="G285" i="13" s="1"/>
  <c r="F19" i="13" l="1"/>
  <c r="G19" i="13" s="1"/>
  <c r="F284" i="13"/>
  <c r="G284" i="13" s="1"/>
  <c r="F114" i="13"/>
  <c r="G114" i="13" s="1"/>
  <c r="F373" i="13"/>
  <c r="G373" i="13" s="1"/>
  <c r="F459" i="13"/>
  <c r="G459" i="13" s="1"/>
  <c r="F195" i="13"/>
  <c r="G195" i="13" s="1"/>
  <c r="F563" i="13"/>
  <c r="G563" i="13" s="1"/>
  <c r="F458" i="13" l="1"/>
  <c r="G458" i="13" s="1"/>
  <c r="F372" i="13"/>
  <c r="G372" i="13" s="1"/>
  <c r="F562" i="13"/>
  <c r="G562" i="13" s="1"/>
  <c r="F113" i="13"/>
  <c r="G113" i="13" s="1"/>
  <c r="F194" i="13"/>
  <c r="G194" i="13" s="1"/>
  <c r="F283" i="13"/>
  <c r="G283" i="13" s="1"/>
  <c r="F18" i="13"/>
  <c r="G18" i="13" s="1"/>
  <c r="F17" i="13" l="1"/>
  <c r="G17" i="13" s="1"/>
  <c r="F561" i="13"/>
  <c r="G561" i="13" s="1"/>
  <c r="F112" i="13"/>
  <c r="G112" i="13" s="1"/>
  <c r="F282" i="13"/>
  <c r="G282" i="13" s="1"/>
  <c r="F371" i="13"/>
  <c r="G371" i="13" s="1"/>
  <c r="F193" i="13"/>
  <c r="G193" i="13" s="1"/>
  <c r="F457" i="13"/>
  <c r="G457" i="13" s="1"/>
  <c r="F281" i="13" l="1"/>
  <c r="G281" i="13" s="1"/>
  <c r="F456" i="13"/>
  <c r="G456" i="13" s="1"/>
  <c r="F111" i="13"/>
  <c r="G111" i="13" s="1"/>
  <c r="F192" i="13"/>
  <c r="G192" i="13" s="1"/>
  <c r="F560" i="13"/>
  <c r="G560" i="13" s="1"/>
  <c r="F370" i="13"/>
  <c r="G370" i="13" s="1"/>
  <c r="F16" i="13"/>
  <c r="G16" i="13" s="1"/>
  <c r="F369" i="13" l="1"/>
  <c r="G369" i="13" s="1"/>
  <c r="F191" i="13"/>
  <c r="G191" i="13" s="1"/>
  <c r="F15" i="13"/>
  <c r="G15" i="13" s="1"/>
  <c r="F110" i="13"/>
  <c r="G110" i="13" s="1"/>
  <c r="F455" i="13"/>
  <c r="G455" i="13" s="1"/>
  <c r="F559" i="13"/>
  <c r="G559" i="13" s="1"/>
  <c r="F280" i="13"/>
  <c r="G280" i="13" s="1"/>
  <c r="F109" i="13" l="1"/>
  <c r="G109" i="13" s="1"/>
  <c r="F14" i="13"/>
  <c r="G14" i="13" s="1"/>
  <c r="F279" i="13"/>
  <c r="G279" i="13" s="1"/>
  <c r="F558" i="13"/>
  <c r="G558" i="13" s="1"/>
  <c r="F190" i="13"/>
  <c r="G190" i="13" s="1"/>
  <c r="F454" i="13"/>
  <c r="G454" i="13" s="1"/>
  <c r="F368" i="13"/>
  <c r="G368" i="13" s="1"/>
  <c r="F367" i="13" l="1"/>
  <c r="G367" i="13" s="1"/>
  <c r="F278" i="13"/>
  <c r="G278" i="13" s="1"/>
  <c r="F557" i="13"/>
  <c r="G557" i="13" s="1"/>
  <c r="F453" i="13"/>
  <c r="G453" i="13" s="1"/>
  <c r="F13" i="13"/>
  <c r="G13" i="13" s="1"/>
  <c r="F189" i="13"/>
  <c r="G189" i="13" s="1"/>
  <c r="F108" i="13"/>
  <c r="G108" i="13" s="1"/>
  <c r="F107" i="13" l="1"/>
  <c r="G107" i="13" s="1"/>
  <c r="F452" i="13"/>
  <c r="G452" i="13" s="1"/>
  <c r="F277" i="13"/>
  <c r="G277" i="13" s="1"/>
  <c r="F556" i="13"/>
  <c r="G556" i="13" s="1"/>
  <c r="F188" i="13"/>
  <c r="G188" i="13" s="1"/>
  <c r="F12" i="13"/>
  <c r="G12" i="13" s="1"/>
  <c r="F366" i="13"/>
  <c r="G366" i="13" s="1"/>
  <c r="F555" i="13" l="1"/>
  <c r="G555" i="13" s="1"/>
  <c r="F276" i="13"/>
  <c r="G276" i="13" s="1"/>
  <c r="F106" i="13"/>
  <c r="G106" i="13" s="1"/>
  <c r="F365" i="13"/>
  <c r="G365" i="13" s="1"/>
  <c r="F11" i="13"/>
  <c r="G11" i="13" s="1"/>
  <c r="F451" i="13"/>
  <c r="G451" i="13" s="1"/>
  <c r="F187" i="13"/>
  <c r="G187" i="13" s="1"/>
  <c r="F186" i="13" l="1"/>
  <c r="G186" i="13" s="1"/>
  <c r="F105" i="13"/>
  <c r="G105" i="13" s="1"/>
  <c r="F364" i="13"/>
  <c r="G364" i="13" s="1"/>
  <c r="F275" i="13"/>
  <c r="G275" i="13" s="1"/>
  <c r="F450" i="13"/>
  <c r="G450" i="13" s="1"/>
  <c r="F10" i="13"/>
  <c r="G10" i="13" s="1"/>
  <c r="F554" i="13"/>
  <c r="G554" i="13" s="1"/>
  <c r="F363" i="13" l="1"/>
  <c r="G363" i="13" s="1"/>
  <c r="F274" i="13"/>
  <c r="G274" i="13" s="1"/>
  <c r="F104" i="13"/>
  <c r="G104" i="13" s="1"/>
  <c r="F553" i="13"/>
  <c r="G553" i="13" s="1"/>
  <c r="F9" i="13"/>
  <c r="G9" i="13" s="1"/>
  <c r="F185" i="13"/>
  <c r="G185" i="13" s="1"/>
  <c r="F449" i="13"/>
  <c r="G449" i="13" s="1"/>
  <c r="F552" i="13" l="1"/>
  <c r="G552" i="13" s="1"/>
  <c r="F448" i="13"/>
  <c r="G448" i="13" s="1"/>
  <c r="F103" i="13"/>
  <c r="G103" i="13" s="1"/>
  <c r="F184" i="13"/>
  <c r="G184" i="13" s="1"/>
  <c r="F273" i="13"/>
  <c r="G273" i="13" s="1"/>
  <c r="F8" i="13"/>
  <c r="G8" i="13" s="1"/>
  <c r="F362" i="13"/>
  <c r="G362" i="13" s="1"/>
  <c r="F183" i="13" l="1"/>
  <c r="G183" i="13" s="1"/>
  <c r="F102" i="13"/>
  <c r="G102" i="13" s="1"/>
  <c r="F361" i="13"/>
  <c r="G361" i="13" s="1"/>
  <c r="F7" i="13"/>
  <c r="G7" i="13" s="1"/>
  <c r="F447" i="13"/>
  <c r="G447" i="13" s="1"/>
  <c r="F272" i="13"/>
  <c r="G272" i="13" s="1"/>
  <c r="F551" i="13"/>
  <c r="G551" i="13" s="1"/>
  <c r="F6" i="13" l="1"/>
  <c r="G6" i="13" s="1"/>
  <c r="F550" i="13"/>
  <c r="G550" i="13" s="1"/>
  <c r="F360" i="13"/>
  <c r="G360" i="13" s="1"/>
  <c r="F271" i="13"/>
  <c r="G271" i="13" s="1"/>
  <c r="F101" i="13"/>
  <c r="G101" i="13" s="1"/>
  <c r="F446" i="13"/>
  <c r="G446" i="13" s="1"/>
  <c r="F182" i="13"/>
  <c r="G182" i="13" s="1"/>
  <c r="F270" i="13" l="1"/>
  <c r="G270" i="13" s="1"/>
  <c r="F180" i="13"/>
  <c r="G180" i="13" s="1"/>
  <c r="F181" i="13"/>
  <c r="G181" i="13" s="1"/>
  <c r="F359" i="13"/>
  <c r="G359" i="13" s="1"/>
  <c r="F445" i="13"/>
  <c r="G445" i="13" s="1"/>
  <c r="F549" i="13"/>
  <c r="G549" i="13" s="1"/>
  <c r="F100" i="13"/>
  <c r="G100" i="13" s="1"/>
  <c r="F5" i="13"/>
  <c r="G5" i="13" s="1"/>
  <c r="F444" i="13" l="1"/>
  <c r="G444" i="13" s="1"/>
  <c r="F3" i="13"/>
  <c r="G3" i="13" s="1"/>
  <c r="F4" i="13"/>
  <c r="G4" i="13" s="1"/>
  <c r="F358" i="13"/>
  <c r="G358" i="13" s="1"/>
  <c r="F99" i="13"/>
  <c r="G99" i="13" s="1"/>
  <c r="F269" i="13"/>
  <c r="G269" i="13" s="1"/>
  <c r="F548" i="13"/>
  <c r="G548" i="13" s="1"/>
  <c r="F98" i="13" l="1"/>
  <c r="G98" i="13" s="1"/>
  <c r="F357" i="13"/>
  <c r="G357" i="13" s="1"/>
  <c r="F547" i="13"/>
  <c r="G547" i="13" s="1"/>
  <c r="F268" i="13"/>
  <c r="G268" i="13" s="1"/>
  <c r="F443" i="13"/>
  <c r="G443" i="13" s="1"/>
  <c r="F267" i="13" l="1"/>
  <c r="G267" i="13" s="1"/>
  <c r="F546" i="13"/>
  <c r="G546" i="13" s="1"/>
  <c r="F355" i="13"/>
  <c r="G355" i="13" s="1"/>
  <c r="F356" i="13"/>
  <c r="G356" i="13" s="1"/>
  <c r="F441" i="13"/>
  <c r="G441" i="13" s="1"/>
  <c r="F442" i="13"/>
  <c r="G442" i="13" s="1"/>
  <c r="F97" i="13"/>
  <c r="G97" i="13" s="1"/>
  <c r="F545" i="13" l="1"/>
  <c r="G545" i="13" s="1"/>
  <c r="F96" i="13"/>
  <c r="G96" i="13" s="1"/>
  <c r="F266" i="13"/>
  <c r="G266" i="13" s="1"/>
  <c r="F265" i="13" l="1"/>
  <c r="G265" i="13" s="1"/>
  <c r="F95" i="13"/>
  <c r="G95" i="13" s="1"/>
  <c r="F544" i="13"/>
  <c r="G544" i="13" s="1"/>
  <c r="F543" i="13" l="1"/>
  <c r="G543" i="13" s="1"/>
  <c r="F94" i="13"/>
  <c r="G94" i="13" s="1"/>
  <c r="F264" i="13"/>
  <c r="G264" i="13" s="1"/>
  <c r="F263" i="13" l="1"/>
  <c r="G263" i="13" s="1"/>
  <c r="F93" i="13"/>
  <c r="G93" i="13" s="1"/>
  <c r="F542" i="13"/>
  <c r="G542" i="13" s="1"/>
  <c r="F92" i="13" l="1"/>
  <c r="G92" i="13" s="1"/>
  <c r="F541" i="13"/>
  <c r="G541" i="13" s="1"/>
  <c r="F261" i="13"/>
  <c r="G261" i="13" s="1"/>
  <c r="F262" i="13"/>
  <c r="G262" i="13" s="1"/>
  <c r="F540" i="13" l="1"/>
  <c r="G540" i="13" s="1"/>
  <c r="F91" i="13"/>
  <c r="G91" i="13" s="1"/>
  <c r="F90" i="13"/>
  <c r="G90" i="13" s="1"/>
  <c r="F539" i="13" l="1"/>
  <c r="G539" i="13" s="1"/>
  <c r="F538" i="13" l="1"/>
  <c r="G538" i="13" s="1"/>
  <c r="F537" i="13" l="1"/>
  <c r="G537" i="13" s="1"/>
  <c r="F536" i="13" l="1"/>
  <c r="G536" i="13" s="1"/>
  <c r="F535" i="13" l="1"/>
  <c r="G535" i="13" s="1"/>
  <c r="F534" i="13" l="1"/>
  <c r="G534" i="13" s="1"/>
  <c r="F533" i="13" l="1"/>
  <c r="G533" i="13" s="1"/>
  <c r="F532" i="13" l="1"/>
  <c r="G532" i="13" s="1"/>
  <c r="F531" i="13" l="1"/>
  <c r="G531" i="13" s="1"/>
  <c r="F529" i="13" l="1"/>
  <c r="G529" i="13" s="1"/>
  <c r="F530" i="13"/>
  <c r="G530" i="13" s="1"/>
  <c r="F2" i="13"/>
  <c r="G2" i="13" s="1"/>
</calcChain>
</file>

<file path=xl/sharedStrings.xml><?xml version="1.0" encoding="utf-8"?>
<sst xmlns="http://schemas.openxmlformats.org/spreadsheetml/2006/main" count="15165" uniqueCount="1492">
  <si>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</si>
  <si>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</si>
  <si>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</si>
  <si>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</si>
  <si>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</si>
  <si>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</si>
  <si>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</si>
  <si>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</si>
  <si>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</si>
  <si>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</si>
  <si>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</si>
  <si>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</si>
  <si>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</si>
  <si>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</si>
  <si>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</si>
  <si>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</si>
  <si>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</si>
  <si>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</si>
  <si>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</si>
  <si>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</si>
  <si>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</si>
  <si>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</si>
  <si>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</si>
  <si>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</si>
  <si>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</si>
  <si>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</si>
  <si>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</si>
  <si>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</si>
  <si>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</si>
  <si>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</si>
  <si>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</si>
  <si>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</si>
  <si>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</si>
  <si>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</si>
  <si>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</si>
  <si>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</si>
  <si>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</si>
  <si>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</si>
  <si>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</si>
  <si>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</si>
  <si>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</si>
  <si>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</si>
  <si>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</si>
  <si>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</si>
  <si>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</si>
  <si>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</si>
  <si>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</si>
  <si>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</si>
  <si>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</si>
  <si>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</si>
  <si>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</si>
  <si>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</si>
  <si>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</si>
  <si>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</si>
  <si>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</si>
  <si>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</si>
  <si>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</si>
  <si>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</si>
  <si>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</si>
  <si>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</si>
  <si>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</si>
  <si>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</si>
  <si>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</si>
  <si>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</si>
  <si>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</si>
  <si>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</si>
  <si>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</si>
  <si>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</si>
  <si>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</si>
  <si>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</si>
  <si>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</si>
  <si>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</si>
  <si>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</si>
  <si>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</si>
  <si>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</si>
  <si>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</si>
  <si>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</si>
  <si>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</si>
  <si>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</si>
  <si>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</si>
  <si>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</si>
  <si>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</si>
  <si>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</si>
  <si>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</si>
  <si>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</si>
  <si>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</si>
  <si>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</si>
  <si>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</si>
  <si>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</si>
  <si>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</si>
  <si>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</si>
  <si>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</si>
  <si>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</si>
  <si>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</si>
  <si>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</si>
  <si>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</si>
  <si>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</si>
  <si>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</si>
  <si>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</si>
  <si>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</si>
  <si>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</si>
  <si>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</si>
  <si>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</si>
  <si>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</si>
  <si>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</si>
  <si>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</si>
  <si>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</si>
  <si>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</si>
  <si>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</si>
  <si>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</si>
  <si>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</si>
  <si>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</si>
  <si>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</si>
  <si>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</si>
  <si>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</si>
  <si>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</si>
  <si>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</si>
  <si>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</si>
  <si>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</si>
  <si>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</si>
  <si>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</si>
  <si>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</si>
  <si>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</si>
  <si>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</si>
  <si>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</si>
  <si>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</si>
  <si>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</si>
  <si>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</si>
  <si>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</si>
  <si>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</si>
  <si>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</si>
  <si>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</si>
  <si>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</si>
  <si>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</si>
  <si>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</si>
  <si>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</si>
  <si>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</si>
  <si>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</si>
  <si>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</si>
  <si>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</si>
  <si>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</si>
  <si>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</si>
  <si>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</si>
  <si>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</si>
  <si>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</si>
  <si>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</si>
  <si>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</si>
  <si>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</si>
  <si>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</si>
  <si>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</si>
  <si>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</si>
  <si>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</si>
  <si>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</si>
  <si>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</si>
  <si>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</si>
  <si>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</si>
  <si>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</si>
  <si>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</si>
  <si>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</si>
  <si>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</si>
  <si>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</si>
  <si>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</si>
  <si>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</si>
  <si>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</si>
  <si>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</si>
  <si>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</si>
  <si>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</si>
  <si>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</si>
  <si>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</si>
  <si>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</si>
  <si>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</si>
  <si>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</si>
  <si>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</si>
  <si>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</si>
  <si>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</si>
  <si>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</si>
  <si>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</si>
  <si>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</si>
  <si>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</si>
  <si>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</si>
  <si>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</si>
  <si>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</si>
  <si>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</si>
  <si>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</si>
  <si>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</si>
  <si>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</si>
  <si>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</si>
  <si>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</si>
  <si>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</si>
  <si>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</si>
  <si>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</si>
  <si>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</si>
  <si>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</si>
  <si>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</si>
  <si>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</si>
  <si>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</si>
  <si>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</si>
  <si>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</si>
  <si>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</si>
  <si>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</si>
  <si>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</si>
  <si>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</si>
  <si>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</si>
  <si>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</si>
  <si>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</si>
  <si>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</si>
  <si>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</si>
  <si>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</si>
  <si>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</si>
  <si>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</si>
  <si>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</si>
  <si>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</si>
  <si>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</si>
  <si>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</si>
  <si>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</si>
  <si>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</si>
  <si>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</si>
  <si>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</si>
  <si>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</si>
  <si>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</si>
  <si>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</si>
  <si>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</si>
  <si>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</si>
  <si>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</si>
  <si>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</si>
  <si>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</si>
  <si>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</si>
  <si>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</si>
  <si>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</si>
  <si>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</si>
  <si>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</si>
  <si>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</si>
  <si>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</si>
  <si>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</si>
  <si>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</si>
  <si>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</si>
  <si>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</si>
  <si>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</si>
  <si>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</si>
  <si>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</si>
  <si>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</si>
  <si>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</si>
  <si>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</si>
  <si>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</si>
  <si>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</si>
  <si>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</si>
  <si>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</si>
  <si>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</si>
  <si>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</si>
  <si>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</si>
  <si>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</si>
  <si>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</si>
  <si>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</si>
  <si>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</si>
  <si>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</si>
  <si>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</si>
  <si>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</si>
  <si>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</si>
  <si>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</si>
  <si>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</si>
  <si>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</si>
  <si>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</si>
  <si>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</si>
  <si>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</si>
  <si>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</si>
  <si>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</si>
  <si>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</si>
  <si>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</si>
  <si>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</si>
  <si>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</si>
  <si>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</si>
  <si>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</si>
  <si>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</si>
  <si>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</si>
  <si>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</si>
  <si>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</si>
  <si>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</si>
  <si>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</si>
  <si>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</si>
  <si>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</si>
  <si>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</si>
  <si>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</si>
  <si>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</si>
  <si>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</si>
  <si>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</si>
  <si>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</si>
  <si>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</si>
  <si>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</si>
  <si>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</si>
  <si>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</si>
  <si>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</si>
  <si>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</si>
  <si>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</si>
  <si>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</si>
  <si>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</si>
  <si>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</si>
  <si>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</si>
  <si>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</si>
  <si>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</si>
  <si>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</si>
  <si>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</si>
  <si>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</si>
  <si>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</si>
  <si>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</si>
  <si>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</si>
  <si>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</si>
  <si>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</si>
  <si>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</si>
  <si>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</si>
  <si>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</si>
  <si>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</si>
  <si>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</si>
  <si>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</si>
  <si>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</si>
  <si>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</si>
  <si>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</si>
  <si>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</si>
  <si>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</si>
  <si>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</si>
  <si>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</si>
  <si>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</si>
  <si>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</si>
  <si>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</si>
  <si>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</si>
  <si>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</si>
  <si>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</si>
  <si>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</si>
  <si>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</si>
  <si>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</si>
  <si>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</si>
  <si>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</si>
  <si>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</si>
  <si>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</si>
  <si>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</si>
  <si>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</si>
  <si>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</si>
  <si>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</si>
  <si>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</si>
  <si>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</si>
  <si>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</si>
  <si>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</si>
  <si>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</si>
  <si>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</si>
  <si>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</si>
  <si>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</si>
  <si>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</si>
  <si>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</si>
  <si>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</si>
  <si>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</si>
  <si>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</si>
  <si>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</si>
  <si>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</si>
  <si>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</si>
  <si>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</si>
  <si>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</si>
  <si>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</si>
  <si>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</si>
  <si>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</si>
  <si>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</si>
  <si>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</si>
  <si>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</si>
  <si>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</si>
  <si>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</si>
  <si>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</si>
  <si>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</si>
  <si>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</si>
  <si>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</si>
  <si>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</si>
  <si>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</si>
  <si>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</si>
  <si>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</si>
  <si>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</si>
  <si>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</si>
  <si>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</si>
  <si>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</si>
  <si>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</si>
  <si>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</si>
  <si>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</si>
  <si>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</si>
  <si>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</si>
  <si>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</si>
  <si>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</si>
  <si>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</si>
  <si>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</si>
  <si>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</si>
  <si>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</si>
  <si>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</si>
  <si>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</si>
  <si>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</si>
  <si>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</si>
  <si>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</si>
  <si>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</si>
  <si>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</si>
  <si>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</si>
  <si>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</si>
  <si>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</si>
  <si>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</si>
  <si>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</si>
  <si>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</si>
  <si>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</si>
  <si>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</si>
  <si>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</si>
  <si>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</si>
  <si>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</si>
  <si>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</si>
  <si>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</si>
  <si>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</si>
  <si>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</si>
  <si>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</si>
  <si>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</si>
  <si>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</si>
  <si>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</si>
  <si>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</si>
  <si>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</si>
  <si>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</si>
  <si>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</si>
  <si>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</si>
  <si>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</si>
  <si>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</si>
  <si>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</si>
  <si>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</si>
  <si>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</si>
  <si>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</si>
  <si>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</si>
  <si>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</si>
  <si>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</si>
  <si>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</si>
  <si>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</si>
  <si>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</si>
  <si>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</si>
  <si>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</si>
  <si>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</si>
  <si>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</si>
  <si>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</si>
  <si>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</si>
  <si>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</si>
  <si>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</si>
  <si>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</si>
  <si>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</si>
  <si>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</si>
  <si>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</si>
  <si>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</si>
  <si>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</si>
  <si>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</si>
  <si>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</si>
  <si>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</si>
  <si>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</si>
  <si>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</si>
  <si>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</si>
  <si>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</si>
  <si>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</si>
  <si>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</si>
  <si>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</si>
  <si>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</si>
  <si>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</si>
  <si>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</si>
  <si>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</si>
  <si>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</si>
  <si>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</si>
  <si>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</si>
  <si>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</si>
  <si>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</si>
  <si>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</si>
  <si>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</si>
  <si>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</si>
  <si>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</si>
  <si>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</si>
  <si>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</si>
  <si>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</si>
  <si>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</si>
  <si>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</si>
  <si>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</si>
  <si>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</si>
  <si>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</si>
  <si>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</si>
  <si>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</si>
  <si>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</si>
  <si>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</si>
  <si>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</si>
  <si>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</si>
  <si>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</si>
  <si>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</si>
  <si>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</si>
  <si>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</si>
  <si>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</si>
  <si>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</si>
  <si>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</si>
  <si>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</si>
  <si>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</si>
  <si>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</si>
  <si>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</si>
  <si>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</si>
  <si>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</si>
  <si>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</si>
  <si>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</si>
  <si>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</si>
  <si>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</si>
  <si>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</si>
  <si>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</si>
  <si>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</si>
  <si>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</si>
  <si>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</si>
  <si>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</si>
  <si>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</si>
  <si>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</si>
  <si>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</si>
  <si>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</si>
  <si>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</si>
  <si>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</si>
  <si>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</si>
  <si>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</si>
  <si>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</si>
  <si>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</si>
  <si>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</si>
  <si>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</si>
  <si>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</si>
  <si>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</si>
  <si>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</si>
  <si>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</si>
  <si>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</si>
  <si>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</si>
  <si>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</si>
  <si>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</si>
  <si>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</si>
  <si>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</si>
  <si>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</si>
  <si>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</si>
  <si>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</si>
  <si>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</si>
  <si>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</si>
  <si>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</si>
  <si>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</si>
  <si>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</si>
  <si>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</si>
  <si>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</si>
  <si>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</si>
  <si>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</si>
  <si>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</si>
  <si>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</si>
  <si>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</si>
  <si>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</si>
  <si>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</si>
  <si>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</si>
  <si>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</si>
  <si>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</si>
  <si>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</si>
  <si>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</si>
  <si>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</si>
  <si>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</si>
  <si>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</si>
  <si>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</si>
  <si>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</si>
  <si>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</si>
  <si>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</si>
  <si>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</si>
  <si>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</si>
  <si>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</si>
  <si>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</si>
  <si>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</si>
  <si>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</si>
  <si>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</si>
  <si>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</si>
  <si>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</si>
  <si>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</si>
  <si>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</si>
  <si>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</si>
  <si>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</si>
  <si>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</si>
  <si>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</si>
  <si>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</si>
  <si>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</si>
  <si>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</si>
  <si>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</si>
  <si>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</si>
  <si>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</si>
  <si>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</si>
  <si>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</si>
  <si>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</si>
  <si>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</si>
  <si>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</si>
  <si>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</si>
  <si>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</si>
  <si>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</si>
  <si>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</si>
  <si>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</si>
  <si>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</si>
  <si>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</si>
  <si>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</si>
  <si>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</si>
  <si>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</si>
  <si>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</si>
  <si>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</si>
  <si>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</si>
  <si>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</si>
  <si>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</si>
  <si>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</si>
  <si>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</si>
  <si>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</si>
  <si>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</si>
  <si>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</si>
  <si>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</si>
  <si>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</si>
  <si>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</si>
  <si>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</si>
  <si>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</si>
  <si>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</si>
  <si>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</si>
  <si>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</si>
  <si>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</si>
  <si>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</si>
  <si>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</si>
  <si>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</si>
  <si>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</si>
  <si>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</si>
  <si>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</si>
  <si>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</si>
  <si>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</si>
  <si>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</si>
  <si>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</si>
  <si>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</si>
  <si>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</si>
  <si>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</si>
  <si>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</si>
  <si>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</si>
  <si>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</si>
  <si>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</si>
  <si>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</si>
  <si>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</si>
  <si>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</si>
  <si>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</si>
  <si>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</si>
  <si>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</si>
  <si>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</si>
  <si>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</si>
  <si>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</si>
  <si>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</si>
  <si>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</si>
  <si>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</si>
  <si>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</si>
  <si>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</si>
  <si>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</si>
  <si>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</si>
  <si>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</si>
  <si>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</si>
  <si>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</si>
  <si>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</si>
  <si>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</si>
  <si>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</si>
  <si>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</si>
  <si>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</si>
  <si>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</si>
  <si>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</si>
  <si>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</si>
  <si>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</si>
  <si>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</si>
  <si>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</si>
  <si>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</si>
  <si>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</si>
  <si>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</si>
  <si>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</si>
  <si>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</si>
  <si>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</si>
  <si>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</si>
  <si>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</si>
  <si>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</si>
  <si>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</si>
  <si>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</si>
  <si>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</si>
  <si>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</si>
  <si>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</si>
  <si>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</si>
  <si>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</si>
  <si>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</si>
  <si>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</si>
  <si>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</si>
  <si>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</si>
  <si>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</si>
  <si>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</si>
  <si>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</si>
  <si>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</si>
  <si>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</si>
  <si>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</si>
  <si>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</si>
  <si>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</si>
  <si>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</si>
  <si>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</si>
  <si>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</si>
  <si>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</si>
  <si>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</si>
  <si>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</si>
  <si>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</si>
  <si>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</si>
  <si>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</si>
  <si>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</si>
  <si>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</si>
  <si>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</si>
  <si>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</si>
  <si>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</si>
  <si>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</si>
  <si>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</si>
  <si>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</si>
  <si>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</si>
  <si>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</si>
  <si>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</si>
  <si>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</si>
  <si>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</si>
  <si>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</si>
  <si>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</si>
  <si>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</si>
  <si>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</si>
  <si>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</si>
  <si>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</si>
  <si>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</si>
  <si>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</si>
  <si>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</si>
  <si>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</si>
  <si>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</si>
  <si>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</si>
  <si>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</si>
  <si>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</si>
  <si>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</si>
  <si>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</si>
  <si>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</si>
  <si>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</si>
  <si>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</si>
  <si>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</si>
  <si>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</si>
  <si>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</si>
  <si>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</si>
  <si>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</si>
  <si>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</si>
  <si>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</si>
  <si>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</si>
  <si>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</si>
  <si>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</si>
  <si>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</si>
  <si>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</si>
  <si>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</si>
  <si>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</si>
  <si>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</si>
  <si>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</si>
  <si>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</si>
  <si>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</si>
  <si>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</si>
  <si>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</si>
  <si>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</si>
  <si>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</si>
  <si>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</si>
  <si>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</si>
  <si>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</si>
  <si>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</si>
  <si>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</si>
  <si>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</si>
  <si>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</si>
  <si>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</si>
  <si>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</si>
  <si>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</si>
  <si>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</si>
  <si>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</si>
  <si>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</si>
  <si>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</si>
  <si>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</si>
  <si>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</si>
  <si>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</si>
  <si>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</si>
  <si>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</si>
  <si>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</si>
  <si>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</si>
  <si>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</si>
  <si>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</si>
  <si>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</si>
  <si>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</si>
  <si>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</si>
  <si>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</si>
  <si>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</si>
  <si>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</si>
  <si>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</si>
  <si>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</si>
  <si>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</si>
  <si>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</si>
  <si>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</si>
  <si>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</si>
  <si>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</si>
  <si>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</si>
  <si>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</si>
  <si>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</si>
  <si>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</si>
  <si>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</si>
  <si>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</si>
  <si>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</si>
  <si>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</si>
  <si>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</si>
  <si>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</si>
  <si>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</si>
  <si>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</si>
  <si>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</si>
  <si>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</si>
  <si>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</si>
  <si>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</si>
  <si>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</si>
  <si>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</si>
  <si>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</si>
  <si>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</si>
  <si>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</si>
  <si>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</si>
  <si>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</si>
  <si>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</si>
  <si>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</si>
  <si>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</si>
  <si>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</si>
  <si>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</si>
  <si>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</si>
  <si>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</si>
  <si>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</si>
  <si>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</si>
  <si>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</si>
  <si>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</si>
  <si>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</si>
  <si>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</si>
  <si>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</si>
  <si>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</si>
  <si>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</si>
  <si>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</si>
  <si>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</si>
  <si>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</si>
  <si>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</si>
  <si>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</si>
  <si>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</si>
  <si>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</si>
  <si>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</si>
  <si>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</si>
  <si>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</si>
  <si>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</si>
  <si>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</si>
  <si>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</si>
  <si>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</si>
  <si>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</si>
  <si>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</si>
  <si>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</si>
  <si>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</si>
  <si>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</si>
  <si>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</si>
  <si>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</si>
  <si>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</si>
  <si>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</si>
  <si>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</si>
  <si>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</si>
  <si>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</si>
  <si>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</si>
  <si>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</si>
  <si>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</si>
  <si>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</si>
  <si>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</si>
  <si>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</si>
  <si>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</si>
  <si>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</si>
  <si>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</si>
  <si>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</si>
  <si>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</si>
  <si>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</si>
  <si>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</si>
  <si>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</si>
  <si>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</si>
  <si>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</si>
  <si>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</si>
  <si>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</si>
  <si>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</si>
  <si>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</si>
  <si>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</si>
  <si>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</si>
  <si>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</si>
  <si>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</si>
  <si>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</si>
  <si>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</si>
  <si>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</si>
  <si>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</si>
  <si>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</si>
  <si>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</si>
  <si>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</si>
  <si>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</si>
  <si>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</si>
  <si>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</si>
  <si>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</si>
  <si>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</si>
  <si>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</si>
  <si>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</si>
  <si>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</si>
  <si>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</si>
  <si>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</si>
  <si>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</si>
  <si>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</si>
  <si>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</si>
  <si>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</si>
  <si>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</si>
  <si>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</si>
  <si>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</si>
  <si>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</si>
  <si>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</si>
  <si>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</si>
  <si>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</si>
  <si>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</si>
  <si>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</si>
  <si>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</si>
  <si>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</si>
  <si>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</si>
  <si>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</si>
  <si>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</si>
  <si>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</si>
  <si>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</si>
  <si>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</si>
  <si>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</si>
  <si>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</si>
  <si>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</si>
  <si>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</si>
  <si>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</si>
  <si>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</si>
  <si>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</si>
  <si>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</si>
  <si>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</si>
  <si>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</si>
  <si>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</si>
  <si>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</si>
  <si>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</si>
  <si>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</si>
  <si>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</si>
  <si>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</si>
  <si>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</si>
  <si>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</si>
  <si>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</si>
  <si>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</si>
  <si>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</si>
  <si>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</si>
  <si>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</si>
  <si>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</si>
  <si>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</si>
  <si>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</si>
  <si>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</si>
  <si>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</si>
  <si>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</si>
  <si>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</si>
  <si>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</si>
  <si>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</si>
  <si>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</si>
  <si>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</si>
  <si>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</si>
  <si>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</si>
  <si>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</si>
  <si>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</si>
  <si>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</si>
  <si>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</si>
  <si>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</si>
  <si>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</si>
  <si>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</si>
  <si>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</si>
  <si>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</si>
  <si>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</si>
  <si>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</si>
  <si>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</si>
  <si>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</si>
  <si>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</si>
  <si>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</si>
  <si>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</si>
  <si>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</si>
  <si>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</si>
  <si>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</si>
  <si>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</si>
  <si>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</si>
  <si>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</si>
  <si>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</si>
  <si>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</si>
  <si>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</si>
  <si>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</si>
  <si>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</si>
  <si>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</si>
  <si>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</si>
  <si>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</si>
  <si>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</si>
  <si>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</si>
  <si>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</si>
  <si>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</si>
  <si>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</si>
  <si>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</si>
  <si>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</si>
  <si>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</si>
  <si>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</si>
  <si>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</si>
  <si>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</si>
  <si>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</si>
  <si>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</si>
  <si>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</si>
  <si>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</si>
  <si>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</si>
  <si>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</si>
  <si>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</si>
  <si>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</si>
  <si>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</si>
  <si>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</si>
  <si>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</si>
  <si>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</si>
  <si>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</si>
  <si>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</si>
  <si>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</si>
  <si>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</si>
  <si>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</si>
  <si>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</si>
  <si>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</si>
  <si>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</si>
  <si>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</si>
  <si>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</si>
  <si>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</si>
  <si>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</si>
  <si>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</si>
  <si>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</si>
  <si>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</si>
  <si>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</si>
  <si>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</si>
  <si>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</si>
  <si>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</si>
  <si>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</si>
  <si>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</si>
  <si>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</si>
  <si>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</si>
  <si>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</si>
  <si>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</si>
  <si>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</si>
  <si>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</si>
  <si>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</si>
  <si>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</si>
  <si>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</si>
  <si>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</si>
  <si>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</si>
  <si>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</si>
  <si>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</si>
  <si>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</si>
  <si>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</si>
  <si>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</si>
  <si>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</si>
  <si>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</si>
  <si>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</si>
  <si>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</si>
  <si>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</si>
  <si>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</si>
  <si>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</si>
  <si>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</si>
  <si>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</si>
  <si>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</si>
  <si>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</si>
  <si>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</si>
  <si>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</si>
  <si>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</si>
  <si>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</si>
  <si>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</si>
  <si>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</si>
  <si>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</si>
  <si>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</si>
  <si>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</si>
  <si>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</si>
  <si>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</si>
  <si>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</si>
  <si>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</si>
  <si>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</si>
  <si>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</si>
  <si>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</si>
  <si>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</si>
  <si>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</si>
  <si>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</si>
  <si>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</si>
  <si>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</si>
  <si>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</si>
  <si>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</si>
  <si>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</si>
  <si>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</si>
  <si>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</si>
  <si>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</si>
  <si>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</si>
  <si>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</si>
  <si>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</si>
  <si>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</si>
  <si>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</si>
  <si>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</si>
  <si>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</si>
  <si>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</si>
  <si>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</si>
  <si>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</si>
  <si>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</si>
  <si>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</si>
  <si>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</si>
  <si>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</si>
  <si>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</si>
  <si>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</si>
  <si>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</si>
  <si>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</si>
  <si>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</si>
  <si>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</si>
  <si>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</si>
  <si>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</si>
  <si>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</si>
  <si>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</si>
  <si>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</si>
  <si>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</si>
  <si>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</si>
  <si>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</si>
  <si>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</si>
  <si>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</si>
  <si>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</si>
  <si>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</si>
  <si>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</si>
  <si>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</si>
  <si>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</si>
  <si>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</si>
  <si>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</si>
  <si>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</si>
  <si>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</si>
  <si>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</si>
  <si>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</si>
  <si>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</si>
  <si>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</si>
  <si>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</si>
  <si>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</si>
  <si>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</si>
  <si>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</si>
  <si>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</si>
  <si>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</si>
  <si>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</si>
  <si>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</si>
  <si>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</si>
  <si>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</si>
  <si>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</si>
  <si>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</si>
  <si>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</si>
  <si>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</si>
  <si>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</si>
  <si>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</si>
  <si>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</si>
  <si>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</si>
  <si>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</si>
  <si>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</si>
  <si>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</si>
  <si>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</si>
  <si>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</si>
  <si>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</si>
  <si>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</si>
  <si>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</si>
  <si>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</si>
  <si>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</si>
  <si>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</si>
  <si>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</si>
  <si>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</si>
  <si>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</si>
  <si>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</si>
  <si>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</si>
  <si>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</si>
  <si>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</si>
  <si>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</si>
  <si>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</si>
  <si>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</si>
  <si>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</si>
  <si>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</si>
  <si>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</si>
  <si>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</si>
  <si>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</si>
  <si>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</si>
  <si>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</si>
  <si>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</si>
  <si>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</si>
  <si>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</si>
  <si>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</si>
  <si>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</si>
  <si>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</si>
  <si>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</si>
  <si>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</si>
  <si>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</si>
  <si>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</si>
  <si>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</si>
  <si>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</si>
  <si>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</si>
  <si>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</si>
  <si>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</si>
  <si>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</si>
  <si>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</si>
  <si>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</si>
  <si>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</si>
  <si>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</si>
  <si>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</si>
  <si>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</si>
  <si>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</si>
  <si>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</si>
  <si>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</si>
  <si>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</si>
  <si>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</si>
  <si>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</si>
  <si>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</si>
  <si>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</si>
  <si>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</si>
  <si>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</si>
  <si>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</si>
  <si>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</si>
  <si>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</si>
  <si>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</si>
  <si>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</si>
  <si>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</si>
  <si>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</si>
  <si>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</si>
  <si>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</si>
  <si>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</si>
  <si>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</si>
  <si>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</si>
  <si>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</si>
  <si>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</si>
  <si>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</si>
  <si>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</si>
  <si>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</si>
  <si>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</si>
  <si>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</si>
  <si>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</si>
  <si>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</si>
  <si>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</si>
  <si>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</si>
  <si>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</si>
  <si>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</si>
  <si>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</si>
  <si>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</si>
  <si>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</si>
  <si>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</si>
  <si>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</si>
  <si>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</si>
  <si>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</si>
  <si>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</si>
  <si>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</si>
  <si>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</si>
  <si>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</si>
  <si>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</si>
  <si>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</si>
  <si>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</si>
  <si>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</si>
  <si>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</si>
  <si>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</si>
  <si>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</si>
  <si>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</si>
  <si>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</si>
  <si>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</si>
  <si>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</si>
  <si>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</si>
  <si>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</si>
  <si>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</si>
  <si>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</si>
  <si>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</si>
  <si>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</si>
  <si>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</si>
  <si>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</si>
  <si>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</si>
  <si>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</si>
  <si>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</si>
  <si>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</si>
  <si>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</si>
  <si>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</si>
  <si>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</si>
  <si>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</si>
  <si>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</si>
  <si>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</si>
  <si>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</si>
  <si>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</si>
  <si>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</si>
  <si>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</si>
  <si>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</si>
  <si>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</si>
  <si>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</si>
  <si>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</si>
  <si>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</si>
  <si>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</si>
  <si>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</si>
  <si>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</si>
  <si>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</si>
  <si>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</si>
  <si>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</si>
  <si>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</si>
  <si>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</si>
  <si>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</si>
  <si>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</si>
  <si>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</si>
  <si>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</si>
  <si>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</si>
  <si>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</si>
  <si>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</si>
  <si>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</si>
  <si>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</si>
  <si>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</si>
  <si>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</si>
  <si>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</si>
  <si>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</si>
  <si>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</si>
  <si>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</si>
  <si>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</si>
  <si>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</si>
  <si>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</si>
  <si>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</si>
  <si>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</si>
  <si>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</si>
  <si>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</si>
  <si>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</si>
  <si>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</si>
  <si>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</si>
  <si>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</si>
  <si>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</si>
  <si>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</si>
  <si>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</si>
  <si>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</si>
  <si>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</si>
  <si>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</si>
  <si>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</si>
  <si>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</si>
  <si>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</si>
  <si>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</si>
  <si>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</si>
  <si>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</si>
  <si>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</si>
  <si>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</si>
  <si>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</si>
  <si>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</si>
  <si>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</si>
  <si>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</si>
  <si>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</si>
  <si>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</si>
  <si>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</si>
  <si>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</si>
  <si>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</si>
  <si>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</si>
  <si>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</si>
  <si>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</si>
  <si>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</si>
  <si>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</si>
  <si>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</si>
  <si>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</si>
  <si>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</si>
  <si>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</si>
  <si>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</si>
  <si>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</si>
  <si>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</si>
  <si>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</si>
  <si>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</si>
  <si>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</si>
  <si>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</si>
  <si>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</si>
  <si>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</si>
  <si>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</si>
  <si>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</si>
  <si>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</si>
  <si>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</si>
  <si>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</si>
  <si>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</si>
  <si>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</si>
  <si>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</si>
  <si>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</si>
  <si>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</si>
  <si>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</si>
  <si>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</si>
  <si>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</si>
  <si>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</si>
  <si>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</si>
  <si>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</si>
  <si>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</si>
  <si>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</si>
  <si>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</si>
  <si>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</si>
  <si>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</si>
  <si>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</si>
  <si>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</si>
  <si>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</si>
  <si>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</si>
  <si>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</si>
  <si>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</si>
  <si>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</si>
  <si>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</si>
  <si>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</si>
  <si>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</si>
  <si>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</si>
  <si>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</si>
  <si>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</si>
  <si>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</si>
  <si>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</si>
  <si>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</si>
  <si>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</si>
  <si>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</si>
  <si>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</si>
  <si>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</si>
  <si>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</si>
  <si>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</si>
  <si>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</si>
  <si>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</si>
  <si>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</si>
  <si>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</si>
  <si>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</si>
  <si>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</si>
  <si>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</si>
  <si>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</si>
  <si>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</si>
  <si>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</si>
  <si>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</si>
  <si>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</si>
  <si>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</si>
  <si>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</si>
  <si>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</si>
  <si>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</si>
  <si>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</si>
  <si>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</si>
  <si>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</si>
  <si>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</si>
  <si>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</si>
  <si>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</si>
  <si>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</si>
  <si>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</si>
  <si>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</si>
  <si>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</si>
  <si>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</si>
  <si>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</si>
  <si>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</si>
  <si>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</si>
  <si>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</si>
  <si>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</si>
  <si>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</si>
  <si>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</si>
  <si>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</si>
  <si>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Unknown</t>
  </si>
  <si>
    <t>Unspecified</t>
  </si>
  <si>
    <t>Unassigned</t>
  </si>
  <si>
    <t>CorrectedDiscount</t>
  </si>
  <si>
    <t>CorrectedUnitPrice</t>
  </si>
  <si>
    <t>CorrectedRequiredDate</t>
  </si>
  <si>
    <t>LeadTimeDays</t>
  </si>
  <si>
    <t>Grossrevenue</t>
  </si>
  <si>
    <t>CostOfGoods</t>
  </si>
  <si>
    <t>GrossProfit</t>
  </si>
  <si>
    <t>MarginPct</t>
  </si>
  <si>
    <t>StarndardizedDate</t>
  </si>
  <si>
    <t>Quarter</t>
  </si>
  <si>
    <t>RegionHierachy</t>
  </si>
  <si>
    <t>PriceBand</t>
  </si>
  <si>
    <t>Row Labels</t>
  </si>
  <si>
    <t>Grand Total</t>
  </si>
  <si>
    <t>2023</t>
  </si>
  <si>
    <t>2024</t>
  </si>
  <si>
    <t>2025</t>
  </si>
  <si>
    <t>Column Labels</t>
  </si>
  <si>
    <t>Jan</t>
  </si>
  <si>
    <t>Feb</t>
  </si>
  <si>
    <t>Mar</t>
  </si>
  <si>
    <t>Apr</t>
  </si>
  <si>
    <t>May</t>
  </si>
  <si>
    <t>Jun</t>
  </si>
  <si>
    <t>Jul</t>
  </si>
  <si>
    <t>Aug</t>
  </si>
  <si>
    <t>Sep</t>
  </si>
  <si>
    <t>Oct</t>
  </si>
  <si>
    <t>Nov</t>
  </si>
  <si>
    <t>Dec</t>
  </si>
  <si>
    <t>MonthIndex</t>
  </si>
  <si>
    <t>Sum of Grossrevenue</t>
  </si>
  <si>
    <t>FirstMonthSale</t>
  </si>
  <si>
    <t>Cumulative Grossrevenue</t>
  </si>
  <si>
    <t>GrossRevenuePerCategory</t>
  </si>
  <si>
    <t>Percentage</t>
  </si>
  <si>
    <t>ABC Category</t>
  </si>
  <si>
    <t>Sum of GrossProfit</t>
  </si>
  <si>
    <t>Count of OrderID</t>
  </si>
  <si>
    <t>(Multiple Items)</t>
  </si>
  <si>
    <t>Conclusion:</t>
  </si>
  <si>
    <t>Online cannibalizes Retail in Americas and Europe where the revenue generated is more than retail.</t>
  </si>
  <si>
    <t>Sum of HighDiscount</t>
  </si>
  <si>
    <t>PercentageDiscountOrders</t>
  </si>
  <si>
    <t>Medium</t>
  </si>
  <si>
    <t>High</t>
  </si>
  <si>
    <t>Low</t>
  </si>
  <si>
    <t>Sum of Count of OrderID</t>
  </si>
  <si>
    <t>Sum of Sum of HighDiscount</t>
  </si>
  <si>
    <t>Global Discount Cap</t>
  </si>
  <si>
    <t>UnitCost Inflation factor</t>
  </si>
  <si>
    <t>Quantity Uplift</t>
  </si>
  <si>
    <t>ScenarioDiscount</t>
  </si>
  <si>
    <t>ScenarioRevenue</t>
  </si>
  <si>
    <t>ScenarioProfit</t>
  </si>
  <si>
    <t>ScenarioUnitCost</t>
  </si>
  <si>
    <t>ScenarioQuantity</t>
  </si>
  <si>
    <t>ScenarioCostOfGoods</t>
  </si>
  <si>
    <t>Baseline</t>
  </si>
  <si>
    <t>Scenario</t>
  </si>
  <si>
    <t>Revenue</t>
  </si>
  <si>
    <t>Profit</t>
  </si>
  <si>
    <t>Variance</t>
  </si>
  <si>
    <t>What-If Control Panel</t>
  </si>
  <si>
    <t>Sum of LeadTimeDays</t>
  </si>
  <si>
    <t>Average of CorrectedDiscount</t>
  </si>
  <si>
    <t>OrderValue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</si>
</sst>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409]d/mmm/yyyy;@"/>
    <numFmt numFmtId="166" formatCode="[$Ksh-441]#,##0.00"/>
    <numFmt numFmtId="167" formatCode="[$-409]mmm/yy;@"/>
  </numFmts>
  <fonts count="3" x14ac:knownFonts="1">
    <font>
      <sz val="11"/>
      <color theme="1"/>
      <name val="Century Gothic"/>
      <family val="2"/>
      <scheme val="minor"/>
    </font>
    <font>
      <b/>
      <sz val="11"/>
      <color theme="1"/>
      <name val="Century Gothic"/>
      <family val="2"/>
      <scheme val="minor"/>
    </font>
    <font>
      <sz val="11"/>
      <color theme="1"/>
      <name val="Century Gothic"/>
      <family val="2"/>
      <scheme val="minor"/>
    </font>
  </fonts>
  <fills count="3">
    <fill>
      <patternFill patternType="none"/>
    </fill>
    <fill>
      <patternFill patternType="gray125"/>
    </fill>
    <fill>
      <patternFill patternType="solid">
        <fgColor theme="5"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0" fontId="1" fillId="0" borderId="1" xfId="0" applyNumberFormat="1" applyFont="1" applyBorder="1" applyAlignment="1">
      <alignment horizontal="center" vertical="top"/>
    </xf>
    <xf numFmtId="10"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1"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166" fontId="1" fillId="0" borderId="0" xfId="0" applyNumberFormat="1" applyFont="1"/>
    <xf numFmtId="166" fontId="0" fillId="0" borderId="0" xfId="0" applyNumberFormat="1" applyAlignment="1">
      <alignment vertical="center"/>
    </xf>
    <xf numFmtId="9" fontId="1" fillId="0" borderId="0" xfId="1" applyFont="1"/>
    <xf numFmtId="9" fontId="0" fillId="0" borderId="0" xfId="1" applyFont="1" applyAlignment="1">
      <alignment vertical="center"/>
    </xf>
    <xf numFmtId="2" fontId="1" fillId="0" borderId="0" xfId="0" applyNumberFormat="1" applyFont="1"/>
    <xf numFmtId="0" fontId="0" fillId="0" borderId="1" xfId="0" applyBorder="1"/>
    <xf numFmtId="0" fontId="1" fillId="0" borderId="1" xfId="0" applyFont="1" applyBorder="1"/>
    <xf numFmtId="166" fontId="0" fillId="0" borderId="1" xfId="0" applyNumberFormat="1" applyBorder="1"/>
    <xf numFmtId="10" fontId="0" fillId="2" borderId="0" xfId="0" applyNumberFormat="1" applyFill="1"/>
    <xf numFmtId="9" fontId="0" fillId="0" borderId="0" xfId="1" applyFont="1" applyFill="1"/>
    <xf numFmtId="2" fontId="1" fillId="0" borderId="0" xfId="0" applyNumberFormat="1" applyFont="1" applyAlignment="1">
      <alignment horizontal="center" vertical="top"/>
    </xf>
    <xf numFmtId="9" fontId="1" fillId="0" borderId="1" xfId="1" applyFont="1" applyBorder="1"/>
    <xf numFmtId="0" fontId="1" fillId="0" borderId="2" xfId="0" applyFont="1" applyBorder="1" applyAlignment="1">
      <alignment horizontal="center"/>
    </xf>
    <xf numFmtId="0" fontId="1" fillId="0" borderId="3" xfId="0" applyFont="1" applyBorder="1" applyAlignment="1">
      <alignment horizontal="center"/>
    </xf>
    <xf numFmtId="9" fontId="0" fillId="0" borderId="1" xfId="1" applyFont="1" applyBorder="1"/>
    <xf numFmtId="0" fontId="0" fillId="0" borderId="0" xfId="0" applyNumberFormat="1"/>
    <xf numFmtId="0" fontId="0" fillId="0" borderId="0" xfId="0" applyAlignment="1">
      <alignment wrapText="1"/>
    </xf>
  </cellXfs>
  <cellStyles count="2">
    <cellStyle name="Normal" xfId="0" builtinId="0"/>
    <cellStyle name="Percent" xfId="1" builtinId="5"/>
  </cellStyles>
  <dxfs count="22">
    <dxf>
      <fill>
        <patternFill patternType="solid">
          <bgColor theme="5" tint="0.79998168889431442"/>
        </patternFill>
      </fill>
    </dxf>
    <dxf>
      <fill>
        <patternFill patternType="solid">
          <bgColor theme="5" tint="0.79998168889431442"/>
        </patternFill>
      </fill>
    </dxf>
    <dxf>
      <numFmt numFmtId="14" formatCode="0.00%"/>
    </dxf>
    <dxf>
      <fill>
        <patternFill patternType="solid">
          <bgColor theme="5" tint="0.79998168889431442"/>
        </patternFill>
      </fill>
    </dxf>
    <dxf>
      <fill>
        <patternFill patternType="solid">
          <bgColor theme="5" tint="0.79998168889431442"/>
        </patternFill>
      </fill>
    </dxf>
    <dxf>
      <numFmt numFmtId="14" formatCode="0.00%"/>
    </dxf>
    <dxf>
      <fill>
        <patternFill patternType="solid">
          <bgColor theme="5" tint="0.79998168889431442"/>
        </patternFill>
      </fill>
    </dxf>
    <dxf>
      <fill>
        <patternFill patternType="solid">
          <bgColor theme="5" tint="0.79998168889431442"/>
        </patternFill>
      </fill>
    </dxf>
    <dxf>
      <numFmt numFmtId="14" formatCode="0.00%"/>
    </dxf>
    <dxf>
      <fill>
        <patternFill patternType="solid">
          <bgColor theme="5" tint="0.79998168889431442"/>
        </patternFill>
      </fill>
    </dxf>
    <dxf>
      <fill>
        <patternFill patternType="solid">
          <bgColor theme="5" tint="0.79998168889431442"/>
        </patternFill>
      </fill>
    </dxf>
    <dxf>
      <numFmt numFmtId="14" formatCode="0.00%"/>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4" formatCode="0.00%"/>
    </dxf>
    <dxf>
      <fill>
        <patternFill patternType="solid">
          <bgColor theme="5" tint="0.79998168889431442"/>
        </patternFill>
      </fill>
    </dxf>
    <dxf>
      <fill>
        <patternFill patternType="solid">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5.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Brief(AutoRecovered).xlsx]MonthyRevenue by Country!PivotTable5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w-KE"/>
              <a:t>Monthly</a:t>
            </a:r>
            <a:r>
              <a:rPr lang="sw-KE" baseline="0"/>
              <a:t> Revenue </a:t>
            </a:r>
            <a:endParaRPr lang="sw-K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'MonthyRevenue by Country'!$B$3:$B$4</c:f>
              <c:strCache>
                <c:ptCount val="1"/>
                <c:pt idx="0">
                  <c:v>Brazil</c:v>
                </c:pt>
              </c:strCache>
            </c:strRef>
          </c:tx>
          <c:spPr>
            <a:ln w="28575" cap="rnd">
              <a:solidFill>
                <a:schemeClr val="accent1"/>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Country'!$B$5:$B$38</c:f>
              <c:numCache>
                <c:formatCode>[$Ksh-441]#,##0.00</c:formatCode>
                <c:ptCount val="33"/>
                <c:pt idx="0">
                  <c:v>26695.838159999996</c:v>
                </c:pt>
                <c:pt idx="1">
                  <c:v>24523.006720000001</c:v>
                </c:pt>
                <c:pt idx="2">
                  <c:v>12248.675999999999</c:v>
                </c:pt>
                <c:pt idx="3">
                  <c:v>27194.152039999997</c:v>
                </c:pt>
                <c:pt idx="4">
                  <c:v>46991.747199999998</c:v>
                </c:pt>
                <c:pt idx="5">
                  <c:v>93430.735400000005</c:v>
                </c:pt>
                <c:pt idx="6">
                  <c:v>37330.00275</c:v>
                </c:pt>
                <c:pt idx="7">
                  <c:v>7071.6331400000008</c:v>
                </c:pt>
                <c:pt idx="8">
                  <c:v>16213.632800000001</c:v>
                </c:pt>
                <c:pt idx="9">
                  <c:v>24161.26311</c:v>
                </c:pt>
                <c:pt idx="10">
                  <c:v>61471.696859999996</c:v>
                </c:pt>
                <c:pt idx="11">
                  <c:v>8567.3924999999999</c:v>
                </c:pt>
                <c:pt idx="12">
                  <c:v>39239.197899999999</c:v>
                </c:pt>
                <c:pt idx="13">
                  <c:v>110.14919999999999</c:v>
                </c:pt>
                <c:pt idx="14">
                  <c:v>57491.062559999998</c:v>
                </c:pt>
                <c:pt idx="15">
                  <c:v>9469.7678000000014</c:v>
                </c:pt>
                <c:pt idx="17">
                  <c:v>52596.047040000005</c:v>
                </c:pt>
                <c:pt idx="18">
                  <c:v>41358.420049999993</c:v>
                </c:pt>
                <c:pt idx="19">
                  <c:v>85419.017859999993</c:v>
                </c:pt>
                <c:pt idx="21">
                  <c:v>11939.431199999999</c:v>
                </c:pt>
                <c:pt idx="23">
                  <c:v>22987.3279</c:v>
                </c:pt>
                <c:pt idx="24">
                  <c:v>70563.592109999998</c:v>
                </c:pt>
                <c:pt idx="25">
                  <c:v>15158.393100000001</c:v>
                </c:pt>
                <c:pt idx="26">
                  <c:v>70019.054340000002</c:v>
                </c:pt>
                <c:pt idx="27">
                  <c:v>67596.422359999997</c:v>
                </c:pt>
                <c:pt idx="29">
                  <c:v>38096.18406</c:v>
                </c:pt>
                <c:pt idx="30">
                  <c:v>45754.744080000004</c:v>
                </c:pt>
                <c:pt idx="31">
                  <c:v>24172.044580000002</c:v>
                </c:pt>
              </c:numCache>
            </c:numRef>
          </c:val>
          <c:smooth val="0"/>
          <c:extLst>
            <c:ext xmlns:c16="http://schemas.microsoft.com/office/drawing/2014/chart" uri="{C3380CC4-5D6E-409C-BE32-E72D297353CC}">
              <c16:uniqueId val="{00000000-D8EE-4AFA-AB2C-2AF617611ED0}"/>
            </c:ext>
          </c:extLst>
        </c:ser>
        <c:ser>
          <c:idx val="1"/>
          <c:order val="1"/>
          <c:tx>
            <c:strRef>
              <c:f>'MonthyRevenue by Country'!$C$3:$C$4</c:f>
              <c:strCache>
                <c:ptCount val="1"/>
                <c:pt idx="0">
                  <c:v>Canada</c:v>
                </c:pt>
              </c:strCache>
            </c:strRef>
          </c:tx>
          <c:spPr>
            <a:ln w="28575" cap="rnd">
              <a:solidFill>
                <a:schemeClr val="accent2"/>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Country'!$C$5:$C$38</c:f>
              <c:numCache>
                <c:formatCode>[$Ksh-441]#,##0.00</c:formatCode>
                <c:ptCount val="33"/>
                <c:pt idx="0">
                  <c:v>4141.7599999999993</c:v>
                </c:pt>
                <c:pt idx="1">
                  <c:v>26150.364320000001</c:v>
                </c:pt>
                <c:pt idx="2">
                  <c:v>17453.3436</c:v>
                </c:pt>
                <c:pt idx="3">
                  <c:v>15618.84504</c:v>
                </c:pt>
                <c:pt idx="5">
                  <c:v>46226.11952</c:v>
                </c:pt>
                <c:pt idx="6">
                  <c:v>29536.716</c:v>
                </c:pt>
                <c:pt idx="7">
                  <c:v>52625.80416</c:v>
                </c:pt>
                <c:pt idx="8">
                  <c:v>15530.929919999999</c:v>
                </c:pt>
                <c:pt idx="9">
                  <c:v>27756.432000000001</c:v>
                </c:pt>
                <c:pt idx="11">
                  <c:v>14466.95104</c:v>
                </c:pt>
                <c:pt idx="12">
                  <c:v>19139.594240000002</c:v>
                </c:pt>
                <c:pt idx="13">
                  <c:v>9774.3888000000006</c:v>
                </c:pt>
                <c:pt idx="14">
                  <c:v>21931.50405</c:v>
                </c:pt>
                <c:pt idx="16">
                  <c:v>17930.494560000003</c:v>
                </c:pt>
                <c:pt idx="17">
                  <c:v>55516.603510000001</c:v>
                </c:pt>
                <c:pt idx="18">
                  <c:v>79082.507010000001</c:v>
                </c:pt>
                <c:pt idx="19">
                  <c:v>7466.3063999999986</c:v>
                </c:pt>
                <c:pt idx="20">
                  <c:v>64160.245439999999</c:v>
                </c:pt>
                <c:pt idx="22">
                  <c:v>60697.470839999994</c:v>
                </c:pt>
                <c:pt idx="23">
                  <c:v>20713.040080000002</c:v>
                </c:pt>
                <c:pt idx="25">
                  <c:v>8128.5187499999993</c:v>
                </c:pt>
                <c:pt idx="27">
                  <c:v>7901.5041599999995</c:v>
                </c:pt>
                <c:pt idx="28">
                  <c:v>76122.593299999993</c:v>
                </c:pt>
                <c:pt idx="29">
                  <c:v>5335.5655499999993</c:v>
                </c:pt>
                <c:pt idx="30">
                  <c:v>141645.56601000001</c:v>
                </c:pt>
                <c:pt idx="31">
                  <c:v>24972.288</c:v>
                </c:pt>
                <c:pt idx="32">
                  <c:v>12597.52224</c:v>
                </c:pt>
              </c:numCache>
            </c:numRef>
          </c:val>
          <c:smooth val="0"/>
          <c:extLst>
            <c:ext xmlns:c16="http://schemas.microsoft.com/office/drawing/2014/chart" uri="{C3380CC4-5D6E-409C-BE32-E72D297353CC}">
              <c16:uniqueId val="{00000040-D8EE-4AFA-AB2C-2AF617611ED0}"/>
            </c:ext>
          </c:extLst>
        </c:ser>
        <c:ser>
          <c:idx val="2"/>
          <c:order val="2"/>
          <c:tx>
            <c:strRef>
              <c:f>'MonthyRevenue by Country'!$D$3:$D$4</c:f>
              <c:strCache>
                <c:ptCount val="1"/>
                <c:pt idx="0">
                  <c:v>China</c:v>
                </c:pt>
              </c:strCache>
            </c:strRef>
          </c:tx>
          <c:spPr>
            <a:ln w="28575" cap="rnd">
              <a:solidFill>
                <a:schemeClr val="accent3"/>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Country'!$D$5:$D$38</c:f>
              <c:numCache>
                <c:formatCode>[$Ksh-441]#,##0.00</c:formatCode>
                <c:ptCount val="33"/>
                <c:pt idx="0">
                  <c:v>11406.96</c:v>
                </c:pt>
                <c:pt idx="1">
                  <c:v>24306.483179999999</c:v>
                </c:pt>
                <c:pt idx="3">
                  <c:v>51137.289359999995</c:v>
                </c:pt>
                <c:pt idx="4">
                  <c:v>27108.71488</c:v>
                </c:pt>
                <c:pt idx="6">
                  <c:v>55186.876579999996</c:v>
                </c:pt>
                <c:pt idx="7">
                  <c:v>8909.8587200000002</c:v>
                </c:pt>
                <c:pt idx="8">
                  <c:v>76336.123390000008</c:v>
                </c:pt>
                <c:pt idx="9">
                  <c:v>4402.1164799999997</c:v>
                </c:pt>
                <c:pt idx="11">
                  <c:v>23668.560000000001</c:v>
                </c:pt>
                <c:pt idx="12">
                  <c:v>19542.975350000001</c:v>
                </c:pt>
                <c:pt idx="13">
                  <c:v>105288.56134</c:v>
                </c:pt>
                <c:pt idx="14">
                  <c:v>14197.064400000001</c:v>
                </c:pt>
                <c:pt idx="16">
                  <c:v>70180.55992</c:v>
                </c:pt>
                <c:pt idx="17">
                  <c:v>50774.406560000003</c:v>
                </c:pt>
                <c:pt idx="19">
                  <c:v>8934.8277600000001</c:v>
                </c:pt>
                <c:pt idx="20">
                  <c:v>60223.533530000008</c:v>
                </c:pt>
                <c:pt idx="21">
                  <c:v>20974.101200000001</c:v>
                </c:pt>
                <c:pt idx="22">
                  <c:v>4071.8</c:v>
                </c:pt>
                <c:pt idx="23">
                  <c:v>80623.678139999989</c:v>
                </c:pt>
                <c:pt idx="24">
                  <c:v>52780.07</c:v>
                </c:pt>
                <c:pt idx="26">
                  <c:v>9378.6258099999995</c:v>
                </c:pt>
                <c:pt idx="28">
                  <c:v>9684.8756000000012</c:v>
                </c:pt>
                <c:pt idx="29">
                  <c:v>70923.210180000009</c:v>
                </c:pt>
                <c:pt idx="30">
                  <c:v>34592.243559999995</c:v>
                </c:pt>
                <c:pt idx="31">
                  <c:v>4420.5961799999995</c:v>
                </c:pt>
              </c:numCache>
            </c:numRef>
          </c:val>
          <c:smooth val="0"/>
          <c:extLst>
            <c:ext xmlns:c16="http://schemas.microsoft.com/office/drawing/2014/chart" uri="{C3380CC4-5D6E-409C-BE32-E72D297353CC}">
              <c16:uniqueId val="{00000041-D8EE-4AFA-AB2C-2AF617611ED0}"/>
            </c:ext>
          </c:extLst>
        </c:ser>
        <c:ser>
          <c:idx val="3"/>
          <c:order val="3"/>
          <c:tx>
            <c:strRef>
              <c:f>'MonthyRevenue by Country'!$E$3:$E$4</c:f>
              <c:strCache>
                <c:ptCount val="1"/>
                <c:pt idx="0">
                  <c:v>France</c:v>
                </c:pt>
              </c:strCache>
            </c:strRef>
          </c:tx>
          <c:spPr>
            <a:ln w="28575" cap="rnd">
              <a:solidFill>
                <a:schemeClr val="accent4"/>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Country'!$E$5:$E$38</c:f>
              <c:numCache>
                <c:formatCode>[$Ksh-441]#,##0.00</c:formatCode>
                <c:ptCount val="33"/>
                <c:pt idx="0">
                  <c:v>9847.2358600000007</c:v>
                </c:pt>
                <c:pt idx="1">
                  <c:v>39546.774539999999</c:v>
                </c:pt>
                <c:pt idx="2">
                  <c:v>9022.35</c:v>
                </c:pt>
                <c:pt idx="3">
                  <c:v>31788.701859999997</c:v>
                </c:pt>
                <c:pt idx="5">
                  <c:v>18211.877239999998</c:v>
                </c:pt>
                <c:pt idx="6">
                  <c:v>52945.155879999998</c:v>
                </c:pt>
                <c:pt idx="7">
                  <c:v>36549.429260000004</c:v>
                </c:pt>
                <c:pt idx="8">
                  <c:v>14877.464000000002</c:v>
                </c:pt>
                <c:pt idx="9">
                  <c:v>5159.7893599999998</c:v>
                </c:pt>
                <c:pt idx="10">
                  <c:v>22983.34563</c:v>
                </c:pt>
                <c:pt idx="11">
                  <c:v>28412.100360000004</c:v>
                </c:pt>
                <c:pt idx="12">
                  <c:v>36467.166100000002</c:v>
                </c:pt>
                <c:pt idx="13">
                  <c:v>13450.74</c:v>
                </c:pt>
                <c:pt idx="14">
                  <c:v>61324.275860000009</c:v>
                </c:pt>
                <c:pt idx="15">
                  <c:v>24321.57</c:v>
                </c:pt>
                <c:pt idx="16">
                  <c:v>19313.865040000001</c:v>
                </c:pt>
                <c:pt idx="17">
                  <c:v>7399.4832000000006</c:v>
                </c:pt>
                <c:pt idx="18">
                  <c:v>20507.94138</c:v>
                </c:pt>
                <c:pt idx="19">
                  <c:v>9189.1634999999987</c:v>
                </c:pt>
                <c:pt idx="21">
                  <c:v>66499.004939999984</c:v>
                </c:pt>
                <c:pt idx="22">
                  <c:v>48264.827620000004</c:v>
                </c:pt>
                <c:pt idx="23">
                  <c:v>25948.414799999995</c:v>
                </c:pt>
                <c:pt idx="24">
                  <c:v>20050.102040000002</c:v>
                </c:pt>
                <c:pt idx="25">
                  <c:v>12040.64352</c:v>
                </c:pt>
                <c:pt idx="26">
                  <c:v>21725.844440000001</c:v>
                </c:pt>
                <c:pt idx="27">
                  <c:v>11482.480960000001</c:v>
                </c:pt>
                <c:pt idx="28">
                  <c:v>14385.236500000003</c:v>
                </c:pt>
                <c:pt idx="29">
                  <c:v>8366.02</c:v>
                </c:pt>
                <c:pt idx="31">
                  <c:v>68199.913</c:v>
                </c:pt>
              </c:numCache>
            </c:numRef>
          </c:val>
          <c:smooth val="0"/>
          <c:extLst>
            <c:ext xmlns:c16="http://schemas.microsoft.com/office/drawing/2014/chart" uri="{C3380CC4-5D6E-409C-BE32-E72D297353CC}">
              <c16:uniqueId val="{00000042-D8EE-4AFA-AB2C-2AF617611ED0}"/>
            </c:ext>
          </c:extLst>
        </c:ser>
        <c:ser>
          <c:idx val="4"/>
          <c:order val="4"/>
          <c:tx>
            <c:strRef>
              <c:f>'MonthyRevenue by Country'!$F$3:$F$4</c:f>
              <c:strCache>
                <c:ptCount val="1"/>
                <c:pt idx="0">
                  <c:v>Germany</c:v>
                </c:pt>
              </c:strCache>
            </c:strRef>
          </c:tx>
          <c:spPr>
            <a:ln w="28575" cap="rnd">
              <a:solidFill>
                <a:schemeClr val="accent5"/>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Country'!$F$5:$F$38</c:f>
              <c:numCache>
                <c:formatCode>[$Ksh-441]#,##0.00</c:formatCode>
                <c:ptCount val="33"/>
                <c:pt idx="0">
                  <c:v>99559.246459999995</c:v>
                </c:pt>
                <c:pt idx="1">
                  <c:v>63596.314609999994</c:v>
                </c:pt>
                <c:pt idx="2">
                  <c:v>104633.05091000001</c:v>
                </c:pt>
                <c:pt idx="4">
                  <c:v>23154.287400000001</c:v>
                </c:pt>
                <c:pt idx="5">
                  <c:v>14114.068500000001</c:v>
                </c:pt>
                <c:pt idx="7">
                  <c:v>215.19839999999996</c:v>
                </c:pt>
                <c:pt idx="10">
                  <c:v>64606.506009999997</c:v>
                </c:pt>
                <c:pt idx="11">
                  <c:v>25014.766199999998</c:v>
                </c:pt>
                <c:pt idx="12">
                  <c:v>16328.076349999999</c:v>
                </c:pt>
                <c:pt idx="13">
                  <c:v>33660.62169</c:v>
                </c:pt>
                <c:pt idx="14">
                  <c:v>47953.246319999998</c:v>
                </c:pt>
                <c:pt idx="15">
                  <c:v>33968.989880000001</c:v>
                </c:pt>
                <c:pt idx="16">
                  <c:v>87491.590140000015</c:v>
                </c:pt>
                <c:pt idx="19">
                  <c:v>47066.843850000005</c:v>
                </c:pt>
                <c:pt idx="21">
                  <c:v>12955.824749999998</c:v>
                </c:pt>
                <c:pt idx="22">
                  <c:v>5538.3298400000003</c:v>
                </c:pt>
                <c:pt idx="23">
                  <c:v>73330.963799999998</c:v>
                </c:pt>
                <c:pt idx="24">
                  <c:v>30546.068040000002</c:v>
                </c:pt>
                <c:pt idx="25">
                  <c:v>618.19979999999987</c:v>
                </c:pt>
                <c:pt idx="26">
                  <c:v>16328.358699999999</c:v>
                </c:pt>
                <c:pt idx="27">
                  <c:v>5734.3457399999998</c:v>
                </c:pt>
                <c:pt idx="28">
                  <c:v>56391.304550000001</c:v>
                </c:pt>
                <c:pt idx="29">
                  <c:v>10441.90848</c:v>
                </c:pt>
                <c:pt idx="30">
                  <c:v>56176.777799999996</c:v>
                </c:pt>
              </c:numCache>
            </c:numRef>
          </c:val>
          <c:smooth val="0"/>
          <c:extLst>
            <c:ext xmlns:c16="http://schemas.microsoft.com/office/drawing/2014/chart" uri="{C3380CC4-5D6E-409C-BE32-E72D297353CC}">
              <c16:uniqueId val="{00000043-D8EE-4AFA-AB2C-2AF617611ED0}"/>
            </c:ext>
          </c:extLst>
        </c:ser>
        <c:ser>
          <c:idx val="5"/>
          <c:order val="5"/>
          <c:tx>
            <c:strRef>
              <c:f>'MonthyRevenue by Country'!$G$3:$G$4</c:f>
              <c:strCache>
                <c:ptCount val="1"/>
                <c:pt idx="0">
                  <c:v>India</c:v>
                </c:pt>
              </c:strCache>
            </c:strRef>
          </c:tx>
          <c:spPr>
            <a:ln w="28575" cap="rnd">
              <a:solidFill>
                <a:schemeClr val="accent6"/>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Country'!$G$5:$G$38</c:f>
              <c:numCache>
                <c:formatCode>[$Ksh-441]#,##0.00</c:formatCode>
                <c:ptCount val="33"/>
                <c:pt idx="0">
                  <c:v>48804.159249999997</c:v>
                </c:pt>
                <c:pt idx="1">
                  <c:v>6631.6443100000006</c:v>
                </c:pt>
                <c:pt idx="2">
                  <c:v>32506.559399999998</c:v>
                </c:pt>
                <c:pt idx="3">
                  <c:v>249678.13582</c:v>
                </c:pt>
                <c:pt idx="4">
                  <c:v>4577.1480000000001</c:v>
                </c:pt>
                <c:pt idx="5">
                  <c:v>12462.65055</c:v>
                </c:pt>
                <c:pt idx="7">
                  <c:v>49929.549789999997</c:v>
                </c:pt>
                <c:pt idx="8">
                  <c:v>25897.348050000001</c:v>
                </c:pt>
                <c:pt idx="9">
                  <c:v>48296.2664</c:v>
                </c:pt>
                <c:pt idx="10">
                  <c:v>35984.636809999996</c:v>
                </c:pt>
                <c:pt idx="11">
                  <c:v>33792.866320000001</c:v>
                </c:pt>
                <c:pt idx="12">
                  <c:v>24305.882859999998</c:v>
                </c:pt>
                <c:pt idx="13">
                  <c:v>12668.50728</c:v>
                </c:pt>
                <c:pt idx="15">
                  <c:v>35554.10024</c:v>
                </c:pt>
                <c:pt idx="16">
                  <c:v>31513.423040000001</c:v>
                </c:pt>
                <c:pt idx="17">
                  <c:v>30229.994880000002</c:v>
                </c:pt>
                <c:pt idx="18">
                  <c:v>44186.458500000001</c:v>
                </c:pt>
                <c:pt idx="19">
                  <c:v>20028.787380000002</c:v>
                </c:pt>
                <c:pt idx="20">
                  <c:v>599.53200000000004</c:v>
                </c:pt>
                <c:pt idx="21">
                  <c:v>80963.246050000002</c:v>
                </c:pt>
                <c:pt idx="22">
                  <c:v>51589.538240000002</c:v>
                </c:pt>
                <c:pt idx="23">
                  <c:v>33308.550000000003</c:v>
                </c:pt>
                <c:pt idx="24">
                  <c:v>7120.6486400000003</c:v>
                </c:pt>
                <c:pt idx="25">
                  <c:v>24075.089820000001</c:v>
                </c:pt>
                <c:pt idx="26">
                  <c:v>4856.35725</c:v>
                </c:pt>
                <c:pt idx="27">
                  <c:v>62421.224639999986</c:v>
                </c:pt>
                <c:pt idx="28">
                  <c:v>39717.144100000005</c:v>
                </c:pt>
                <c:pt idx="30">
                  <c:v>11006.647559999999</c:v>
                </c:pt>
                <c:pt idx="31">
                  <c:v>29627.320319999999</c:v>
                </c:pt>
              </c:numCache>
            </c:numRef>
          </c:val>
          <c:smooth val="0"/>
          <c:extLst>
            <c:ext xmlns:c16="http://schemas.microsoft.com/office/drawing/2014/chart" uri="{C3380CC4-5D6E-409C-BE32-E72D297353CC}">
              <c16:uniqueId val="{00000044-D8EE-4AFA-AB2C-2AF617611ED0}"/>
            </c:ext>
          </c:extLst>
        </c:ser>
        <c:ser>
          <c:idx val="6"/>
          <c:order val="6"/>
          <c:tx>
            <c:strRef>
              <c:f>'MonthyRevenue by Country'!$H$3:$H$4</c:f>
              <c:strCache>
                <c:ptCount val="1"/>
                <c:pt idx="0">
                  <c:v>Japan</c:v>
                </c:pt>
              </c:strCache>
            </c:strRef>
          </c:tx>
          <c:spPr>
            <a:ln w="28575" cap="rnd">
              <a:solidFill>
                <a:schemeClr val="accent1">
                  <a:lumMod val="60000"/>
                </a:schemeClr>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Country'!$H$5:$H$38</c:f>
              <c:numCache>
                <c:formatCode>[$Ksh-441]#,##0.00</c:formatCode>
                <c:ptCount val="33"/>
                <c:pt idx="0">
                  <c:v>31024.83872</c:v>
                </c:pt>
                <c:pt idx="1">
                  <c:v>21196.913249999998</c:v>
                </c:pt>
                <c:pt idx="2">
                  <c:v>9062.34692</c:v>
                </c:pt>
                <c:pt idx="3">
                  <c:v>4603.0824400000001</c:v>
                </c:pt>
                <c:pt idx="4">
                  <c:v>32142.113530000002</c:v>
                </c:pt>
                <c:pt idx="6">
                  <c:v>31130.741829999995</c:v>
                </c:pt>
                <c:pt idx="7">
                  <c:v>14527.748400000002</c:v>
                </c:pt>
                <c:pt idx="8">
                  <c:v>27905.895680000001</c:v>
                </c:pt>
                <c:pt idx="9">
                  <c:v>65358.033780000005</c:v>
                </c:pt>
                <c:pt idx="10">
                  <c:v>26621.873459999999</c:v>
                </c:pt>
                <c:pt idx="11">
                  <c:v>15253.069799999999</c:v>
                </c:pt>
                <c:pt idx="14">
                  <c:v>14287.896349999999</c:v>
                </c:pt>
                <c:pt idx="15">
                  <c:v>68665.574250000005</c:v>
                </c:pt>
                <c:pt idx="16">
                  <c:v>23449.833500000001</c:v>
                </c:pt>
                <c:pt idx="17">
                  <c:v>82602.550499999998</c:v>
                </c:pt>
                <c:pt idx="18">
                  <c:v>50582.705609999997</c:v>
                </c:pt>
                <c:pt idx="19">
                  <c:v>29808.424959999997</c:v>
                </c:pt>
                <c:pt idx="21">
                  <c:v>18641.222160000001</c:v>
                </c:pt>
                <c:pt idx="22">
                  <c:v>23394.9202</c:v>
                </c:pt>
                <c:pt idx="23">
                  <c:v>266.17821999999995</c:v>
                </c:pt>
                <c:pt idx="24">
                  <c:v>49818.786760000003</c:v>
                </c:pt>
                <c:pt idx="25">
                  <c:v>20606.46444</c:v>
                </c:pt>
                <c:pt idx="26">
                  <c:v>63856.506820000002</c:v>
                </c:pt>
                <c:pt idx="27">
                  <c:v>11984.891250000001</c:v>
                </c:pt>
                <c:pt idx="28">
                  <c:v>43398.362049999989</c:v>
                </c:pt>
                <c:pt idx="30">
                  <c:v>74882.385600000009</c:v>
                </c:pt>
              </c:numCache>
            </c:numRef>
          </c:val>
          <c:smooth val="0"/>
          <c:extLst>
            <c:ext xmlns:c16="http://schemas.microsoft.com/office/drawing/2014/chart" uri="{C3380CC4-5D6E-409C-BE32-E72D297353CC}">
              <c16:uniqueId val="{00000045-D8EE-4AFA-AB2C-2AF617611ED0}"/>
            </c:ext>
          </c:extLst>
        </c:ser>
        <c:ser>
          <c:idx val="7"/>
          <c:order val="7"/>
          <c:tx>
            <c:strRef>
              <c:f>'MonthyRevenue by Country'!$I$3:$I$4</c:f>
              <c:strCache>
                <c:ptCount val="1"/>
                <c:pt idx="0">
                  <c:v>Kenya</c:v>
                </c:pt>
              </c:strCache>
            </c:strRef>
          </c:tx>
          <c:spPr>
            <a:ln w="28575" cap="rnd">
              <a:solidFill>
                <a:schemeClr val="accent2">
                  <a:lumMod val="60000"/>
                </a:schemeClr>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Country'!$I$5:$I$38</c:f>
              <c:numCache>
                <c:formatCode>[$Ksh-441]#,##0.00</c:formatCode>
                <c:ptCount val="33"/>
                <c:pt idx="0">
                  <c:v>47962.717579999997</c:v>
                </c:pt>
                <c:pt idx="1">
                  <c:v>10561.881820000001</c:v>
                </c:pt>
                <c:pt idx="2">
                  <c:v>67069.606889999995</c:v>
                </c:pt>
                <c:pt idx="3">
                  <c:v>18037.27893</c:v>
                </c:pt>
                <c:pt idx="4">
                  <c:v>3799.8031499999997</c:v>
                </c:pt>
                <c:pt idx="5">
                  <c:v>19581.87</c:v>
                </c:pt>
                <c:pt idx="6">
                  <c:v>28133.387999999999</c:v>
                </c:pt>
                <c:pt idx="7">
                  <c:v>1030.7574</c:v>
                </c:pt>
                <c:pt idx="8">
                  <c:v>27249</c:v>
                </c:pt>
                <c:pt idx="9">
                  <c:v>11015.510400000003</c:v>
                </c:pt>
                <c:pt idx="11">
                  <c:v>16061.972879999999</c:v>
                </c:pt>
                <c:pt idx="12">
                  <c:v>66852.128960000002</c:v>
                </c:pt>
                <c:pt idx="13">
                  <c:v>4866.3287999999993</c:v>
                </c:pt>
                <c:pt idx="14">
                  <c:v>8326.6852500000005</c:v>
                </c:pt>
                <c:pt idx="15">
                  <c:v>29230.059240000002</c:v>
                </c:pt>
                <c:pt idx="16">
                  <c:v>84556.746840000007</c:v>
                </c:pt>
                <c:pt idx="17">
                  <c:v>101032.65689999999</c:v>
                </c:pt>
                <c:pt idx="18">
                  <c:v>27605.925880000003</c:v>
                </c:pt>
                <c:pt idx="19">
                  <c:v>52863.98113</c:v>
                </c:pt>
                <c:pt idx="21">
                  <c:v>55049.58</c:v>
                </c:pt>
                <c:pt idx="22">
                  <c:v>119943.70428000001</c:v>
                </c:pt>
                <c:pt idx="24">
                  <c:v>68469.84792</c:v>
                </c:pt>
                <c:pt idx="26">
                  <c:v>31401.432999999997</c:v>
                </c:pt>
                <c:pt idx="27">
                  <c:v>4569.8508000000002</c:v>
                </c:pt>
                <c:pt idx="29">
                  <c:v>17867.219160000001</c:v>
                </c:pt>
                <c:pt idx="30">
                  <c:v>1654.8966000000003</c:v>
                </c:pt>
                <c:pt idx="31">
                  <c:v>22570.034399999997</c:v>
                </c:pt>
              </c:numCache>
            </c:numRef>
          </c:val>
          <c:smooth val="0"/>
          <c:extLst>
            <c:ext xmlns:c16="http://schemas.microsoft.com/office/drawing/2014/chart" uri="{C3380CC4-5D6E-409C-BE32-E72D297353CC}">
              <c16:uniqueId val="{00000046-D8EE-4AFA-AB2C-2AF617611ED0}"/>
            </c:ext>
          </c:extLst>
        </c:ser>
        <c:ser>
          <c:idx val="8"/>
          <c:order val="8"/>
          <c:tx>
            <c:strRef>
              <c:f>'MonthyRevenue by Country'!$J$3:$J$4</c:f>
              <c:strCache>
                <c:ptCount val="1"/>
                <c:pt idx="0">
                  <c:v>Nigeria</c:v>
                </c:pt>
              </c:strCache>
            </c:strRef>
          </c:tx>
          <c:spPr>
            <a:ln w="28575" cap="rnd">
              <a:solidFill>
                <a:schemeClr val="accent3">
                  <a:lumMod val="60000"/>
                </a:schemeClr>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Country'!$J$5:$J$38</c:f>
              <c:numCache>
                <c:formatCode>[$Ksh-441]#,##0.00</c:formatCode>
                <c:ptCount val="33"/>
                <c:pt idx="0">
                  <c:v>5422.2875999999997</c:v>
                </c:pt>
                <c:pt idx="2">
                  <c:v>32280.32474</c:v>
                </c:pt>
                <c:pt idx="3">
                  <c:v>20656.557700000001</c:v>
                </c:pt>
                <c:pt idx="4">
                  <c:v>22882.675440000003</c:v>
                </c:pt>
                <c:pt idx="5">
                  <c:v>116202.88449999999</c:v>
                </c:pt>
                <c:pt idx="6">
                  <c:v>3021.5016000000001</c:v>
                </c:pt>
                <c:pt idx="7">
                  <c:v>24833.097520000003</c:v>
                </c:pt>
                <c:pt idx="8">
                  <c:v>10786.32144</c:v>
                </c:pt>
                <c:pt idx="11">
                  <c:v>27158.894079999998</c:v>
                </c:pt>
                <c:pt idx="13">
                  <c:v>28041.02492</c:v>
                </c:pt>
                <c:pt idx="14">
                  <c:v>32335.21802</c:v>
                </c:pt>
                <c:pt idx="15">
                  <c:v>51003.081039999997</c:v>
                </c:pt>
                <c:pt idx="16">
                  <c:v>46428.36</c:v>
                </c:pt>
                <c:pt idx="17">
                  <c:v>2719.8567000000003</c:v>
                </c:pt>
                <c:pt idx="19">
                  <c:v>2879.9836</c:v>
                </c:pt>
                <c:pt idx="20">
                  <c:v>55700.645940000002</c:v>
                </c:pt>
                <c:pt idx="21">
                  <c:v>44369.070899999999</c:v>
                </c:pt>
                <c:pt idx="22">
                  <c:v>12967.958640000001</c:v>
                </c:pt>
                <c:pt idx="24">
                  <c:v>2146.5580500000001</c:v>
                </c:pt>
                <c:pt idx="25">
                  <c:v>25958.851379999996</c:v>
                </c:pt>
                <c:pt idx="26">
                  <c:v>48310.143040000003</c:v>
                </c:pt>
                <c:pt idx="27">
                  <c:v>40139.874619999995</c:v>
                </c:pt>
                <c:pt idx="28">
                  <c:v>11947.367920000001</c:v>
                </c:pt>
                <c:pt idx="29">
                  <c:v>146296.57</c:v>
                </c:pt>
                <c:pt idx="30">
                  <c:v>17847.907199999998</c:v>
                </c:pt>
                <c:pt idx="31">
                  <c:v>49501.660319999995</c:v>
                </c:pt>
              </c:numCache>
            </c:numRef>
          </c:val>
          <c:smooth val="0"/>
          <c:extLst>
            <c:ext xmlns:c16="http://schemas.microsoft.com/office/drawing/2014/chart" uri="{C3380CC4-5D6E-409C-BE32-E72D297353CC}">
              <c16:uniqueId val="{00000047-D8EE-4AFA-AB2C-2AF617611ED0}"/>
            </c:ext>
          </c:extLst>
        </c:ser>
        <c:ser>
          <c:idx val="9"/>
          <c:order val="9"/>
          <c:tx>
            <c:strRef>
              <c:f>'MonthyRevenue by Country'!$K$3:$K$4</c:f>
              <c:strCache>
                <c:ptCount val="1"/>
                <c:pt idx="0">
                  <c:v>South Africa</c:v>
                </c:pt>
              </c:strCache>
            </c:strRef>
          </c:tx>
          <c:spPr>
            <a:ln w="28575" cap="rnd">
              <a:solidFill>
                <a:schemeClr val="accent4">
                  <a:lumMod val="60000"/>
                </a:schemeClr>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Country'!$K$5:$K$38</c:f>
              <c:numCache>
                <c:formatCode>[$Ksh-441]#,##0.00</c:formatCode>
                <c:ptCount val="33"/>
                <c:pt idx="0">
                  <c:v>3116.21</c:v>
                </c:pt>
                <c:pt idx="1">
                  <c:v>86597.081299999991</c:v>
                </c:pt>
                <c:pt idx="2">
                  <c:v>29618.551199999998</c:v>
                </c:pt>
                <c:pt idx="4">
                  <c:v>15476.94406</c:v>
                </c:pt>
                <c:pt idx="5">
                  <c:v>21572.590500000002</c:v>
                </c:pt>
                <c:pt idx="6">
                  <c:v>56993.802439999999</c:v>
                </c:pt>
                <c:pt idx="7">
                  <c:v>58520.36963999999</c:v>
                </c:pt>
                <c:pt idx="9">
                  <c:v>434.45248000000004</c:v>
                </c:pt>
                <c:pt idx="10">
                  <c:v>12954.358080000002</c:v>
                </c:pt>
                <c:pt idx="11">
                  <c:v>79406.784939999983</c:v>
                </c:pt>
                <c:pt idx="12">
                  <c:v>54214.972160000005</c:v>
                </c:pt>
                <c:pt idx="13">
                  <c:v>4826.5396199999996</c:v>
                </c:pt>
                <c:pt idx="15">
                  <c:v>20171.63305</c:v>
                </c:pt>
                <c:pt idx="16">
                  <c:v>14032.850879999998</c:v>
                </c:pt>
                <c:pt idx="17">
                  <c:v>39907.476419999999</c:v>
                </c:pt>
                <c:pt idx="19">
                  <c:v>40303.832219999997</c:v>
                </c:pt>
                <c:pt idx="20">
                  <c:v>18061.204320000004</c:v>
                </c:pt>
                <c:pt idx="24">
                  <c:v>6576.298960000001</c:v>
                </c:pt>
                <c:pt idx="26">
                  <c:v>5565.3272500000003</c:v>
                </c:pt>
                <c:pt idx="27">
                  <c:v>1886.9915999999998</c:v>
                </c:pt>
                <c:pt idx="28">
                  <c:v>31556.187599999997</c:v>
                </c:pt>
                <c:pt idx="29">
                  <c:v>88311.186579999994</c:v>
                </c:pt>
                <c:pt idx="30">
                  <c:v>76636.156479999991</c:v>
                </c:pt>
                <c:pt idx="32">
                  <c:v>13185.543</c:v>
                </c:pt>
              </c:numCache>
            </c:numRef>
          </c:val>
          <c:smooth val="0"/>
          <c:extLst>
            <c:ext xmlns:c16="http://schemas.microsoft.com/office/drawing/2014/chart" uri="{C3380CC4-5D6E-409C-BE32-E72D297353CC}">
              <c16:uniqueId val="{00000048-D8EE-4AFA-AB2C-2AF617611ED0}"/>
            </c:ext>
          </c:extLst>
        </c:ser>
        <c:ser>
          <c:idx val="10"/>
          <c:order val="10"/>
          <c:tx>
            <c:strRef>
              <c:f>'MonthyRevenue by Country'!$L$3:$L$4</c:f>
              <c:strCache>
                <c:ptCount val="1"/>
                <c:pt idx="0">
                  <c:v>United Kingdom</c:v>
                </c:pt>
              </c:strCache>
            </c:strRef>
          </c:tx>
          <c:spPr>
            <a:ln w="28575" cap="rnd">
              <a:solidFill>
                <a:schemeClr val="accent5">
                  <a:lumMod val="60000"/>
                </a:schemeClr>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Country'!$L$5:$L$38</c:f>
              <c:numCache>
                <c:formatCode>[$Ksh-441]#,##0.00</c:formatCode>
                <c:ptCount val="33"/>
                <c:pt idx="0">
                  <c:v>27965.366600000001</c:v>
                </c:pt>
                <c:pt idx="1">
                  <c:v>4132.0325200000007</c:v>
                </c:pt>
                <c:pt idx="2">
                  <c:v>64680.119419999988</c:v>
                </c:pt>
                <c:pt idx="3">
                  <c:v>17884.687559999998</c:v>
                </c:pt>
                <c:pt idx="4">
                  <c:v>49706.426600000006</c:v>
                </c:pt>
                <c:pt idx="5">
                  <c:v>48616.566040000005</c:v>
                </c:pt>
                <c:pt idx="6">
                  <c:v>8763.2849999999999</c:v>
                </c:pt>
                <c:pt idx="7">
                  <c:v>23038.615559999998</c:v>
                </c:pt>
                <c:pt idx="9">
                  <c:v>31613.310460000001</c:v>
                </c:pt>
                <c:pt idx="11">
                  <c:v>23195.01828</c:v>
                </c:pt>
                <c:pt idx="12">
                  <c:v>4229.4321199999995</c:v>
                </c:pt>
                <c:pt idx="13">
                  <c:v>33938.142760000002</c:v>
                </c:pt>
                <c:pt idx="14">
                  <c:v>13218.5</c:v>
                </c:pt>
                <c:pt idx="15">
                  <c:v>121707.26436</c:v>
                </c:pt>
                <c:pt idx="16">
                  <c:v>30151.675319999998</c:v>
                </c:pt>
                <c:pt idx="17">
                  <c:v>35167.7448</c:v>
                </c:pt>
                <c:pt idx="18">
                  <c:v>23687.524440000001</c:v>
                </c:pt>
                <c:pt idx="19">
                  <c:v>25249.613219999999</c:v>
                </c:pt>
                <c:pt idx="20">
                  <c:v>91431.437760000001</c:v>
                </c:pt>
                <c:pt idx="21">
                  <c:v>44605.988639999996</c:v>
                </c:pt>
                <c:pt idx="22">
                  <c:v>30519.801539999993</c:v>
                </c:pt>
                <c:pt idx="23">
                  <c:v>30799.273800000003</c:v>
                </c:pt>
                <c:pt idx="24">
                  <c:v>47052.4614</c:v>
                </c:pt>
                <c:pt idx="26">
                  <c:v>117895.35054</c:v>
                </c:pt>
                <c:pt idx="28">
                  <c:v>39263.702919999996</c:v>
                </c:pt>
                <c:pt idx="29">
                  <c:v>77588.779909999997</c:v>
                </c:pt>
                <c:pt idx="30">
                  <c:v>38415.602769999998</c:v>
                </c:pt>
                <c:pt idx="31">
                  <c:v>8764.4065599999994</c:v>
                </c:pt>
              </c:numCache>
            </c:numRef>
          </c:val>
          <c:smooth val="0"/>
          <c:extLst>
            <c:ext xmlns:c16="http://schemas.microsoft.com/office/drawing/2014/chart" uri="{C3380CC4-5D6E-409C-BE32-E72D297353CC}">
              <c16:uniqueId val="{00000049-D8EE-4AFA-AB2C-2AF617611ED0}"/>
            </c:ext>
          </c:extLst>
        </c:ser>
        <c:ser>
          <c:idx val="11"/>
          <c:order val="11"/>
          <c:tx>
            <c:strRef>
              <c:f>'MonthyRevenue by Country'!$M$3:$M$4</c:f>
              <c:strCache>
                <c:ptCount val="1"/>
                <c:pt idx="0">
                  <c:v>USA</c:v>
                </c:pt>
              </c:strCache>
            </c:strRef>
          </c:tx>
          <c:spPr>
            <a:ln w="28575" cap="rnd">
              <a:solidFill>
                <a:schemeClr val="accent6">
                  <a:lumMod val="60000"/>
                </a:schemeClr>
              </a:solidFill>
              <a:round/>
            </a:ln>
            <a:effectLst/>
          </c:spPr>
          <c:marker>
            <c:symbol val="none"/>
          </c:marker>
          <c:cat>
            <c:strRef>
              <c:f>'MonthyRevenue by Country'!$A$5:$A$38</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strCache>
            </c:strRef>
          </c:cat>
          <c:val>
            <c:numRef>
              <c:f>'MonthyRevenue by Country'!$M$5:$M$38</c:f>
              <c:numCache>
                <c:formatCode>[$Ksh-441]#,##0.00</c:formatCode>
                <c:ptCount val="33"/>
                <c:pt idx="0">
                  <c:v>47908.667860000001</c:v>
                </c:pt>
                <c:pt idx="1">
                  <c:v>51865.197319999999</c:v>
                </c:pt>
                <c:pt idx="3">
                  <c:v>15674.497519999999</c:v>
                </c:pt>
                <c:pt idx="4">
                  <c:v>23132.398349999996</c:v>
                </c:pt>
                <c:pt idx="5">
                  <c:v>71887.464219999994</c:v>
                </c:pt>
                <c:pt idx="6">
                  <c:v>32086.37586</c:v>
                </c:pt>
                <c:pt idx="7">
                  <c:v>25299.040000000001</c:v>
                </c:pt>
                <c:pt idx="8">
                  <c:v>20226.246000000003</c:v>
                </c:pt>
                <c:pt idx="11">
                  <c:v>12130.904400000001</c:v>
                </c:pt>
                <c:pt idx="12">
                  <c:v>24439.103279999999</c:v>
                </c:pt>
                <c:pt idx="13">
                  <c:v>59638.251029999999</c:v>
                </c:pt>
                <c:pt idx="14">
                  <c:v>83439.187559999991</c:v>
                </c:pt>
                <c:pt idx="16">
                  <c:v>53872.641179999999</c:v>
                </c:pt>
                <c:pt idx="18">
                  <c:v>71968.626539999997</c:v>
                </c:pt>
                <c:pt idx="19">
                  <c:v>63145.134920000004</c:v>
                </c:pt>
                <c:pt idx="21">
                  <c:v>16023.123</c:v>
                </c:pt>
                <c:pt idx="23">
                  <c:v>14568.782480000002</c:v>
                </c:pt>
                <c:pt idx="24">
                  <c:v>2117.4834999999998</c:v>
                </c:pt>
                <c:pt idx="25">
                  <c:v>9984.7160999999978</c:v>
                </c:pt>
                <c:pt idx="26">
                  <c:v>2915.4540999999999</c:v>
                </c:pt>
                <c:pt idx="27">
                  <c:v>35325.243150000002</c:v>
                </c:pt>
                <c:pt idx="28">
                  <c:v>3644.3212800000006</c:v>
                </c:pt>
                <c:pt idx="30">
                  <c:v>16609.090809999998</c:v>
                </c:pt>
                <c:pt idx="31">
                  <c:v>10792.637119999999</c:v>
                </c:pt>
              </c:numCache>
            </c:numRef>
          </c:val>
          <c:smooth val="0"/>
          <c:extLst>
            <c:ext xmlns:c16="http://schemas.microsoft.com/office/drawing/2014/chart" uri="{C3380CC4-5D6E-409C-BE32-E72D297353CC}">
              <c16:uniqueId val="{0000004A-D8EE-4AFA-AB2C-2AF617611ED0}"/>
            </c:ext>
          </c:extLst>
        </c:ser>
        <c:dLbls>
          <c:showLegendKey val="0"/>
          <c:showVal val="0"/>
          <c:showCatName val="0"/>
          <c:showSerName val="0"/>
          <c:showPercent val="0"/>
          <c:showBubbleSize val="0"/>
        </c:dLbls>
        <c:smooth val="0"/>
        <c:axId val="466821312"/>
        <c:axId val="466823712"/>
      </c:lineChart>
      <c:catAx>
        <c:axId val="46682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Month 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66823712"/>
        <c:crosses val="autoZero"/>
        <c:auto val="1"/>
        <c:lblAlgn val="ctr"/>
        <c:lblOffset val="100"/>
        <c:noMultiLvlLbl val="0"/>
      </c:catAx>
      <c:valAx>
        <c:axId val="466823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Ksh-441]#,##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668213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Brief(AutoRecovered).xlsx]Profit by channel and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Profitability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channel and Region'!$B$3</c:f>
              <c:strCache>
                <c:ptCount val="1"/>
                <c:pt idx="0">
                  <c:v>Total</c:v>
                </c:pt>
              </c:strCache>
            </c:strRef>
          </c:tx>
          <c:spPr>
            <a:solidFill>
              <a:schemeClr val="accent1"/>
            </a:solidFill>
            <a:ln>
              <a:noFill/>
            </a:ln>
            <a:effectLst/>
          </c:spPr>
          <c:invertIfNegative val="0"/>
          <c:cat>
            <c:multiLvlStrRef>
              <c:f>'Profit by channel and Region'!$A$4:$A$32</c:f>
              <c:multiLvlStrCache>
                <c:ptCount val="24"/>
                <c:lvl>
                  <c:pt idx="0">
                    <c:v>Unspecified</c:v>
                  </c:pt>
                  <c:pt idx="1">
                    <c:v>Marketplace</c:v>
                  </c:pt>
                  <c:pt idx="2">
                    <c:v>Online</c:v>
                  </c:pt>
                  <c:pt idx="3">
                    <c:v>Distributor</c:v>
                  </c:pt>
                  <c:pt idx="4">
                    <c:v>Retail</c:v>
                  </c:pt>
                  <c:pt idx="5">
                    <c:v>Direct</c:v>
                  </c:pt>
                  <c:pt idx="6">
                    <c:v>Unspecified</c:v>
                  </c:pt>
                  <c:pt idx="7">
                    <c:v>Retail</c:v>
                  </c:pt>
                  <c:pt idx="8">
                    <c:v>Online</c:v>
                  </c:pt>
                  <c:pt idx="9">
                    <c:v>Marketplace</c:v>
                  </c:pt>
                  <c:pt idx="10">
                    <c:v>Direct</c:v>
                  </c:pt>
                  <c:pt idx="11">
                    <c:v>Distributor</c:v>
                  </c:pt>
                  <c:pt idx="12">
                    <c:v>Unspecified</c:v>
                  </c:pt>
                  <c:pt idx="13">
                    <c:v>Retail</c:v>
                  </c:pt>
                  <c:pt idx="14">
                    <c:v>Marketplace</c:v>
                  </c:pt>
                  <c:pt idx="15">
                    <c:v>Distributor</c:v>
                  </c:pt>
                  <c:pt idx="16">
                    <c:v>Direct</c:v>
                  </c:pt>
                  <c:pt idx="17">
                    <c:v>Online</c:v>
                  </c:pt>
                  <c:pt idx="18">
                    <c:v>Unspecified</c:v>
                  </c:pt>
                  <c:pt idx="19">
                    <c:v>Distributor</c:v>
                  </c:pt>
                  <c:pt idx="20">
                    <c:v>Marketplace</c:v>
                  </c:pt>
                  <c:pt idx="21">
                    <c:v>Retail</c:v>
                  </c:pt>
                  <c:pt idx="22">
                    <c:v>Online</c:v>
                  </c:pt>
                  <c:pt idx="23">
                    <c:v>Direct</c:v>
                  </c:pt>
                </c:lvl>
                <c:lvl>
                  <c:pt idx="0">
                    <c:v>Asia</c:v>
                  </c:pt>
                  <c:pt idx="6">
                    <c:v>Africa</c:v>
                  </c:pt>
                  <c:pt idx="12">
                    <c:v>Americas</c:v>
                  </c:pt>
                  <c:pt idx="18">
                    <c:v>Europe</c:v>
                  </c:pt>
                </c:lvl>
              </c:multiLvlStrCache>
            </c:multiLvlStrRef>
          </c:cat>
          <c:val>
            <c:numRef>
              <c:f>'Profit by channel and Region'!$B$4:$B$32</c:f>
              <c:numCache>
                <c:formatCode>[$Ksh-441]#,##0.00</c:formatCode>
                <c:ptCount val="24"/>
                <c:pt idx="0">
                  <c:v>20547.545489999997</c:v>
                </c:pt>
                <c:pt idx="1">
                  <c:v>132709.51273000002</c:v>
                </c:pt>
                <c:pt idx="2">
                  <c:v>149042.38969000001</c:v>
                </c:pt>
                <c:pt idx="3">
                  <c:v>151146.74599000008</c:v>
                </c:pt>
                <c:pt idx="4">
                  <c:v>153258.55984000003</c:v>
                </c:pt>
                <c:pt idx="5">
                  <c:v>229541.94636</c:v>
                </c:pt>
                <c:pt idx="6">
                  <c:v>16237.344229999999</c:v>
                </c:pt>
                <c:pt idx="7">
                  <c:v>141171.08466999995</c:v>
                </c:pt>
                <c:pt idx="8">
                  <c:v>145453.94627000001</c:v>
                </c:pt>
                <c:pt idx="9">
                  <c:v>164839.30456000002</c:v>
                </c:pt>
                <c:pt idx="10">
                  <c:v>178727.35369999998</c:v>
                </c:pt>
                <c:pt idx="11">
                  <c:v>202729.86446999997</c:v>
                </c:pt>
                <c:pt idx="12">
                  <c:v>777.95999999999913</c:v>
                </c:pt>
                <c:pt idx="13">
                  <c:v>69035.709219999975</c:v>
                </c:pt>
                <c:pt idx="14">
                  <c:v>96609.647519999955</c:v>
                </c:pt>
                <c:pt idx="15">
                  <c:v>175736.86192</c:v>
                </c:pt>
                <c:pt idx="16">
                  <c:v>258674.92591000005</c:v>
                </c:pt>
                <c:pt idx="17">
                  <c:v>261943.84436999998</c:v>
                </c:pt>
                <c:pt idx="18">
                  <c:v>8028.7064599999994</c:v>
                </c:pt>
                <c:pt idx="19">
                  <c:v>105550.85219999996</c:v>
                </c:pt>
                <c:pt idx="20">
                  <c:v>111692.81025000002</c:v>
                </c:pt>
                <c:pt idx="21">
                  <c:v>151779.17228999996</c:v>
                </c:pt>
                <c:pt idx="22">
                  <c:v>200067.16277</c:v>
                </c:pt>
                <c:pt idx="23">
                  <c:v>292716.95203999995</c:v>
                </c:pt>
              </c:numCache>
            </c:numRef>
          </c:val>
          <c:extLst>
            <c:ext xmlns:c16="http://schemas.microsoft.com/office/drawing/2014/chart" uri="{C3380CC4-5D6E-409C-BE32-E72D297353CC}">
              <c16:uniqueId val="{00000000-1A20-473A-BE85-D8F3999E30F7}"/>
            </c:ext>
          </c:extLst>
        </c:ser>
        <c:dLbls>
          <c:showLegendKey val="0"/>
          <c:showVal val="0"/>
          <c:showCatName val="0"/>
          <c:showSerName val="0"/>
          <c:showPercent val="0"/>
          <c:showBubbleSize val="0"/>
        </c:dLbls>
        <c:gapWidth val="219"/>
        <c:overlap val="-27"/>
        <c:axId val="587183168"/>
        <c:axId val="587183648"/>
      </c:barChart>
      <c:catAx>
        <c:axId val="58718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7183648"/>
        <c:crosses val="autoZero"/>
        <c:auto val="1"/>
        <c:lblAlgn val="ctr"/>
        <c:lblOffset val="100"/>
        <c:noMultiLvlLbl val="0"/>
      </c:catAx>
      <c:valAx>
        <c:axId val="587183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Gross</a:t>
                </a:r>
                <a:r>
                  <a:rPr lang="sw-KE" baseline="0"/>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Ksh-441]#,##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718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Brief(AutoRecovered).xlsx]Top 10 SKUs!PivotTable4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SKUs'!$B$3</c:f>
              <c:strCache>
                <c:ptCount val="1"/>
                <c:pt idx="0">
                  <c:v>Total</c:v>
                </c:pt>
              </c:strCache>
            </c:strRef>
          </c:tx>
          <c:spPr>
            <a:solidFill>
              <a:schemeClr val="accent1"/>
            </a:solidFill>
            <a:ln>
              <a:noFill/>
            </a:ln>
            <a:effectLst/>
          </c:spPr>
          <c:invertIfNegative val="0"/>
          <c:cat>
            <c:strRef>
              <c:f>'Top 10 SKUs'!$A$4:$A$14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 SKUs'!$B$4:$B$14</c:f>
              <c:numCache>
                <c:formatCode>[$Ksh-441]#,##0.00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2896-4D75-8033-2CAA172263FC}"/>
            </c:ext>
          </c:extLst>
        </c:ser>
        <c:dLbls>
          <c:showLegendKey val="0"/>
          <c:showVal val="0"/>
          <c:showCatName val="0"/>
          <c:showSerName val="0"/>
          <c:showPercent val="0"/>
          <c:showBubbleSize val="0"/>
        </c:dLbls>
        <c:gapWidth val="219"/>
        <c:overlap val="-27"/>
        <c:axId val="1071451312"/>
        <c:axId val="1071447472"/>
      </c:barChart>
      <c:catAx>
        <c:axId val="107145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SKU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71447472"/>
        <c:crosses val="autoZero"/>
        <c:auto val="1"/>
        <c:lblAlgn val="ctr"/>
        <c:lblOffset val="100"/>
        <c:noMultiLvlLbl val="0"/>
      </c:catAx>
      <c:valAx>
        <c:axId val="1071447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Total</a:t>
                </a:r>
                <a:r>
                  <a:rPr lang="sw-KE" baseline="0"/>
                  <a:t> revenue</a:t>
                </a:r>
                <a:endParaRPr lang="sw-K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Ksh-441]#,##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7145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Brief(AutoRecovered).xlsx]Revenue by Month!PivotTable9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w-KE"/>
              <a:t>Monthly</a:t>
            </a:r>
            <a:r>
              <a:rPr lang="sw-KE" baseline="0"/>
              <a:t> Revenue</a:t>
            </a:r>
            <a:endParaRPr lang="sw-K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Month'!$B$3:$B$4</c:f>
              <c:strCache>
                <c:ptCount val="1"/>
                <c:pt idx="0">
                  <c:v>2023</c:v>
                </c:pt>
              </c:strCache>
            </c:strRef>
          </c:tx>
          <c:spPr>
            <a:ln w="28575" cap="rnd">
              <a:solidFill>
                <a:schemeClr val="accent1"/>
              </a:solidFill>
              <a:round/>
            </a:ln>
            <a:effectLst/>
          </c:spPr>
          <c:marker>
            <c:symbol val="none"/>
          </c:marker>
          <c:cat>
            <c:strRef>
              <c:f>'Revenue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Month'!$B$5:$B$16</c:f>
              <c:numCache>
                <c:formatCode>[$Ksh-441]#,##0.00</c:formatCode>
                <c:ptCount val="12"/>
                <c:pt idx="0">
                  <c:v>178642.73715</c:v>
                </c:pt>
                <c:pt idx="1">
                  <c:v>433788.64049000002</c:v>
                </c:pt>
                <c:pt idx="2">
                  <c:v>215576.67438000001</c:v>
                </c:pt>
                <c:pt idx="3">
                  <c:v>371604.58274000004</c:v>
                </c:pt>
                <c:pt idx="4">
                  <c:v>470192.17181999987</c:v>
                </c:pt>
                <c:pt idx="5">
                  <c:v>236474.06156999996</c:v>
                </c:pt>
                <c:pt idx="6">
                  <c:v>560860.55604000005</c:v>
                </c:pt>
                <c:pt idx="7">
                  <c:v>339044.67039000004</c:v>
                </c:pt>
                <c:pt idx="8">
                  <c:v>141266.51419000002</c:v>
                </c:pt>
                <c:pt idx="9">
                  <c:v>246114.84045000002</c:v>
                </c:pt>
                <c:pt idx="10">
                  <c:v>127009.50580000001</c:v>
                </c:pt>
                <c:pt idx="11">
                  <c:v>382101.3667999999</c:v>
                </c:pt>
              </c:numCache>
            </c:numRef>
          </c:val>
          <c:smooth val="0"/>
          <c:extLst>
            <c:ext xmlns:c16="http://schemas.microsoft.com/office/drawing/2014/chart" uri="{C3380CC4-5D6E-409C-BE32-E72D297353CC}">
              <c16:uniqueId val="{00000000-1ADC-4D8E-9481-ABD89D334F2D}"/>
            </c:ext>
          </c:extLst>
        </c:ser>
        <c:ser>
          <c:idx val="1"/>
          <c:order val="1"/>
          <c:tx>
            <c:strRef>
              <c:f>'Revenue by Month'!$C$3:$C$4</c:f>
              <c:strCache>
                <c:ptCount val="1"/>
                <c:pt idx="0">
                  <c:v>2024</c:v>
                </c:pt>
              </c:strCache>
            </c:strRef>
          </c:tx>
          <c:spPr>
            <a:ln w="28575" cap="rnd">
              <a:solidFill>
                <a:schemeClr val="accent2"/>
              </a:solidFill>
              <a:round/>
            </a:ln>
            <a:effectLst/>
          </c:spPr>
          <c:marker>
            <c:symbol val="none"/>
          </c:marker>
          <c:cat>
            <c:strRef>
              <c:f>'Revenue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Month'!$C$5:$C$16</c:f>
              <c:numCache>
                <c:formatCode>[$Ksh-441]#,##0.00</c:formatCode>
                <c:ptCount val="12"/>
                <c:pt idx="0">
                  <c:v>299100.37307999999</c:v>
                </c:pt>
                <c:pt idx="1">
                  <c:v>307793.71461999993</c:v>
                </c:pt>
                <c:pt idx="2">
                  <c:v>374300.10980999999</c:v>
                </c:pt>
                <c:pt idx="3">
                  <c:v>239506.82714000001</c:v>
                </c:pt>
                <c:pt idx="4">
                  <c:v>416985.76566999994</c:v>
                </c:pt>
                <c:pt idx="5">
                  <c:v>634490.72337999998</c:v>
                </c:pt>
                <c:pt idx="6">
                  <c:v>275628.61962999997</c:v>
                </c:pt>
                <c:pt idx="7">
                  <c:v>384156.19038000004</c:v>
                </c:pt>
                <c:pt idx="8">
                  <c:v>347613.18767000001</c:v>
                </c:pt>
                <c:pt idx="9">
                  <c:v>417732.48301000008</c:v>
                </c:pt>
                <c:pt idx="10">
                  <c:v>416944.18554999994</c:v>
                </c:pt>
                <c:pt idx="11">
                  <c:v>354378.93716000015</c:v>
                </c:pt>
              </c:numCache>
            </c:numRef>
          </c:val>
          <c:smooth val="0"/>
          <c:extLst>
            <c:ext xmlns:c16="http://schemas.microsoft.com/office/drawing/2014/chart" uri="{C3380CC4-5D6E-409C-BE32-E72D297353CC}">
              <c16:uniqueId val="{00000005-1ADC-4D8E-9481-ABD89D334F2D}"/>
            </c:ext>
          </c:extLst>
        </c:ser>
        <c:ser>
          <c:idx val="2"/>
          <c:order val="2"/>
          <c:tx>
            <c:strRef>
              <c:f>'Revenue by Month'!$D$3:$D$4</c:f>
              <c:strCache>
                <c:ptCount val="1"/>
                <c:pt idx="0">
                  <c:v>2025</c:v>
                </c:pt>
              </c:strCache>
            </c:strRef>
          </c:tx>
          <c:spPr>
            <a:ln w="28575" cap="rnd">
              <a:solidFill>
                <a:schemeClr val="accent3"/>
              </a:solidFill>
              <a:round/>
            </a:ln>
            <a:effectLst/>
          </c:spPr>
          <c:marker>
            <c:symbol val="none"/>
          </c:marker>
          <c:cat>
            <c:strRef>
              <c:f>'Revenue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Month'!$D$5:$D$16</c:f>
              <c:numCache>
                <c:formatCode>[$Ksh-441]#,##0.00</c:formatCode>
                <c:ptCount val="12"/>
                <c:pt idx="0">
                  <c:v>223498.20031999997</c:v>
                </c:pt>
                <c:pt idx="1">
                  <c:v>221608.49787000002</c:v>
                </c:pt>
                <c:pt idx="2">
                  <c:v>209425.98853999999</c:v>
                </c:pt>
                <c:pt idx="3">
                  <c:v>336135.16749999998</c:v>
                </c:pt>
                <c:pt idx="4">
                  <c:v>375723.96025999996</c:v>
                </c:pt>
                <c:pt idx="5">
                  <c:v>382009.37596000021</c:v>
                </c:pt>
                <c:pt idx="6">
                  <c:v>486970.83347999997</c:v>
                </c:pt>
                <c:pt idx="7">
                  <c:v>366808.72249999986</c:v>
                </c:pt>
                <c:pt idx="8">
                  <c:v>172279.72759999998</c:v>
                </c:pt>
              </c:numCache>
            </c:numRef>
          </c:val>
          <c:smooth val="0"/>
          <c:extLst>
            <c:ext xmlns:c16="http://schemas.microsoft.com/office/drawing/2014/chart" uri="{C3380CC4-5D6E-409C-BE32-E72D297353CC}">
              <c16:uniqueId val="{00000006-1ADC-4D8E-9481-ABD89D334F2D}"/>
            </c:ext>
          </c:extLst>
        </c:ser>
        <c:dLbls>
          <c:showLegendKey val="0"/>
          <c:showVal val="0"/>
          <c:showCatName val="0"/>
          <c:showSerName val="0"/>
          <c:showPercent val="0"/>
          <c:showBubbleSize val="0"/>
        </c:dLbls>
        <c:smooth val="0"/>
        <c:axId val="824876032"/>
        <c:axId val="824876512"/>
      </c:lineChart>
      <c:catAx>
        <c:axId val="82487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Month</a:t>
                </a:r>
              </a:p>
              <a:p>
                <a:pPr>
                  <a:defRPr/>
                </a:pPr>
                <a:endParaRPr lang="sw-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876512"/>
        <c:crosses val="autoZero"/>
        <c:auto val="1"/>
        <c:lblAlgn val="ctr"/>
        <c:lblOffset val="100"/>
        <c:noMultiLvlLbl val="0"/>
      </c:catAx>
      <c:valAx>
        <c:axId val="824876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Gross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Ksh-441]#,##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87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Brief(AutoRecovered).xlsx]ServiceLevelProxy!PivotTable19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ServiceLevelProxy!$B$3</c:f>
              <c:strCache>
                <c:ptCount val="1"/>
                <c:pt idx="0">
                  <c:v>Total</c:v>
                </c:pt>
              </c:strCache>
            </c:strRef>
          </c:tx>
          <c:spPr>
            <a:solidFill>
              <a:schemeClr val="accent1"/>
            </a:solidFill>
            <a:ln>
              <a:noFill/>
            </a:ln>
            <a:effectLst/>
          </c:spPr>
          <c:invertIfNegative val="0"/>
          <c:cat>
            <c:multiLvlStrRef>
              <c:f>ServiceLevelProxy!$A$4:$A$93</c:f>
              <c:multiLvlStrCache>
                <c:ptCount val="77"/>
                <c:lvl>
                  <c:pt idx="0">
                    <c:v>Accessories</c:v>
                  </c:pt>
                  <c:pt idx="1">
                    <c:v>Components</c:v>
                  </c:pt>
                  <c:pt idx="2">
                    <c:v>Laptops</c:v>
                  </c:pt>
                  <c:pt idx="3">
                    <c:v>Monitors</c:v>
                  </c:pt>
                  <c:pt idx="4">
                    <c:v>Networking</c:v>
                  </c:pt>
                  <c:pt idx="5">
                    <c:v>Phones</c:v>
                  </c:pt>
                  <c:pt idx="6">
                    <c:v>Printers</c:v>
                  </c:pt>
                  <c:pt idx="7">
                    <c:v>Accessories</c:v>
                  </c:pt>
                  <c:pt idx="8">
                    <c:v>Components</c:v>
                  </c:pt>
                  <c:pt idx="9">
                    <c:v>Laptops</c:v>
                  </c:pt>
                  <c:pt idx="10">
                    <c:v>Printers</c:v>
                  </c:pt>
                  <c:pt idx="11">
                    <c:v>Accessories</c:v>
                  </c:pt>
                  <c:pt idx="12">
                    <c:v>Laptops</c:v>
                  </c:pt>
                  <c:pt idx="13">
                    <c:v>Monitors</c:v>
                  </c:pt>
                  <c:pt idx="14">
                    <c:v>Networking</c:v>
                  </c:pt>
                  <c:pt idx="15">
                    <c:v>Phones</c:v>
                  </c:pt>
                  <c:pt idx="16">
                    <c:v>Accessories</c:v>
                  </c:pt>
                  <c:pt idx="17">
                    <c:v>Components</c:v>
                  </c:pt>
                  <c:pt idx="18">
                    <c:v>Laptops</c:v>
                  </c:pt>
                  <c:pt idx="19">
                    <c:v>Monitors</c:v>
                  </c:pt>
                  <c:pt idx="20">
                    <c:v>Networking</c:v>
                  </c:pt>
                  <c:pt idx="21">
                    <c:v>Printers</c:v>
                  </c:pt>
                  <c:pt idx="22">
                    <c:v>Accessories</c:v>
                  </c:pt>
                  <c:pt idx="23">
                    <c:v>Components</c:v>
                  </c:pt>
                  <c:pt idx="24">
                    <c:v>Laptops</c:v>
                  </c:pt>
                  <c:pt idx="25">
                    <c:v>Monitors</c:v>
                  </c:pt>
                  <c:pt idx="26">
                    <c:v>Networking</c:v>
                  </c:pt>
                  <c:pt idx="27">
                    <c:v>Phones</c:v>
                  </c:pt>
                  <c:pt idx="28">
                    <c:v>Printers</c:v>
                  </c:pt>
                  <c:pt idx="29">
                    <c:v>Accessories</c:v>
                  </c:pt>
                  <c:pt idx="30">
                    <c:v>Components</c:v>
                  </c:pt>
                  <c:pt idx="31">
                    <c:v>Laptops</c:v>
                  </c:pt>
                  <c:pt idx="32">
                    <c:v>Monitors</c:v>
                  </c:pt>
                  <c:pt idx="33">
                    <c:v>Networking</c:v>
                  </c:pt>
                  <c:pt idx="34">
                    <c:v>Phones</c:v>
                  </c:pt>
                  <c:pt idx="35">
                    <c:v>Printers</c:v>
                  </c:pt>
                  <c:pt idx="36">
                    <c:v>Accessories</c:v>
                  </c:pt>
                  <c:pt idx="37">
                    <c:v>Components</c:v>
                  </c:pt>
                  <c:pt idx="38">
                    <c:v>Laptops</c:v>
                  </c:pt>
                  <c:pt idx="39">
                    <c:v>Monitors</c:v>
                  </c:pt>
                  <c:pt idx="40">
                    <c:v>Networking</c:v>
                  </c:pt>
                  <c:pt idx="41">
                    <c:v>Phones</c:v>
                  </c:pt>
                  <c:pt idx="42">
                    <c:v>Printers</c:v>
                  </c:pt>
                  <c:pt idx="43">
                    <c:v>Accessories</c:v>
                  </c:pt>
                  <c:pt idx="44">
                    <c:v>Components</c:v>
                  </c:pt>
                  <c:pt idx="45">
                    <c:v>Laptops</c:v>
                  </c:pt>
                  <c:pt idx="46">
                    <c:v>Networking</c:v>
                  </c:pt>
                  <c:pt idx="47">
                    <c:v>Phones</c:v>
                  </c:pt>
                  <c:pt idx="48">
                    <c:v>Printers</c:v>
                  </c:pt>
                  <c:pt idx="49">
                    <c:v>Accessories</c:v>
                  </c:pt>
                  <c:pt idx="50">
                    <c:v>Components</c:v>
                  </c:pt>
                  <c:pt idx="51">
                    <c:v>Laptops</c:v>
                  </c:pt>
                  <c:pt idx="52">
                    <c:v>Monitors</c:v>
                  </c:pt>
                  <c:pt idx="53">
                    <c:v>Networking</c:v>
                  </c:pt>
                  <c:pt idx="54">
                    <c:v>Phones</c:v>
                  </c:pt>
                  <c:pt idx="55">
                    <c:v>Printers</c:v>
                  </c:pt>
                  <c:pt idx="56">
                    <c:v>Accessories</c:v>
                  </c:pt>
                  <c:pt idx="57">
                    <c:v>Components</c:v>
                  </c:pt>
                  <c:pt idx="58">
                    <c:v>Laptops</c:v>
                  </c:pt>
                  <c:pt idx="59">
                    <c:v>Monitors</c:v>
                  </c:pt>
                  <c:pt idx="60">
                    <c:v>Networking</c:v>
                  </c:pt>
                  <c:pt idx="61">
                    <c:v>Phones</c:v>
                  </c:pt>
                  <c:pt idx="62">
                    <c:v>Printers</c:v>
                  </c:pt>
                  <c:pt idx="63">
                    <c:v>Accessories</c:v>
                  </c:pt>
                  <c:pt idx="64">
                    <c:v>Components</c:v>
                  </c:pt>
                  <c:pt idx="65">
                    <c:v>Laptops</c:v>
                  </c:pt>
                  <c:pt idx="66">
                    <c:v>Monitors</c:v>
                  </c:pt>
                  <c:pt idx="67">
                    <c:v>Networking</c:v>
                  </c:pt>
                  <c:pt idx="68">
                    <c:v>Phones</c:v>
                  </c:pt>
                  <c:pt idx="69">
                    <c:v>Printers</c:v>
                  </c:pt>
                  <c:pt idx="70">
                    <c:v>Accessories</c:v>
                  </c:pt>
                  <c:pt idx="71">
                    <c:v>Components</c:v>
                  </c:pt>
                  <c:pt idx="72">
                    <c:v>Laptops</c:v>
                  </c:pt>
                  <c:pt idx="73">
                    <c:v>Monitors</c:v>
                  </c:pt>
                  <c:pt idx="74">
                    <c:v>Networking</c:v>
                  </c:pt>
                  <c:pt idx="75">
                    <c:v>Phones</c:v>
                  </c:pt>
                  <c:pt idx="76">
                    <c:v>Printers</c:v>
                  </c:pt>
                </c:lvl>
                <c:lvl>
                  <c:pt idx="0">
                    <c:v>Brazil</c:v>
                  </c:pt>
                  <c:pt idx="7">
                    <c:v>Canada</c:v>
                  </c:pt>
                  <c:pt idx="11">
                    <c:v>China</c:v>
                  </c:pt>
                  <c:pt idx="16">
                    <c:v>France</c:v>
                  </c:pt>
                  <c:pt idx="22">
                    <c:v>Germany</c:v>
                  </c:pt>
                  <c:pt idx="29">
                    <c:v>India</c:v>
                  </c:pt>
                  <c:pt idx="36">
                    <c:v>Japan</c:v>
                  </c:pt>
                  <c:pt idx="43">
                    <c:v>Kenya</c:v>
                  </c:pt>
                  <c:pt idx="49">
                    <c:v>Nigeria</c:v>
                  </c:pt>
                  <c:pt idx="56">
                    <c:v>South Africa</c:v>
                  </c:pt>
                  <c:pt idx="63">
                    <c:v>United Kingdom</c:v>
                  </c:pt>
                  <c:pt idx="70">
                    <c:v>USA</c:v>
                  </c:pt>
                </c:lvl>
              </c:multiLvlStrCache>
            </c:multiLvlStrRef>
          </c:cat>
          <c:val>
            <c:numRef>
              <c:f>ServiceLevelProxy!$B$4:$B$93</c:f>
              <c:numCache>
                <c:formatCode>0.00%</c:formatCode>
                <c:ptCount val="77"/>
                <c:pt idx="0">
                  <c:v>2.3255813953488372E-2</c:v>
                </c:pt>
                <c:pt idx="1">
                  <c:v>5.8139534883720929E-3</c:v>
                </c:pt>
                <c:pt idx="2">
                  <c:v>5.8139534883720929E-3</c:v>
                </c:pt>
                <c:pt idx="3">
                  <c:v>1.7441860465116279E-2</c:v>
                </c:pt>
                <c:pt idx="4">
                  <c:v>1.1627906976744186E-2</c:v>
                </c:pt>
                <c:pt idx="5">
                  <c:v>2.9069767441860465E-2</c:v>
                </c:pt>
                <c:pt idx="6">
                  <c:v>1.1627906976744186E-2</c:v>
                </c:pt>
                <c:pt idx="7">
                  <c:v>1.1627906976744186E-2</c:v>
                </c:pt>
                <c:pt idx="8">
                  <c:v>1.7441860465116279E-2</c:v>
                </c:pt>
                <c:pt idx="9">
                  <c:v>1.1627906976744186E-2</c:v>
                </c:pt>
                <c:pt idx="10">
                  <c:v>1.1627906976744186E-2</c:v>
                </c:pt>
                <c:pt idx="11">
                  <c:v>1.7441860465116279E-2</c:v>
                </c:pt>
                <c:pt idx="12">
                  <c:v>5.8139534883720929E-3</c:v>
                </c:pt>
                <c:pt idx="13">
                  <c:v>5.8139534883720929E-3</c:v>
                </c:pt>
                <c:pt idx="14">
                  <c:v>2.3255813953488372E-2</c:v>
                </c:pt>
                <c:pt idx="15">
                  <c:v>5.8139534883720929E-3</c:v>
                </c:pt>
                <c:pt idx="16">
                  <c:v>5.8139534883720929E-3</c:v>
                </c:pt>
                <c:pt idx="17">
                  <c:v>1.7441860465116279E-2</c:v>
                </c:pt>
                <c:pt idx="18">
                  <c:v>1.1627906976744186E-2</c:v>
                </c:pt>
                <c:pt idx="19">
                  <c:v>1.7441860465116279E-2</c:v>
                </c:pt>
                <c:pt idx="20">
                  <c:v>1.1627906976744186E-2</c:v>
                </c:pt>
                <c:pt idx="21">
                  <c:v>1.1627906976744186E-2</c:v>
                </c:pt>
                <c:pt idx="22">
                  <c:v>2.3255813953488372E-2</c:v>
                </c:pt>
                <c:pt idx="23">
                  <c:v>1.1627906976744186E-2</c:v>
                </c:pt>
                <c:pt idx="24">
                  <c:v>1.1627906976744186E-2</c:v>
                </c:pt>
                <c:pt idx="25">
                  <c:v>5.8139534883720929E-3</c:v>
                </c:pt>
                <c:pt idx="26">
                  <c:v>5.8139534883720929E-3</c:v>
                </c:pt>
                <c:pt idx="27">
                  <c:v>5.8139534883720929E-3</c:v>
                </c:pt>
                <c:pt idx="28">
                  <c:v>5.8139534883720929E-3</c:v>
                </c:pt>
                <c:pt idx="29">
                  <c:v>1.1627906976744186E-2</c:v>
                </c:pt>
                <c:pt idx="30">
                  <c:v>1.1627906976744186E-2</c:v>
                </c:pt>
                <c:pt idx="31">
                  <c:v>5.8139534883720929E-3</c:v>
                </c:pt>
                <c:pt idx="32">
                  <c:v>1.1627906976744186E-2</c:v>
                </c:pt>
                <c:pt idx="33">
                  <c:v>5.8139534883720929E-3</c:v>
                </c:pt>
                <c:pt idx="34">
                  <c:v>1.1627906976744186E-2</c:v>
                </c:pt>
                <c:pt idx="35">
                  <c:v>1.1627906976744186E-2</c:v>
                </c:pt>
                <c:pt idx="36">
                  <c:v>5.8139534883720929E-3</c:v>
                </c:pt>
                <c:pt idx="37">
                  <c:v>1.7441860465116279E-2</c:v>
                </c:pt>
                <c:pt idx="38">
                  <c:v>1.7441860465116279E-2</c:v>
                </c:pt>
                <c:pt idx="39">
                  <c:v>1.1627906976744186E-2</c:v>
                </c:pt>
                <c:pt idx="40">
                  <c:v>5.8139534883720929E-3</c:v>
                </c:pt>
                <c:pt idx="41">
                  <c:v>5.8139534883720929E-3</c:v>
                </c:pt>
                <c:pt idx="42">
                  <c:v>1.7441860465116279E-2</c:v>
                </c:pt>
                <c:pt idx="43">
                  <c:v>2.3255813953488372E-2</c:v>
                </c:pt>
                <c:pt idx="44">
                  <c:v>5.8139534883720929E-3</c:v>
                </c:pt>
                <c:pt idx="45">
                  <c:v>4.0697674418604654E-2</c:v>
                </c:pt>
                <c:pt idx="46">
                  <c:v>1.1627906976744186E-2</c:v>
                </c:pt>
                <c:pt idx="47">
                  <c:v>1.1627906976744186E-2</c:v>
                </c:pt>
                <c:pt idx="48">
                  <c:v>5.8139534883720929E-3</c:v>
                </c:pt>
                <c:pt idx="49">
                  <c:v>3.4883720930232558E-2</c:v>
                </c:pt>
                <c:pt idx="50">
                  <c:v>1.1627906976744186E-2</c:v>
                </c:pt>
                <c:pt idx="51">
                  <c:v>1.7441860465116279E-2</c:v>
                </c:pt>
                <c:pt idx="52">
                  <c:v>1.7441860465116279E-2</c:v>
                </c:pt>
                <c:pt idx="53">
                  <c:v>5.8139534883720929E-3</c:v>
                </c:pt>
                <c:pt idx="54">
                  <c:v>5.8139534883720929E-3</c:v>
                </c:pt>
                <c:pt idx="55">
                  <c:v>1.7441860465116279E-2</c:v>
                </c:pt>
                <c:pt idx="56">
                  <c:v>1.1627906976744186E-2</c:v>
                </c:pt>
                <c:pt idx="57">
                  <c:v>2.9069767441860465E-2</c:v>
                </c:pt>
                <c:pt idx="58">
                  <c:v>1.1627906976744186E-2</c:v>
                </c:pt>
                <c:pt idx="59">
                  <c:v>5.8139534883720929E-3</c:v>
                </c:pt>
                <c:pt idx="60">
                  <c:v>1.1627906976744186E-2</c:v>
                </c:pt>
                <c:pt idx="61">
                  <c:v>1.1627906976744186E-2</c:v>
                </c:pt>
                <c:pt idx="62">
                  <c:v>5.8139534883720929E-3</c:v>
                </c:pt>
                <c:pt idx="63">
                  <c:v>5.8139534883720929E-3</c:v>
                </c:pt>
                <c:pt idx="64">
                  <c:v>1.1627906976744186E-2</c:v>
                </c:pt>
                <c:pt idx="65">
                  <c:v>2.3255813953488372E-2</c:v>
                </c:pt>
                <c:pt idx="66">
                  <c:v>1.1627906976744186E-2</c:v>
                </c:pt>
                <c:pt idx="67">
                  <c:v>1.1627906976744186E-2</c:v>
                </c:pt>
                <c:pt idx="68">
                  <c:v>5.8139534883720929E-3</c:v>
                </c:pt>
                <c:pt idx="69">
                  <c:v>1.7441860465116279E-2</c:v>
                </c:pt>
                <c:pt idx="70">
                  <c:v>1.1627906976744186E-2</c:v>
                </c:pt>
                <c:pt idx="71">
                  <c:v>1.1627906976744186E-2</c:v>
                </c:pt>
                <c:pt idx="72">
                  <c:v>5.8139534883720929E-3</c:v>
                </c:pt>
                <c:pt idx="73">
                  <c:v>5.8139534883720929E-3</c:v>
                </c:pt>
                <c:pt idx="74">
                  <c:v>2.9069767441860465E-2</c:v>
                </c:pt>
                <c:pt idx="75">
                  <c:v>5.8139534883720929E-3</c:v>
                </c:pt>
                <c:pt idx="76">
                  <c:v>3.4883720930232558E-2</c:v>
                </c:pt>
              </c:numCache>
            </c:numRef>
          </c:val>
          <c:extLst>
            <c:ext xmlns:c16="http://schemas.microsoft.com/office/drawing/2014/chart" uri="{C3380CC4-5D6E-409C-BE32-E72D297353CC}">
              <c16:uniqueId val="{00000000-A2F9-4FC6-B67F-5FCDBD9944F8}"/>
            </c:ext>
          </c:extLst>
        </c:ser>
        <c:dLbls>
          <c:showLegendKey val="0"/>
          <c:showVal val="0"/>
          <c:showCatName val="0"/>
          <c:showSerName val="0"/>
          <c:showPercent val="0"/>
          <c:showBubbleSize val="0"/>
        </c:dLbls>
        <c:gapWidth val="219"/>
        <c:overlap val="-27"/>
        <c:axId val="836812320"/>
        <c:axId val="836809920"/>
      </c:barChart>
      <c:catAx>
        <c:axId val="83681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6809920"/>
        <c:crosses val="autoZero"/>
        <c:auto val="1"/>
        <c:lblAlgn val="ctr"/>
        <c:lblOffset val="100"/>
        <c:noMultiLvlLbl val="0"/>
      </c:catAx>
      <c:valAx>
        <c:axId val="836809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681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Brief(AutoRecovered).xlsx]Profit by channel and Region!PivotTable3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Profitability by channel</a:t>
            </a:r>
            <a:endParaRPr lang="en-US"/>
          </a:p>
        </c:rich>
      </c:tx>
      <c:layout>
        <c:manualLayout>
          <c:xMode val="edge"/>
          <c:yMode val="edge"/>
          <c:x val="0.33462317210348713"/>
          <c:y val="8.19964349376114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3860743135262"/>
          <c:y val="0.12729299009340184"/>
          <c:w val="0.81326999173646985"/>
          <c:h val="0.54242239417067539"/>
        </c:manualLayout>
      </c:layout>
      <c:barChart>
        <c:barDir val="col"/>
        <c:grouping val="clustered"/>
        <c:varyColors val="0"/>
        <c:ser>
          <c:idx val="0"/>
          <c:order val="0"/>
          <c:tx>
            <c:strRef>
              <c:f>'Profit by channel and Region'!$B$3</c:f>
              <c:strCache>
                <c:ptCount val="1"/>
                <c:pt idx="0">
                  <c:v>Total</c:v>
                </c:pt>
              </c:strCache>
            </c:strRef>
          </c:tx>
          <c:spPr>
            <a:solidFill>
              <a:schemeClr val="accent1"/>
            </a:solidFill>
            <a:ln>
              <a:noFill/>
            </a:ln>
            <a:effectLst/>
          </c:spPr>
          <c:invertIfNegative val="0"/>
          <c:cat>
            <c:multiLvlStrRef>
              <c:f>'Profit by channel and Region'!$A$4:$A$32</c:f>
              <c:multiLvlStrCache>
                <c:ptCount val="24"/>
                <c:lvl>
                  <c:pt idx="0">
                    <c:v>Unspecified</c:v>
                  </c:pt>
                  <c:pt idx="1">
                    <c:v>Marketplace</c:v>
                  </c:pt>
                  <c:pt idx="2">
                    <c:v>Online</c:v>
                  </c:pt>
                  <c:pt idx="3">
                    <c:v>Distributor</c:v>
                  </c:pt>
                  <c:pt idx="4">
                    <c:v>Retail</c:v>
                  </c:pt>
                  <c:pt idx="5">
                    <c:v>Direct</c:v>
                  </c:pt>
                  <c:pt idx="6">
                    <c:v>Unspecified</c:v>
                  </c:pt>
                  <c:pt idx="7">
                    <c:v>Retail</c:v>
                  </c:pt>
                  <c:pt idx="8">
                    <c:v>Online</c:v>
                  </c:pt>
                  <c:pt idx="9">
                    <c:v>Marketplace</c:v>
                  </c:pt>
                  <c:pt idx="10">
                    <c:v>Direct</c:v>
                  </c:pt>
                  <c:pt idx="11">
                    <c:v>Distributor</c:v>
                  </c:pt>
                  <c:pt idx="12">
                    <c:v>Unspecified</c:v>
                  </c:pt>
                  <c:pt idx="13">
                    <c:v>Retail</c:v>
                  </c:pt>
                  <c:pt idx="14">
                    <c:v>Marketplace</c:v>
                  </c:pt>
                  <c:pt idx="15">
                    <c:v>Distributor</c:v>
                  </c:pt>
                  <c:pt idx="16">
                    <c:v>Direct</c:v>
                  </c:pt>
                  <c:pt idx="17">
                    <c:v>Online</c:v>
                  </c:pt>
                  <c:pt idx="18">
                    <c:v>Unspecified</c:v>
                  </c:pt>
                  <c:pt idx="19">
                    <c:v>Distributor</c:v>
                  </c:pt>
                  <c:pt idx="20">
                    <c:v>Marketplace</c:v>
                  </c:pt>
                  <c:pt idx="21">
                    <c:v>Retail</c:v>
                  </c:pt>
                  <c:pt idx="22">
                    <c:v>Online</c:v>
                  </c:pt>
                  <c:pt idx="23">
                    <c:v>Direct</c:v>
                  </c:pt>
                </c:lvl>
                <c:lvl>
                  <c:pt idx="0">
                    <c:v>Asia</c:v>
                  </c:pt>
                  <c:pt idx="6">
                    <c:v>Africa</c:v>
                  </c:pt>
                  <c:pt idx="12">
                    <c:v>Americas</c:v>
                  </c:pt>
                  <c:pt idx="18">
                    <c:v>Europe</c:v>
                  </c:pt>
                </c:lvl>
              </c:multiLvlStrCache>
            </c:multiLvlStrRef>
          </c:cat>
          <c:val>
            <c:numRef>
              <c:f>'Profit by channel and Region'!$B$4:$B$32</c:f>
              <c:numCache>
                <c:formatCode>[$Ksh-441]#,##0.00</c:formatCode>
                <c:ptCount val="24"/>
                <c:pt idx="0">
                  <c:v>20547.545489999997</c:v>
                </c:pt>
                <c:pt idx="1">
                  <c:v>132709.51273000002</c:v>
                </c:pt>
                <c:pt idx="2">
                  <c:v>149042.38969000001</c:v>
                </c:pt>
                <c:pt idx="3">
                  <c:v>151146.74599000008</c:v>
                </c:pt>
                <c:pt idx="4">
                  <c:v>153258.55984000003</c:v>
                </c:pt>
                <c:pt idx="5">
                  <c:v>229541.94636</c:v>
                </c:pt>
                <c:pt idx="6">
                  <c:v>16237.344229999999</c:v>
                </c:pt>
                <c:pt idx="7">
                  <c:v>141171.08466999995</c:v>
                </c:pt>
                <c:pt idx="8">
                  <c:v>145453.94627000001</c:v>
                </c:pt>
                <c:pt idx="9">
                  <c:v>164839.30456000002</c:v>
                </c:pt>
                <c:pt idx="10">
                  <c:v>178727.35369999998</c:v>
                </c:pt>
                <c:pt idx="11">
                  <c:v>202729.86446999997</c:v>
                </c:pt>
                <c:pt idx="12">
                  <c:v>777.95999999999913</c:v>
                </c:pt>
                <c:pt idx="13">
                  <c:v>69035.709219999975</c:v>
                </c:pt>
                <c:pt idx="14">
                  <c:v>96609.647519999955</c:v>
                </c:pt>
                <c:pt idx="15">
                  <c:v>175736.86192</c:v>
                </c:pt>
                <c:pt idx="16">
                  <c:v>258674.92591000005</c:v>
                </c:pt>
                <c:pt idx="17">
                  <c:v>261943.84436999998</c:v>
                </c:pt>
                <c:pt idx="18">
                  <c:v>8028.7064599999994</c:v>
                </c:pt>
                <c:pt idx="19">
                  <c:v>105550.85219999996</c:v>
                </c:pt>
                <c:pt idx="20">
                  <c:v>111692.81025000002</c:v>
                </c:pt>
                <c:pt idx="21">
                  <c:v>151779.17228999996</c:v>
                </c:pt>
                <c:pt idx="22">
                  <c:v>200067.16277</c:v>
                </c:pt>
                <c:pt idx="23">
                  <c:v>292716.95203999995</c:v>
                </c:pt>
              </c:numCache>
            </c:numRef>
          </c:val>
          <c:extLst>
            <c:ext xmlns:c16="http://schemas.microsoft.com/office/drawing/2014/chart" uri="{C3380CC4-5D6E-409C-BE32-E72D297353CC}">
              <c16:uniqueId val="{00000000-6F94-4724-A4FB-7939225D7644}"/>
            </c:ext>
          </c:extLst>
        </c:ser>
        <c:dLbls>
          <c:showLegendKey val="0"/>
          <c:showVal val="0"/>
          <c:showCatName val="0"/>
          <c:showSerName val="0"/>
          <c:showPercent val="0"/>
          <c:showBubbleSize val="0"/>
        </c:dLbls>
        <c:gapWidth val="219"/>
        <c:overlap val="-27"/>
        <c:axId val="587183168"/>
        <c:axId val="587183648"/>
      </c:barChart>
      <c:catAx>
        <c:axId val="58718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7183648"/>
        <c:crosses val="autoZero"/>
        <c:auto val="1"/>
        <c:lblAlgn val="ctr"/>
        <c:lblOffset val="100"/>
        <c:noMultiLvlLbl val="0"/>
      </c:catAx>
      <c:valAx>
        <c:axId val="587183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Gross</a:t>
                </a:r>
                <a:r>
                  <a:rPr lang="sw-KE" baseline="0"/>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Ksh-441]#,##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718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Brief(AutoRecovered).xlsx]Top 10 SKUs!PivotTable4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SKUs</a:t>
            </a:r>
          </a:p>
        </c:rich>
      </c:tx>
      <c:layout>
        <c:manualLayout>
          <c:xMode val="edge"/>
          <c:yMode val="edge"/>
          <c:x val="0.49481481481481476"/>
          <c:y val="5.949256342957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SKUs'!$B$3</c:f>
              <c:strCache>
                <c:ptCount val="1"/>
                <c:pt idx="0">
                  <c:v>Total</c:v>
                </c:pt>
              </c:strCache>
            </c:strRef>
          </c:tx>
          <c:spPr>
            <a:solidFill>
              <a:schemeClr val="accent1"/>
            </a:solidFill>
            <a:ln>
              <a:noFill/>
            </a:ln>
            <a:effectLst/>
          </c:spPr>
          <c:invertIfNegative val="0"/>
          <c:cat>
            <c:strRef>
              <c:f>'Top 10 SKUs'!$A$4:$A$14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 SKUs'!$B$4:$B$14</c:f>
              <c:numCache>
                <c:formatCode>[$Ksh-441]#,##0.00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A4CA-4052-9A3F-3C850143040B}"/>
            </c:ext>
          </c:extLst>
        </c:ser>
        <c:dLbls>
          <c:showLegendKey val="0"/>
          <c:showVal val="0"/>
          <c:showCatName val="0"/>
          <c:showSerName val="0"/>
          <c:showPercent val="0"/>
          <c:showBubbleSize val="0"/>
        </c:dLbls>
        <c:gapWidth val="219"/>
        <c:overlap val="-27"/>
        <c:axId val="1071451312"/>
        <c:axId val="1071447472"/>
      </c:barChart>
      <c:catAx>
        <c:axId val="107145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SKU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71447472"/>
        <c:crosses val="autoZero"/>
        <c:auto val="1"/>
        <c:lblAlgn val="ctr"/>
        <c:lblOffset val="100"/>
        <c:noMultiLvlLbl val="0"/>
      </c:catAx>
      <c:valAx>
        <c:axId val="1071447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Total</a:t>
                </a:r>
                <a:r>
                  <a:rPr lang="sw-KE" baseline="0"/>
                  <a:t> revenue</a:t>
                </a:r>
                <a:endParaRPr lang="sw-K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w-KE"/>
            </a:p>
          </c:txPr>
        </c:title>
        <c:numFmt formatCode="[$Ksh-441]#,##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7145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Brief(AutoRecovered).xlsx]Revenue by Month!PivotTable9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w-KE"/>
              <a:t>Monthly</a:t>
            </a:r>
            <a:r>
              <a:rPr lang="sw-KE" baseline="0"/>
              <a:t> Revenue</a:t>
            </a:r>
            <a:endParaRPr lang="sw-KE"/>
          </a:p>
        </c:rich>
      </c:tx>
      <c:layout>
        <c:manualLayout>
          <c:xMode val="edge"/>
          <c:yMode val="edge"/>
          <c:x val="0.37809851088201601"/>
          <c:y val="0.11238825031928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w-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Month'!$B$3:$B$4</c:f>
              <c:strCache>
                <c:ptCount val="1"/>
                <c:pt idx="0">
                  <c:v>2023</c:v>
                </c:pt>
              </c:strCache>
            </c:strRef>
          </c:tx>
          <c:spPr>
            <a:ln w="28575" cap="rnd">
              <a:solidFill>
                <a:schemeClr val="accent1"/>
              </a:solidFill>
              <a:round/>
            </a:ln>
            <a:effectLst/>
          </c:spPr>
          <c:marker>
            <c:symbol val="none"/>
          </c:marker>
          <c:cat>
            <c:strRef>
              <c:f>'Revenue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Month'!$B$5:$B$16</c:f>
              <c:numCache>
                <c:formatCode>[$Ksh-441]#,##0.00</c:formatCode>
                <c:ptCount val="12"/>
                <c:pt idx="0">
                  <c:v>178642.73715</c:v>
                </c:pt>
                <c:pt idx="1">
                  <c:v>433788.64049000002</c:v>
                </c:pt>
                <c:pt idx="2">
                  <c:v>215576.67438000001</c:v>
                </c:pt>
                <c:pt idx="3">
                  <c:v>371604.58274000004</c:v>
                </c:pt>
                <c:pt idx="4">
                  <c:v>470192.17181999987</c:v>
                </c:pt>
                <c:pt idx="5">
                  <c:v>236474.06156999996</c:v>
                </c:pt>
                <c:pt idx="6">
                  <c:v>560860.55604000005</c:v>
                </c:pt>
                <c:pt idx="7">
                  <c:v>339044.67039000004</c:v>
                </c:pt>
                <c:pt idx="8">
                  <c:v>141266.51419000002</c:v>
                </c:pt>
                <c:pt idx="9">
                  <c:v>246114.84045000002</c:v>
                </c:pt>
                <c:pt idx="10">
                  <c:v>127009.50580000001</c:v>
                </c:pt>
                <c:pt idx="11">
                  <c:v>382101.3667999999</c:v>
                </c:pt>
              </c:numCache>
            </c:numRef>
          </c:val>
          <c:smooth val="0"/>
          <c:extLst>
            <c:ext xmlns:c16="http://schemas.microsoft.com/office/drawing/2014/chart" uri="{C3380CC4-5D6E-409C-BE32-E72D297353CC}">
              <c16:uniqueId val="{00000000-3B33-4127-8344-64AA4FB33C59}"/>
            </c:ext>
          </c:extLst>
        </c:ser>
        <c:ser>
          <c:idx val="1"/>
          <c:order val="1"/>
          <c:tx>
            <c:strRef>
              <c:f>'Revenue by Month'!$C$3:$C$4</c:f>
              <c:strCache>
                <c:ptCount val="1"/>
                <c:pt idx="0">
                  <c:v>2024</c:v>
                </c:pt>
              </c:strCache>
            </c:strRef>
          </c:tx>
          <c:spPr>
            <a:ln w="28575" cap="rnd">
              <a:solidFill>
                <a:schemeClr val="accent2"/>
              </a:solidFill>
              <a:round/>
            </a:ln>
            <a:effectLst/>
          </c:spPr>
          <c:marker>
            <c:symbol val="none"/>
          </c:marker>
          <c:cat>
            <c:strRef>
              <c:f>'Revenue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Month'!$C$5:$C$16</c:f>
              <c:numCache>
                <c:formatCode>[$Ksh-441]#,##0.00</c:formatCode>
                <c:ptCount val="12"/>
                <c:pt idx="0">
                  <c:v>299100.37307999999</c:v>
                </c:pt>
                <c:pt idx="1">
                  <c:v>307793.71461999993</c:v>
                </c:pt>
                <c:pt idx="2">
                  <c:v>374300.10980999999</c:v>
                </c:pt>
                <c:pt idx="3">
                  <c:v>239506.82714000001</c:v>
                </c:pt>
                <c:pt idx="4">
                  <c:v>416985.76566999994</c:v>
                </c:pt>
                <c:pt idx="5">
                  <c:v>634490.72337999998</c:v>
                </c:pt>
                <c:pt idx="6">
                  <c:v>275628.61962999997</c:v>
                </c:pt>
                <c:pt idx="7">
                  <c:v>384156.19038000004</c:v>
                </c:pt>
                <c:pt idx="8">
                  <c:v>347613.18767000001</c:v>
                </c:pt>
                <c:pt idx="9">
                  <c:v>417732.48301000008</c:v>
                </c:pt>
                <c:pt idx="10">
                  <c:v>416944.18554999994</c:v>
                </c:pt>
                <c:pt idx="11">
                  <c:v>354378.93716000015</c:v>
                </c:pt>
              </c:numCache>
            </c:numRef>
          </c:val>
          <c:smooth val="0"/>
          <c:extLst>
            <c:ext xmlns:c16="http://schemas.microsoft.com/office/drawing/2014/chart" uri="{C3380CC4-5D6E-409C-BE32-E72D297353CC}">
              <c16:uniqueId val="{00000005-3B33-4127-8344-64AA4FB33C59}"/>
            </c:ext>
          </c:extLst>
        </c:ser>
        <c:ser>
          <c:idx val="2"/>
          <c:order val="2"/>
          <c:tx>
            <c:strRef>
              <c:f>'Revenue by Month'!$D$3:$D$4</c:f>
              <c:strCache>
                <c:ptCount val="1"/>
                <c:pt idx="0">
                  <c:v>2025</c:v>
                </c:pt>
              </c:strCache>
            </c:strRef>
          </c:tx>
          <c:spPr>
            <a:ln w="28575" cap="rnd">
              <a:solidFill>
                <a:schemeClr val="accent3"/>
              </a:solidFill>
              <a:round/>
            </a:ln>
            <a:effectLst/>
          </c:spPr>
          <c:marker>
            <c:symbol val="none"/>
          </c:marker>
          <c:cat>
            <c:strRef>
              <c:f>'Revenue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Month'!$D$5:$D$16</c:f>
              <c:numCache>
                <c:formatCode>[$Ksh-441]#,##0.00</c:formatCode>
                <c:ptCount val="12"/>
                <c:pt idx="0">
                  <c:v>223498.20031999997</c:v>
                </c:pt>
                <c:pt idx="1">
                  <c:v>221608.49787000002</c:v>
                </c:pt>
                <c:pt idx="2">
                  <c:v>209425.98853999999</c:v>
                </c:pt>
                <c:pt idx="3">
                  <c:v>336135.16749999998</c:v>
                </c:pt>
                <c:pt idx="4">
                  <c:v>375723.96025999996</c:v>
                </c:pt>
                <c:pt idx="5">
                  <c:v>382009.37596000021</c:v>
                </c:pt>
                <c:pt idx="6">
                  <c:v>486970.83347999997</c:v>
                </c:pt>
                <c:pt idx="7">
                  <c:v>366808.72249999986</c:v>
                </c:pt>
                <c:pt idx="8">
                  <c:v>172279.72759999998</c:v>
                </c:pt>
              </c:numCache>
            </c:numRef>
          </c:val>
          <c:smooth val="0"/>
          <c:extLst>
            <c:ext xmlns:c16="http://schemas.microsoft.com/office/drawing/2014/chart" uri="{C3380CC4-5D6E-409C-BE32-E72D297353CC}">
              <c16:uniqueId val="{00000006-3B33-4127-8344-64AA4FB33C59}"/>
            </c:ext>
          </c:extLst>
        </c:ser>
        <c:dLbls>
          <c:showLegendKey val="0"/>
          <c:showVal val="0"/>
          <c:showCatName val="0"/>
          <c:showSerName val="0"/>
          <c:showPercent val="0"/>
          <c:showBubbleSize val="0"/>
        </c:dLbls>
        <c:smooth val="0"/>
        <c:axId val="824876032"/>
        <c:axId val="824876512"/>
      </c:lineChart>
      <c:catAx>
        <c:axId val="82487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Month</a:t>
                </a:r>
              </a:p>
              <a:p>
                <a:pPr>
                  <a:defRPr/>
                </a:pPr>
                <a:endParaRPr lang="sw-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876512"/>
        <c:crosses val="autoZero"/>
        <c:auto val="1"/>
        <c:lblAlgn val="ctr"/>
        <c:lblOffset val="100"/>
        <c:noMultiLvlLbl val="0"/>
      </c:catAx>
      <c:valAx>
        <c:axId val="824876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w-KE"/>
                  <a:t>Gross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Ksh-441]#,##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87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Discount Outliers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Discount Outliers</a:t>
          </a:r>
        </a:p>
      </cx:txPr>
    </cx:title>
    <cx:plotArea>
      <cx:plotAreaRegion>
        <cx:series layoutId="boxWhisker" uniqueId="{9394C7C6-6C33-4E20-80E6-0401956B34BF}">
          <cx:tx>
            <cx:txData>
              <cx:f>_xlchart.v1.1</cx:f>
              <cx:v>Average of CorrectedDiscount</cx:v>
            </cx:txData>
          </cx:tx>
          <cx:dataId val="0"/>
          <cx:layoutPr>
            <cx:visibility meanLine="0" meanMarker="1" nonoutliers="0" outliers="1"/>
            <cx:statistics quartileMethod="exclusive"/>
          </cx:layoutPr>
        </cx:series>
      </cx:plotAreaRegion>
      <cx:axis id="0">
        <cx:catScaling gapWidth="1"/>
        <cx:title>
          <cx:tx>
            <cx:txData>
              <cx:v>Salesperson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Salesperson</a:t>
              </a:r>
            </a:p>
          </cx:txPr>
        </cx:title>
        <cx:tickLabels/>
      </cx:axis>
      <cx:axis id="1">
        <cx:valScaling/>
        <cx:title>
          <cx:tx>
            <cx:txData>
              <cx:v>Average Discount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Average Discount</a:t>
              </a:r>
            </a:p>
          </cx:tx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Discount Outliers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Discount Outliers</a:t>
          </a:r>
        </a:p>
      </cx:txPr>
    </cx:title>
    <cx:plotArea>
      <cx:plotAreaRegion>
        <cx:series layoutId="boxWhisker" uniqueId="{9394C7C6-6C33-4E20-80E6-0401956B34BF}">
          <cx:tx>
            <cx:txData>
              <cx:f>_xlchart.v1.7</cx:f>
              <cx:v>Average of CorrectedDiscount</cx:v>
            </cx:txData>
          </cx:tx>
          <cx:dataId val="0"/>
          <cx:layoutPr>
            <cx:visibility meanLine="0" meanMarker="1" nonoutliers="0" outliers="1"/>
            <cx:statistics quartileMethod="exclusive"/>
          </cx:layoutPr>
        </cx:series>
      </cx:plotAreaRegion>
      <cx:axis id="0">
        <cx:catScaling gapWidth="1"/>
        <cx:title>
          <cx:tx>
            <cx:txData>
              <cx:v>Salesperson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Salesperson</a:t>
              </a:r>
            </a:p>
          </cx:txPr>
        </cx:title>
        <cx:tickLabels/>
      </cx:axis>
      <cx:axis id="1">
        <cx:valScaling/>
        <cx:title>
          <cx:tx>
            <cx:txData>
              <cx:v>Average Discount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Average Discount</a:t>
              </a:r>
            </a:p>
          </cx:txPr>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17</xdr:row>
      <xdr:rowOff>114300</xdr:rowOff>
    </xdr:from>
    <xdr:to>
      <xdr:col>7</xdr:col>
      <xdr:colOff>723900</xdr:colOff>
      <xdr:row>29</xdr:row>
      <xdr:rowOff>123825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A97D8BBC-4125-6673-DD77-7E477541318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019800" y="33528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xdr:colOff>
      <xdr:row>17</xdr:row>
      <xdr:rowOff>114300</xdr:rowOff>
    </xdr:from>
    <xdr:to>
      <xdr:col>9</xdr:col>
      <xdr:colOff>885825</xdr:colOff>
      <xdr:row>29</xdr:row>
      <xdr:rowOff>123825</xdr:rowOff>
    </xdr:to>
    <mc:AlternateContent xmlns:mc="http://schemas.openxmlformats.org/markup-compatibility/2006" xmlns:a14="http://schemas.microsoft.com/office/drawing/2010/main">
      <mc:Choice Requires="a14">
        <xdr:graphicFrame macro="">
          <xdr:nvGraphicFramePr>
            <xdr:cNvPr id="3" name="MonthIndex">
              <a:extLst>
                <a:ext uri="{FF2B5EF4-FFF2-40B4-BE49-F238E27FC236}">
                  <a16:creationId xmlns:a16="http://schemas.microsoft.com/office/drawing/2014/main" id="{2FF6B717-DC26-178D-C811-1689C9DE5FE5}"/>
                </a:ext>
              </a:extLst>
            </xdr:cNvPr>
            <xdr:cNvGraphicFramePr/>
          </xdr:nvGraphicFramePr>
          <xdr:xfrm>
            <a:off x="0" y="0"/>
            <a:ext cx="0" cy="0"/>
          </xdr:xfrm>
          <a:graphic>
            <a:graphicData uri="http://schemas.microsoft.com/office/drawing/2010/slicer">
              <sle:slicer xmlns:sle="http://schemas.microsoft.com/office/drawing/2010/slicer" name="MonthIndex"/>
            </a:graphicData>
          </a:graphic>
        </xdr:graphicFrame>
      </mc:Choice>
      <mc:Fallback xmlns="">
        <xdr:sp macro="" textlink="">
          <xdr:nvSpPr>
            <xdr:cNvPr id="0" name=""/>
            <xdr:cNvSpPr>
              <a:spLocks noTextEdit="1"/>
            </xdr:cNvSpPr>
          </xdr:nvSpPr>
          <xdr:spPr>
            <a:xfrm>
              <a:off x="7858125" y="33528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638176</xdr:colOff>
      <xdr:row>4</xdr:row>
      <xdr:rowOff>109537</xdr:rowOff>
    </xdr:from>
    <xdr:to>
      <xdr:col>14</xdr:col>
      <xdr:colOff>19051</xdr:colOff>
      <xdr:row>18</xdr:row>
      <xdr:rowOff>185737</xdr:rowOff>
    </xdr:to>
    <xdr:graphicFrame macro="">
      <xdr:nvGraphicFramePr>
        <xdr:cNvPr id="4" name="Chart 3">
          <a:extLst>
            <a:ext uri="{FF2B5EF4-FFF2-40B4-BE49-F238E27FC236}">
              <a16:creationId xmlns:a16="http://schemas.microsoft.com/office/drawing/2014/main" id="{216E6953-958A-C41F-C3E1-02AD4D129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609600</xdr:colOff>
      <xdr:row>6</xdr:row>
      <xdr:rowOff>76200</xdr:rowOff>
    </xdr:from>
    <xdr:to>
      <xdr:col>4</xdr:col>
      <xdr:colOff>819150</xdr:colOff>
      <xdr:row>18</xdr:row>
      <xdr:rowOff>85725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AC6610E-8329-EF13-B860-3ECF08707D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24400" y="1333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1266825</xdr:colOff>
      <xdr:row>5</xdr:row>
      <xdr:rowOff>152400</xdr:rowOff>
    </xdr:from>
    <xdr:to>
      <xdr:col>7</xdr:col>
      <xdr:colOff>161925</xdr:colOff>
      <xdr:row>17</xdr:row>
      <xdr:rowOff>161925</xdr:rowOff>
    </xdr:to>
    <mc:AlternateContent xmlns:mc="http://schemas.openxmlformats.org/markup-compatibility/2006">
      <mc:Choice xmlns:a14="http://schemas.microsoft.com/office/drawing/2010/main" Requires="a14">
        <xdr:graphicFrame macro="">
          <xdr:nvGraphicFramePr>
            <xdr:cNvPr id="4" name="Country 1">
              <a:extLst>
                <a:ext uri="{FF2B5EF4-FFF2-40B4-BE49-F238E27FC236}">
                  <a16:creationId xmlns:a16="http://schemas.microsoft.com/office/drawing/2014/main" id="{D86D2FE7-0BAB-7557-FA48-BA59DBF9D32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000875" y="12001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371475</xdr:colOff>
      <xdr:row>6</xdr:row>
      <xdr:rowOff>171450</xdr:rowOff>
    </xdr:from>
    <xdr:to>
      <xdr:col>11</xdr:col>
      <xdr:colOff>142875</xdr:colOff>
      <xdr:row>18</xdr:row>
      <xdr:rowOff>180975</xdr:rowOff>
    </xdr:to>
    <mc:AlternateContent xmlns:mc="http://schemas.openxmlformats.org/markup-compatibility/2006">
      <mc:Choice xmlns:a14="http://schemas.microsoft.com/office/drawing/2010/main" Requires="a14">
        <xdr:graphicFrame macro="">
          <xdr:nvGraphicFramePr>
            <xdr:cNvPr id="5" name="Channel">
              <a:extLst>
                <a:ext uri="{FF2B5EF4-FFF2-40B4-BE49-F238E27FC236}">
                  <a16:creationId xmlns:a16="http://schemas.microsoft.com/office/drawing/2014/main" id="{58EB39B9-B06F-218D-BC9D-98BFF5852BEF}"/>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725025" y="14287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161925</xdr:colOff>
      <xdr:row>6</xdr:row>
      <xdr:rowOff>104775</xdr:rowOff>
    </xdr:from>
    <xdr:to>
      <xdr:col>14</xdr:col>
      <xdr:colOff>619125</xdr:colOff>
      <xdr:row>18</xdr:row>
      <xdr:rowOff>114300</xdr:rowOff>
    </xdr:to>
    <mc:AlternateContent xmlns:mc="http://schemas.openxmlformats.org/markup-compatibility/2006">
      <mc:Choice xmlns:a14="http://schemas.microsoft.com/office/drawing/2010/main" Requires="a14">
        <xdr:graphicFrame macro="">
          <xdr:nvGraphicFramePr>
            <xdr:cNvPr id="6" name="Salesperson 1">
              <a:extLst>
                <a:ext uri="{FF2B5EF4-FFF2-40B4-BE49-F238E27FC236}">
                  <a16:creationId xmlns:a16="http://schemas.microsoft.com/office/drawing/2014/main" id="{D7F87828-4F94-57A6-EF99-736C8B9E2FB3}"/>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2258675" y="13620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533400</xdr:colOff>
      <xdr:row>5</xdr:row>
      <xdr:rowOff>142875</xdr:rowOff>
    </xdr:from>
    <xdr:to>
      <xdr:col>18</xdr:col>
      <xdr:colOff>304800</xdr:colOff>
      <xdr:row>17</xdr:row>
      <xdr:rowOff>152400</xdr:rowOff>
    </xdr:to>
    <mc:AlternateContent xmlns:mc="http://schemas.openxmlformats.org/markup-compatibility/2006">
      <mc:Choice xmlns:a14="http://schemas.microsoft.com/office/drawing/2010/main" Requires="a14">
        <xdr:graphicFrame macro="">
          <xdr:nvGraphicFramePr>
            <xdr:cNvPr id="7" name="ProductCategory">
              <a:extLst>
                <a:ext uri="{FF2B5EF4-FFF2-40B4-BE49-F238E27FC236}">
                  <a16:creationId xmlns:a16="http://schemas.microsoft.com/office/drawing/2014/main" id="{7124844C-EEC2-F233-4CBE-768CFFD86905}"/>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4687550" y="11906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1019175</xdr:colOff>
      <xdr:row>6</xdr:row>
      <xdr:rowOff>180975</xdr:rowOff>
    </xdr:from>
    <xdr:to>
      <xdr:col>3</xdr:col>
      <xdr:colOff>285750</xdr:colOff>
      <xdr:row>18</xdr:row>
      <xdr:rowOff>190500</xdr:rowOff>
    </xdr:to>
    <mc:AlternateContent xmlns:mc="http://schemas.openxmlformats.org/markup-compatibility/2006">
      <mc:Choice xmlns:a14="http://schemas.microsoft.com/office/drawing/2010/main" Requires="a14">
        <xdr:graphicFrame macro="">
          <xdr:nvGraphicFramePr>
            <xdr:cNvPr id="8" name="Months (StarndardizedDate)">
              <a:extLst>
                <a:ext uri="{FF2B5EF4-FFF2-40B4-BE49-F238E27FC236}">
                  <a16:creationId xmlns:a16="http://schemas.microsoft.com/office/drawing/2014/main" id="{A6F993BC-5A6C-0499-6E04-E290B52BBFA0}"/>
                </a:ext>
              </a:extLst>
            </xdr:cNvPr>
            <xdr:cNvGraphicFramePr/>
          </xdr:nvGraphicFramePr>
          <xdr:xfrm>
            <a:off x="0" y="0"/>
            <a:ext cx="0" cy="0"/>
          </xdr:xfrm>
          <a:graphic>
            <a:graphicData uri="http://schemas.microsoft.com/office/drawing/2010/slicer">
              <sle:slicer xmlns:sle="http://schemas.microsoft.com/office/drawing/2010/slicer" name="Months (StarndardizedDate)"/>
            </a:graphicData>
          </a:graphic>
        </xdr:graphicFrame>
      </mc:Choice>
      <mc:Fallback>
        <xdr:sp macro="" textlink="">
          <xdr:nvSpPr>
            <xdr:cNvPr id="0" name=""/>
            <xdr:cNvSpPr>
              <a:spLocks noTextEdit="1"/>
            </xdr:cNvSpPr>
          </xdr:nvSpPr>
          <xdr:spPr>
            <a:xfrm>
              <a:off x="2571750" y="14382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523874</xdr:colOff>
      <xdr:row>1</xdr:row>
      <xdr:rowOff>176211</xdr:rowOff>
    </xdr:from>
    <xdr:to>
      <xdr:col>17</xdr:col>
      <xdr:colOff>114299</xdr:colOff>
      <xdr:row>21</xdr:row>
      <xdr:rowOff>66674</xdr:rowOff>
    </xdr:to>
    <xdr:graphicFrame macro="">
      <xdr:nvGraphicFramePr>
        <xdr:cNvPr id="2" name="Chart 1">
          <a:extLst>
            <a:ext uri="{FF2B5EF4-FFF2-40B4-BE49-F238E27FC236}">
              <a16:creationId xmlns:a16="http://schemas.microsoft.com/office/drawing/2014/main" id="{6FBC61E3-DB77-63E0-6222-3DA090D0F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276225</xdr:colOff>
      <xdr:row>2</xdr:row>
      <xdr:rowOff>42862</xdr:rowOff>
    </xdr:from>
    <xdr:to>
      <xdr:col>14</xdr:col>
      <xdr:colOff>581025</xdr:colOff>
      <xdr:row>16</xdr:row>
      <xdr:rowOff>119062</xdr:rowOff>
    </xdr:to>
    <xdr:graphicFrame macro="">
      <xdr:nvGraphicFramePr>
        <xdr:cNvPr id="3" name="Chart 2">
          <a:extLst>
            <a:ext uri="{FF2B5EF4-FFF2-40B4-BE49-F238E27FC236}">
              <a16:creationId xmlns:a16="http://schemas.microsoft.com/office/drawing/2014/main" id="{8D437204-CB72-C599-C324-0CFA53748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133350</xdr:colOff>
      <xdr:row>2</xdr:row>
      <xdr:rowOff>157162</xdr:rowOff>
    </xdr:from>
    <xdr:to>
      <xdr:col>13</xdr:col>
      <xdr:colOff>438150</xdr:colOff>
      <xdr:row>17</xdr:row>
      <xdr:rowOff>42862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89786B4-A2E6-5A1E-0D9B-68E797532B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81600" y="538162"/>
              <a:ext cx="4572000" cy="27432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47625</xdr:colOff>
      <xdr:row>5</xdr:row>
      <xdr:rowOff>61912</xdr:rowOff>
    </xdr:from>
    <xdr:to>
      <xdr:col>15</xdr:col>
      <xdr:colOff>104775</xdr:colOff>
      <xdr:row>20</xdr:row>
      <xdr:rowOff>57150</xdr:rowOff>
    </xdr:to>
    <xdr:graphicFrame macro="">
      <xdr:nvGraphicFramePr>
        <xdr:cNvPr id="2" name="Chart 1">
          <a:extLst>
            <a:ext uri="{FF2B5EF4-FFF2-40B4-BE49-F238E27FC236}">
              <a16:creationId xmlns:a16="http://schemas.microsoft.com/office/drawing/2014/main" id="{CE98A5E7-767C-05BB-F01F-ABE0254FC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161926</xdr:colOff>
      <xdr:row>2</xdr:row>
      <xdr:rowOff>28575</xdr:rowOff>
    </xdr:from>
    <xdr:to>
      <xdr:col>20</xdr:col>
      <xdr:colOff>428626</xdr:colOff>
      <xdr:row>21</xdr:row>
      <xdr:rowOff>142875</xdr:rowOff>
    </xdr:to>
    <xdr:graphicFrame macro="">
      <xdr:nvGraphicFramePr>
        <xdr:cNvPr id="2" name="Chart 1">
          <a:extLst>
            <a:ext uri="{FF2B5EF4-FFF2-40B4-BE49-F238E27FC236}">
              <a16:creationId xmlns:a16="http://schemas.microsoft.com/office/drawing/2014/main" id="{5B617EED-D4ED-911F-2C2A-145E740DA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200025</xdr:rowOff>
    </xdr:from>
    <xdr:to>
      <xdr:col>2</xdr:col>
      <xdr:colOff>457200</xdr:colOff>
      <xdr:row>15</xdr:row>
      <xdr:rowOff>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A7485A04-D6C6-492B-87C2-FFFECBDCD2B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628650"/>
              <a:ext cx="1838325" cy="258603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152400</xdr:rowOff>
    </xdr:from>
    <xdr:to>
      <xdr:col>2</xdr:col>
      <xdr:colOff>457200</xdr:colOff>
      <xdr:row>21</xdr:row>
      <xdr:rowOff>161925</xdr:rowOff>
    </xdr:to>
    <mc:AlternateContent xmlns:mc="http://schemas.openxmlformats.org/markup-compatibility/2006">
      <mc:Choice xmlns:a14="http://schemas.microsoft.com/office/drawing/2010/main" Requires="a14">
        <xdr:graphicFrame macro="">
          <xdr:nvGraphicFramePr>
            <xdr:cNvPr id="3" name="Country 2">
              <a:extLst>
                <a:ext uri="{FF2B5EF4-FFF2-40B4-BE49-F238E27FC236}">
                  <a16:creationId xmlns:a16="http://schemas.microsoft.com/office/drawing/2014/main" id="{B6511A7A-B84D-4E21-8858-4A3851B110F7}"/>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0" y="2081213"/>
              <a:ext cx="1838325"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7144</xdr:colOff>
      <xdr:row>21</xdr:row>
      <xdr:rowOff>171450</xdr:rowOff>
    </xdr:from>
    <xdr:to>
      <xdr:col>2</xdr:col>
      <xdr:colOff>464344</xdr:colOff>
      <xdr:row>33</xdr:row>
      <xdr:rowOff>180975</xdr:rowOff>
    </xdr:to>
    <mc:AlternateContent xmlns:mc="http://schemas.openxmlformats.org/markup-compatibility/2006">
      <mc:Choice xmlns:a14="http://schemas.microsoft.com/office/drawing/2010/main" Requires="a14">
        <xdr:graphicFrame macro="">
          <xdr:nvGraphicFramePr>
            <xdr:cNvPr id="4" name="Channel 1">
              <a:extLst>
                <a:ext uri="{FF2B5EF4-FFF2-40B4-BE49-F238E27FC236}">
                  <a16:creationId xmlns:a16="http://schemas.microsoft.com/office/drawing/2014/main" id="{E67A8023-C4C0-490B-BD46-B7845A5CAA2E}"/>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7144" y="4672013"/>
              <a:ext cx="1838325"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219075</xdr:colOff>
      <xdr:row>3</xdr:row>
      <xdr:rowOff>19048</xdr:rowOff>
    </xdr:from>
    <xdr:to>
      <xdr:col>22</xdr:col>
      <xdr:colOff>676275</xdr:colOff>
      <xdr:row>25</xdr:row>
      <xdr:rowOff>133350</xdr:rowOff>
    </xdr:to>
    <mc:AlternateContent xmlns:mc="http://schemas.openxmlformats.org/markup-compatibility/2006">
      <mc:Choice xmlns:a14="http://schemas.microsoft.com/office/drawing/2010/main" Requires="a14">
        <xdr:graphicFrame macro="">
          <xdr:nvGraphicFramePr>
            <xdr:cNvPr id="5" name="Salesperson 2">
              <a:extLst>
                <a:ext uri="{FF2B5EF4-FFF2-40B4-BE49-F238E27FC236}">
                  <a16:creationId xmlns:a16="http://schemas.microsoft.com/office/drawing/2014/main" id="{4E89FC10-C4F7-4B69-B7D9-A58AED7F5734}"/>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14030325" y="661986"/>
              <a:ext cx="1838325" cy="482917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219075</xdr:colOff>
      <xdr:row>26</xdr:row>
      <xdr:rowOff>142873</xdr:rowOff>
    </xdr:from>
    <xdr:to>
      <xdr:col>22</xdr:col>
      <xdr:colOff>676275</xdr:colOff>
      <xdr:row>37</xdr:row>
      <xdr:rowOff>57148</xdr:rowOff>
    </xdr:to>
    <mc:AlternateContent xmlns:mc="http://schemas.openxmlformats.org/markup-compatibility/2006">
      <mc:Choice xmlns:a14="http://schemas.microsoft.com/office/drawing/2010/main" Requires="a14">
        <xdr:graphicFrame macro="">
          <xdr:nvGraphicFramePr>
            <xdr:cNvPr id="6" name="ProductCategory 1">
              <a:extLst>
                <a:ext uri="{FF2B5EF4-FFF2-40B4-BE49-F238E27FC236}">
                  <a16:creationId xmlns:a16="http://schemas.microsoft.com/office/drawing/2014/main" id="{50CBDBF7-F559-4DCF-9039-07A09D02A313}"/>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14030325" y="5714998"/>
              <a:ext cx="1838325" cy="227171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28575</xdr:rowOff>
    </xdr:from>
    <xdr:to>
      <xdr:col>2</xdr:col>
      <xdr:colOff>457200</xdr:colOff>
      <xdr:row>46</xdr:row>
      <xdr:rowOff>76200</xdr:rowOff>
    </xdr:to>
    <mc:AlternateContent xmlns:mc="http://schemas.openxmlformats.org/markup-compatibility/2006">
      <mc:Choice xmlns:a14="http://schemas.microsoft.com/office/drawing/2010/main" Requires="a14">
        <xdr:graphicFrame macro="">
          <xdr:nvGraphicFramePr>
            <xdr:cNvPr id="7" name="Months (StarndardizedDate) 1">
              <a:extLst>
                <a:ext uri="{FF2B5EF4-FFF2-40B4-BE49-F238E27FC236}">
                  <a16:creationId xmlns:a16="http://schemas.microsoft.com/office/drawing/2014/main" id="{D256D0EA-B18E-4141-B9D8-63ED32999CA9}"/>
                </a:ext>
              </a:extLst>
            </xdr:cNvPr>
            <xdr:cNvGraphicFramePr/>
          </xdr:nvGraphicFramePr>
          <xdr:xfrm>
            <a:off x="0" y="0"/>
            <a:ext cx="0" cy="0"/>
          </xdr:xfrm>
          <a:graphic>
            <a:graphicData uri="http://schemas.microsoft.com/office/drawing/2010/slicer">
              <sle:slicer xmlns:sle="http://schemas.microsoft.com/office/drawing/2010/slicer" name="Months (StarndardizedDate) 1"/>
            </a:graphicData>
          </a:graphic>
        </xdr:graphicFrame>
      </mc:Choice>
      <mc:Fallback>
        <xdr:sp macro="" textlink="">
          <xdr:nvSpPr>
            <xdr:cNvPr id="0" name=""/>
            <xdr:cNvSpPr>
              <a:spLocks noTextEdit="1"/>
            </xdr:cNvSpPr>
          </xdr:nvSpPr>
          <xdr:spPr>
            <a:xfrm>
              <a:off x="0" y="6886575"/>
              <a:ext cx="1838325" cy="3048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552451</xdr:colOff>
      <xdr:row>9</xdr:row>
      <xdr:rowOff>9526</xdr:rowOff>
    </xdr:from>
    <xdr:to>
      <xdr:col>14</xdr:col>
      <xdr:colOff>285751</xdr:colOff>
      <xdr:row>26</xdr:row>
      <xdr:rowOff>114300</xdr:rowOff>
    </xdr:to>
    <xdr:graphicFrame macro="">
      <xdr:nvGraphicFramePr>
        <xdr:cNvPr id="10" name="Chart 9">
          <a:extLst>
            <a:ext uri="{FF2B5EF4-FFF2-40B4-BE49-F238E27FC236}">
              <a16:creationId xmlns:a16="http://schemas.microsoft.com/office/drawing/2014/main" id="{115ED31C-FFD5-4B3F-BF20-F7D0F4AF6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371475</xdr:colOff>
      <xdr:row>9</xdr:row>
      <xdr:rowOff>9525</xdr:rowOff>
    </xdr:from>
    <xdr:to>
      <xdr:col>20</xdr:col>
      <xdr:colOff>142875</xdr:colOff>
      <xdr:row>26</xdr:row>
      <xdr:rowOff>95251</xdr:rowOff>
    </xdr:to>
    <xdr:graphicFrame macro="">
      <xdr:nvGraphicFramePr>
        <xdr:cNvPr id="11" name="Chart 10">
          <a:extLst>
            <a:ext uri="{FF2B5EF4-FFF2-40B4-BE49-F238E27FC236}">
              <a16:creationId xmlns:a16="http://schemas.microsoft.com/office/drawing/2014/main" id="{67EEB6F4-37D3-4BB8-BB2B-FD29CFF72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273844</xdr:colOff>
      <xdr:row>27</xdr:row>
      <xdr:rowOff>-1</xdr:rowOff>
    </xdr:from>
    <xdr:to>
      <xdr:col>20</xdr:col>
      <xdr:colOff>133350</xdr:colOff>
      <xdr:row>45</xdr:row>
      <xdr:rowOff>214311</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699331A1-8E54-460B-A929-AE2631819D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560594" y="5786437"/>
              <a:ext cx="5384006" cy="4071937"/>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104774</xdr:colOff>
      <xdr:row>3</xdr:row>
      <xdr:rowOff>161925</xdr:rowOff>
    </xdr:from>
    <xdr:to>
      <xdr:col>5</xdr:col>
      <xdr:colOff>419099</xdr:colOff>
      <xdr:row>8</xdr:row>
      <xdr:rowOff>38100</xdr:rowOff>
    </xdr:to>
    <xdr:sp macro="" textlink="">
      <xdr:nvSpPr>
        <xdr:cNvPr id="15" name="Rectangle: Rounded Corners 14">
          <a:extLst>
            <a:ext uri="{FF2B5EF4-FFF2-40B4-BE49-F238E27FC236}">
              <a16:creationId xmlns:a16="http://schemas.microsoft.com/office/drawing/2014/main" id="{FB8922FB-5AAE-2EC8-1DF2-3BD4E31C2B44}"/>
            </a:ext>
          </a:extLst>
        </xdr:cNvPr>
        <xdr:cNvSpPr/>
      </xdr:nvSpPr>
      <xdr:spPr>
        <a:xfrm>
          <a:off x="1933574" y="733425"/>
          <a:ext cx="1533525" cy="828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Total Revenue</a:t>
          </a:r>
          <a:endParaRPr lang="en-KE" sz="1600"/>
        </a:p>
      </xdr:txBody>
    </xdr:sp>
    <xdr:clientData/>
  </xdr:twoCellAnchor>
  <xdr:twoCellAnchor>
    <xdr:from>
      <xdr:col>3</xdr:col>
      <xdr:colOff>171450</xdr:colOff>
      <xdr:row>5</xdr:row>
      <xdr:rowOff>171450</xdr:rowOff>
    </xdr:from>
    <xdr:to>
      <xdr:col>5</xdr:col>
      <xdr:colOff>238126</xdr:colOff>
      <xdr:row>7</xdr:row>
      <xdr:rowOff>104776</xdr:rowOff>
    </xdr:to>
    <xdr:sp macro="" textlink="'Staging Table'!Y634">
      <xdr:nvSpPr>
        <xdr:cNvPr id="13" name="TextBox 12">
          <a:extLst>
            <a:ext uri="{FF2B5EF4-FFF2-40B4-BE49-F238E27FC236}">
              <a16:creationId xmlns:a16="http://schemas.microsoft.com/office/drawing/2014/main" id="{941D2BE4-6226-FAEB-A25E-1252796DAD76}"/>
            </a:ext>
          </a:extLst>
        </xdr:cNvPr>
        <xdr:cNvSpPr txBox="1"/>
      </xdr:nvSpPr>
      <xdr:spPr>
        <a:xfrm>
          <a:off x="2000250" y="1123950"/>
          <a:ext cx="1285876" cy="314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3C8E0E-917D-409D-B864-ED7F8832CC3B}" type="TxLink">
            <a:rPr lang="en-US" sz="1100" b="0" i="0" u="none" strike="noStrike">
              <a:solidFill>
                <a:srgbClr val="000000"/>
              </a:solidFill>
              <a:latin typeface="Calibri"/>
              <a:ea typeface="Calibri"/>
              <a:cs typeface="Calibri"/>
            </a:rPr>
            <a:pPr algn="ctr"/>
            <a:t>Ksh10,945,767.91</a:t>
          </a:fld>
          <a:endParaRPr lang="en-US" sz="1100"/>
        </a:p>
      </xdr:txBody>
    </xdr:sp>
    <xdr:clientData/>
  </xdr:twoCellAnchor>
  <xdr:twoCellAnchor>
    <xdr:from>
      <xdr:col>0</xdr:col>
      <xdr:colOff>0</xdr:colOff>
      <xdr:row>0</xdr:row>
      <xdr:rowOff>28575</xdr:rowOff>
    </xdr:from>
    <xdr:to>
      <xdr:col>23</xdr:col>
      <xdr:colOff>19050</xdr:colOff>
      <xdr:row>3</xdr:row>
      <xdr:rowOff>9525</xdr:rowOff>
    </xdr:to>
    <xdr:sp macro="" textlink="">
      <xdr:nvSpPr>
        <xdr:cNvPr id="16" name="Rectangle: Rounded Corners 15">
          <a:extLst>
            <a:ext uri="{FF2B5EF4-FFF2-40B4-BE49-F238E27FC236}">
              <a16:creationId xmlns:a16="http://schemas.microsoft.com/office/drawing/2014/main" id="{EBF62712-6CDD-4DA4-15B2-10AB26E89FAB}"/>
            </a:ext>
          </a:extLst>
        </xdr:cNvPr>
        <xdr:cNvSpPr/>
      </xdr:nvSpPr>
      <xdr:spPr>
        <a:xfrm>
          <a:off x="0" y="28575"/>
          <a:ext cx="1579245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i="0" u="none" strike="noStrike">
              <a:solidFill>
                <a:schemeClr val="lt1"/>
              </a:solidFill>
              <a:effectLst/>
              <a:latin typeface="+mj-lt"/>
              <a:ea typeface="+mn-ea"/>
              <a:cs typeface="+mn-cs"/>
            </a:rPr>
            <a:t>M</a:t>
          </a:r>
          <a:r>
            <a:rPr lang="en-KE" sz="2800" b="0" i="0" u="none" strike="noStrike">
              <a:solidFill>
                <a:schemeClr val="lt1"/>
              </a:solidFill>
              <a:effectLst/>
              <a:latin typeface="+mj-lt"/>
              <a:ea typeface="+mn-ea"/>
              <a:cs typeface="+mn-cs"/>
            </a:rPr>
            <a:t>ulti-</a:t>
          </a:r>
          <a:r>
            <a:rPr lang="en-US" sz="2800" b="0" i="0" u="none" strike="noStrike">
              <a:solidFill>
                <a:schemeClr val="lt1"/>
              </a:solidFill>
              <a:effectLst/>
              <a:latin typeface="+mj-lt"/>
              <a:ea typeface="+mn-ea"/>
              <a:cs typeface="+mn-cs"/>
            </a:rPr>
            <a:t>R</a:t>
          </a:r>
          <a:r>
            <a:rPr lang="en-KE" sz="2800" b="0" i="0" u="none" strike="noStrike">
              <a:solidFill>
                <a:schemeClr val="lt1"/>
              </a:solidFill>
              <a:effectLst/>
              <a:latin typeface="+mj-lt"/>
              <a:ea typeface="+mn-ea"/>
              <a:cs typeface="+mn-cs"/>
            </a:rPr>
            <a:t>egional </a:t>
          </a:r>
          <a:r>
            <a:rPr lang="en-US" sz="2800" b="0" i="0" u="none" strike="noStrike">
              <a:solidFill>
                <a:schemeClr val="lt1"/>
              </a:solidFill>
              <a:effectLst/>
              <a:latin typeface="+mj-lt"/>
              <a:ea typeface="+mn-ea"/>
              <a:cs typeface="+mn-cs"/>
            </a:rPr>
            <a:t>E</a:t>
          </a:r>
          <a:r>
            <a:rPr lang="en-KE" sz="2800" b="0" i="0" u="none" strike="noStrike">
              <a:solidFill>
                <a:schemeClr val="lt1"/>
              </a:solidFill>
              <a:effectLst/>
              <a:latin typeface="+mj-lt"/>
              <a:ea typeface="+mn-ea"/>
              <a:cs typeface="+mn-cs"/>
            </a:rPr>
            <a:t>lectronics </a:t>
          </a:r>
          <a:r>
            <a:rPr lang="en-US" sz="2800" b="0" i="0" u="none" strike="noStrike">
              <a:solidFill>
                <a:schemeClr val="lt1"/>
              </a:solidFill>
              <a:effectLst/>
              <a:latin typeface="+mj-lt"/>
              <a:ea typeface="+mn-ea"/>
              <a:cs typeface="+mn-cs"/>
            </a:rPr>
            <a:t>D</a:t>
          </a:r>
          <a:r>
            <a:rPr lang="en-KE" sz="2800" b="0" i="0" u="none" strike="noStrike">
              <a:solidFill>
                <a:schemeClr val="lt1"/>
              </a:solidFill>
              <a:effectLst/>
              <a:latin typeface="+mj-lt"/>
              <a:ea typeface="+mn-ea"/>
              <a:cs typeface="+mn-cs"/>
            </a:rPr>
            <a:t>istributor</a:t>
          </a:r>
          <a:r>
            <a:rPr lang="en-US" sz="2800" b="0" i="0" u="none" strike="noStrike">
              <a:solidFill>
                <a:schemeClr val="lt1"/>
              </a:solidFill>
              <a:effectLst/>
              <a:latin typeface="+mj-lt"/>
              <a:ea typeface="+mn-ea"/>
              <a:cs typeface="+mn-cs"/>
            </a:rPr>
            <a:t> Dashboard</a:t>
          </a:r>
          <a:r>
            <a:rPr lang="en-KE" sz="2800">
              <a:effectLst/>
              <a:latin typeface="+mj-lt"/>
            </a:rPr>
            <a:t> </a:t>
          </a:r>
          <a:endParaRPr lang="en-KE" sz="2800">
            <a:latin typeface="+mj-lt"/>
          </a:endParaRPr>
        </a:p>
      </xdr:txBody>
    </xdr:sp>
    <xdr:clientData/>
  </xdr:twoCellAnchor>
  <xdr:twoCellAnchor>
    <xdr:from>
      <xdr:col>6</xdr:col>
      <xdr:colOff>152400</xdr:colOff>
      <xdr:row>3</xdr:row>
      <xdr:rowOff>180975</xdr:rowOff>
    </xdr:from>
    <xdr:to>
      <xdr:col>8</xdr:col>
      <xdr:colOff>381000</xdr:colOff>
      <xdr:row>8</xdr:row>
      <xdr:rowOff>9525</xdr:rowOff>
    </xdr:to>
    <xdr:sp macro="" textlink="">
      <xdr:nvSpPr>
        <xdr:cNvPr id="18" name="Rectangle: Rounded Corners 17">
          <a:extLst>
            <a:ext uri="{FF2B5EF4-FFF2-40B4-BE49-F238E27FC236}">
              <a16:creationId xmlns:a16="http://schemas.microsoft.com/office/drawing/2014/main" id="{08E16C22-176A-D158-8279-CDE22E147542}"/>
            </a:ext>
          </a:extLst>
        </xdr:cNvPr>
        <xdr:cNvSpPr/>
      </xdr:nvSpPr>
      <xdr:spPr>
        <a:xfrm>
          <a:off x="3810000" y="752475"/>
          <a:ext cx="144780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Profit</a:t>
          </a:r>
          <a:endParaRPr lang="en-KE" sz="1600"/>
        </a:p>
      </xdr:txBody>
    </xdr:sp>
    <xdr:clientData/>
  </xdr:twoCellAnchor>
  <xdr:twoCellAnchor>
    <xdr:from>
      <xdr:col>9</xdr:col>
      <xdr:colOff>342900</xdr:colOff>
      <xdr:row>4</xdr:row>
      <xdr:rowOff>9525</xdr:rowOff>
    </xdr:from>
    <xdr:to>
      <xdr:col>11</xdr:col>
      <xdr:colOff>571500</xdr:colOff>
      <xdr:row>8</xdr:row>
      <xdr:rowOff>28575</xdr:rowOff>
    </xdr:to>
    <xdr:sp macro="" textlink="">
      <xdr:nvSpPr>
        <xdr:cNvPr id="19" name="Rectangle: Rounded Corners 18">
          <a:extLst>
            <a:ext uri="{FF2B5EF4-FFF2-40B4-BE49-F238E27FC236}">
              <a16:creationId xmlns:a16="http://schemas.microsoft.com/office/drawing/2014/main" id="{60FAAFA9-33D9-4D4F-9284-0165C7CA1F8C}"/>
            </a:ext>
          </a:extLst>
        </xdr:cNvPr>
        <xdr:cNvSpPr/>
      </xdr:nvSpPr>
      <xdr:spPr>
        <a:xfrm>
          <a:off x="5829300" y="771525"/>
          <a:ext cx="144780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 Margin</a:t>
          </a:r>
          <a:endParaRPr lang="en-KE" sz="1400"/>
        </a:p>
      </xdr:txBody>
    </xdr:sp>
    <xdr:clientData/>
  </xdr:twoCellAnchor>
  <xdr:twoCellAnchor>
    <xdr:from>
      <xdr:col>13</xdr:col>
      <xdr:colOff>0</xdr:colOff>
      <xdr:row>4</xdr:row>
      <xdr:rowOff>0</xdr:rowOff>
    </xdr:from>
    <xdr:to>
      <xdr:col>15</xdr:col>
      <xdr:colOff>400050</xdr:colOff>
      <xdr:row>8</xdr:row>
      <xdr:rowOff>19050</xdr:rowOff>
    </xdr:to>
    <xdr:sp macro="" textlink="">
      <xdr:nvSpPr>
        <xdr:cNvPr id="20" name="Rectangle: Rounded Corners 19">
          <a:extLst>
            <a:ext uri="{FF2B5EF4-FFF2-40B4-BE49-F238E27FC236}">
              <a16:creationId xmlns:a16="http://schemas.microsoft.com/office/drawing/2014/main" id="{9B4C26F7-A501-4AEC-A6C0-2B6F6D84E8CC}"/>
            </a:ext>
          </a:extLst>
        </xdr:cNvPr>
        <xdr:cNvSpPr/>
      </xdr:nvSpPr>
      <xdr:spPr>
        <a:xfrm>
          <a:off x="8915400" y="838200"/>
          <a:ext cx="1771650" cy="857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Avg Order Value</a:t>
          </a:r>
          <a:endParaRPr lang="en-KE" sz="1400"/>
        </a:p>
      </xdr:txBody>
    </xdr:sp>
    <xdr:clientData/>
  </xdr:twoCellAnchor>
  <xdr:twoCellAnchor>
    <xdr:from>
      <xdr:col>16</xdr:col>
      <xdr:colOff>238125</xdr:colOff>
      <xdr:row>4</xdr:row>
      <xdr:rowOff>9525</xdr:rowOff>
    </xdr:from>
    <xdr:to>
      <xdr:col>18</xdr:col>
      <xdr:colOff>466725</xdr:colOff>
      <xdr:row>8</xdr:row>
      <xdr:rowOff>28575</xdr:rowOff>
    </xdr:to>
    <xdr:sp macro="" textlink="">
      <xdr:nvSpPr>
        <xdr:cNvPr id="21" name="Rectangle: Rounded Corners 20">
          <a:extLst>
            <a:ext uri="{FF2B5EF4-FFF2-40B4-BE49-F238E27FC236}">
              <a16:creationId xmlns:a16="http://schemas.microsoft.com/office/drawing/2014/main" id="{7A1E7CDA-90B5-4B84-A1D5-82B56CE682EC}"/>
            </a:ext>
          </a:extLst>
        </xdr:cNvPr>
        <xdr:cNvSpPr/>
      </xdr:nvSpPr>
      <xdr:spPr>
        <a:xfrm>
          <a:off x="9991725" y="771525"/>
          <a:ext cx="144780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On-Time %</a:t>
          </a:r>
          <a:endParaRPr lang="en-KE" sz="1600"/>
        </a:p>
      </xdr:txBody>
    </xdr:sp>
    <xdr:clientData/>
  </xdr:twoCellAnchor>
  <xdr:twoCellAnchor>
    <xdr:from>
      <xdr:col>6</xdr:col>
      <xdr:colOff>304800</xdr:colOff>
      <xdr:row>5</xdr:row>
      <xdr:rowOff>142875</xdr:rowOff>
    </xdr:from>
    <xdr:to>
      <xdr:col>8</xdr:col>
      <xdr:colOff>238125</xdr:colOff>
      <xdr:row>7</xdr:row>
      <xdr:rowOff>57150</xdr:rowOff>
    </xdr:to>
    <xdr:sp macro="" textlink="'Staging Table'!AA634">
      <xdr:nvSpPr>
        <xdr:cNvPr id="22" name="TextBox 21">
          <a:extLst>
            <a:ext uri="{FF2B5EF4-FFF2-40B4-BE49-F238E27FC236}">
              <a16:creationId xmlns:a16="http://schemas.microsoft.com/office/drawing/2014/main" id="{6C2B19F6-2AC3-16F6-ADE8-D74F62264282}"/>
            </a:ext>
          </a:extLst>
        </xdr:cNvPr>
        <xdr:cNvSpPr txBox="1"/>
      </xdr:nvSpPr>
      <xdr:spPr>
        <a:xfrm>
          <a:off x="3962400" y="1095375"/>
          <a:ext cx="11525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D66777-B2F8-4288-B9FF-DA771F146ABB}" type="TxLink">
            <a:rPr lang="en-US" sz="1100" b="0" i="0" u="none" strike="noStrike">
              <a:solidFill>
                <a:srgbClr val="000000"/>
              </a:solidFill>
              <a:latin typeface="Calibri"/>
              <a:ea typeface="Calibri"/>
              <a:cs typeface="Calibri"/>
            </a:rPr>
            <a:pPr algn="ctr"/>
            <a:t>Ksh3,418,020.20</a:t>
          </a:fld>
          <a:endParaRPr lang="en-KE" sz="1100"/>
        </a:p>
      </xdr:txBody>
    </xdr:sp>
    <xdr:clientData/>
  </xdr:twoCellAnchor>
  <xdr:twoCellAnchor>
    <xdr:from>
      <xdr:col>2</xdr:col>
      <xdr:colOff>535788</xdr:colOff>
      <xdr:row>27</xdr:row>
      <xdr:rowOff>-1</xdr:rowOff>
    </xdr:from>
    <xdr:to>
      <xdr:col>12</xdr:col>
      <xdr:colOff>166687</xdr:colOff>
      <xdr:row>46</xdr:row>
      <xdr:rowOff>23811</xdr:rowOff>
    </xdr:to>
    <xdr:graphicFrame macro="">
      <xdr:nvGraphicFramePr>
        <xdr:cNvPr id="23" name="Chart 22">
          <a:extLst>
            <a:ext uri="{FF2B5EF4-FFF2-40B4-BE49-F238E27FC236}">
              <a16:creationId xmlns:a16="http://schemas.microsoft.com/office/drawing/2014/main" id="{E3884C57-FE19-40FC-A791-A592D3598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457200</xdr:colOff>
      <xdr:row>5</xdr:row>
      <xdr:rowOff>142875</xdr:rowOff>
    </xdr:from>
    <xdr:to>
      <xdr:col>11</xdr:col>
      <xdr:colOff>466725</xdr:colOff>
      <xdr:row>7</xdr:row>
      <xdr:rowOff>85725</xdr:rowOff>
    </xdr:to>
    <xdr:sp macro="" textlink="'Staging Table'!AB634">
      <xdr:nvSpPr>
        <xdr:cNvPr id="24" name="TextBox 23">
          <a:extLst>
            <a:ext uri="{FF2B5EF4-FFF2-40B4-BE49-F238E27FC236}">
              <a16:creationId xmlns:a16="http://schemas.microsoft.com/office/drawing/2014/main" id="{7B70E607-5629-9549-A2BB-0685FE4E2D8A}"/>
            </a:ext>
          </a:extLst>
        </xdr:cNvPr>
        <xdr:cNvSpPr txBox="1"/>
      </xdr:nvSpPr>
      <xdr:spPr>
        <a:xfrm>
          <a:off x="5943600" y="1095375"/>
          <a:ext cx="122872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EBA715-FEDD-4E27-B027-7C9831160E8F}" type="TxLink">
            <a:rPr lang="en-US" sz="1100" b="0" i="0" u="none" strike="noStrike">
              <a:solidFill>
                <a:srgbClr val="000000"/>
              </a:solidFill>
              <a:latin typeface="Calibri"/>
              <a:ea typeface="Calibri"/>
              <a:cs typeface="Calibri"/>
            </a:rPr>
            <a:pPr algn="ctr"/>
            <a:t>31.23%</a:t>
          </a:fld>
          <a:endParaRPr lang="en-KE" sz="1100"/>
        </a:p>
      </xdr:txBody>
    </xdr:sp>
    <xdr:clientData/>
  </xdr:twoCellAnchor>
  <xdr:twoCellAnchor>
    <xdr:from>
      <xdr:col>13</xdr:col>
      <xdr:colOff>171450</xdr:colOff>
      <xdr:row>5</xdr:row>
      <xdr:rowOff>161925</xdr:rowOff>
    </xdr:from>
    <xdr:to>
      <xdr:col>15</xdr:col>
      <xdr:colOff>180975</xdr:colOff>
      <xdr:row>7</xdr:row>
      <xdr:rowOff>19050</xdr:rowOff>
    </xdr:to>
    <xdr:sp macro="" textlink="'Staging Table'!AE634">
      <xdr:nvSpPr>
        <xdr:cNvPr id="25" name="TextBox 24">
          <a:extLst>
            <a:ext uri="{FF2B5EF4-FFF2-40B4-BE49-F238E27FC236}">
              <a16:creationId xmlns:a16="http://schemas.microsoft.com/office/drawing/2014/main" id="{D251D290-58C8-C66B-208E-D1012C26B9FD}"/>
            </a:ext>
          </a:extLst>
        </xdr:cNvPr>
        <xdr:cNvSpPr txBox="1"/>
      </xdr:nvSpPr>
      <xdr:spPr>
        <a:xfrm>
          <a:off x="9086850" y="1209675"/>
          <a:ext cx="13811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C8B6A8-7A25-4DCD-AAC5-6978F41064D8}" type="TxLink">
            <a:rPr lang="en-US" sz="1100" b="0" i="0" u="none" strike="noStrike">
              <a:solidFill>
                <a:srgbClr val="000000"/>
              </a:solidFill>
              <a:latin typeface="Calibri"/>
              <a:ea typeface="Calibri"/>
              <a:cs typeface="Calibri"/>
            </a:rPr>
            <a:pPr algn="ctr"/>
            <a:t>Ksh1,150.87</a:t>
          </a:fld>
          <a:endParaRPr lang="en-KE" sz="1100"/>
        </a:p>
      </xdr:txBody>
    </xdr:sp>
    <xdr:clientData/>
  </xdr:twoCellAnchor>
  <xdr:twoCellAnchor>
    <xdr:from>
      <xdr:col>16</xdr:col>
      <xdr:colOff>371475</xdr:colOff>
      <xdr:row>5</xdr:row>
      <xdr:rowOff>161925</xdr:rowOff>
    </xdr:from>
    <xdr:to>
      <xdr:col>18</xdr:col>
      <xdr:colOff>323850</xdr:colOff>
      <xdr:row>7</xdr:row>
      <xdr:rowOff>28575</xdr:rowOff>
    </xdr:to>
    <xdr:sp macro="" textlink="'Staging Table'!H634">
      <xdr:nvSpPr>
        <xdr:cNvPr id="26" name="TextBox 25">
          <a:extLst>
            <a:ext uri="{FF2B5EF4-FFF2-40B4-BE49-F238E27FC236}">
              <a16:creationId xmlns:a16="http://schemas.microsoft.com/office/drawing/2014/main" id="{68FBB3D6-5E99-31C0-42B2-0A8BC36AEBD3}"/>
            </a:ext>
          </a:extLst>
        </xdr:cNvPr>
        <xdr:cNvSpPr txBox="1"/>
      </xdr:nvSpPr>
      <xdr:spPr>
        <a:xfrm>
          <a:off x="10125075" y="1114425"/>
          <a:ext cx="11715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D804B5-B8EA-427E-9976-F2113711D2B7}" type="TxLink">
            <a:rPr lang="en-US" sz="1100" b="0" i="0" u="none" strike="noStrike">
              <a:solidFill>
                <a:srgbClr val="000000"/>
              </a:solidFill>
              <a:latin typeface="Calibri"/>
              <a:ea typeface="Calibri"/>
              <a:cs typeface="Calibri"/>
            </a:rPr>
            <a:pPr algn="ctr"/>
            <a:t>27%</a:t>
          </a:fld>
          <a:endParaRPr lang="en-KE"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K. Ndalamia" refreshedDate="46050.567288541664" createdVersion="8" refreshedVersion="8" minRefreshableVersion="3" recordCount="632" xr:uid="{ADB7603B-8A91-46A4-A453-DC31DCD8CF6B}">
  <cacheSource type="worksheet">
    <worksheetSource ref="A1:AD633" sheet="Staging Table"/>
  </cacheSource>
  <cacheFields count="35">
    <cacheField name="OrderID" numFmtId="49">
      <sharedItems count="631">
        <s v="ORD-2023-107265"/>
        <s v="ORD-2023-109927"/>
        <s v="ORD-2023-112666"/>
        <s v="ORD-2023-125739"/>
        <s v="ORD-2023-126505"/>
        <s v="ORD-2023-128295"/>
        <s v="ORD-2023-132101"/>
        <s v="ORD-2023-133848"/>
        <s v="ORD-2023-139236"/>
        <s v="ORD-2023-144816"/>
        <s v="ORD-2023-156396"/>
        <s v="ORD-2023-157993"/>
        <s v="ORD-2023-159379"/>
        <s v="ORD-2023-159821"/>
        <s v="ORD-2023-163610"/>
        <s v="ORD-2023-166668"/>
        <s v="ORD-2023-172095"/>
        <s v="ORD-2023-173313"/>
        <s v="ORD-2023-177794"/>
        <s v="ORD-2023-178249"/>
        <s v="ORD-2023-181257"/>
        <s v="ORD-2023-184577"/>
        <s v="ORD-2023-191563"/>
        <s v="ORD-2023-192324"/>
        <s v="ORD-2023-195665"/>
        <s v="ORD-2023-197661"/>
        <s v="ORD-2023-208944"/>
        <s v="ORD-2023-211715"/>
        <s v="ORD-2023-212701"/>
        <s v="ORD-2023-215819"/>
        <s v="ORD-2023-235230"/>
        <s v="ORD-2023-239789"/>
        <s v="ORD-2023-240507"/>
        <s v="ORD-2023-243704"/>
        <s v="ORD-2023-244375"/>
        <s v="ORD-2023-249805"/>
        <s v="ORD-2023-251563"/>
        <s v="ORD-2023-253245"/>
        <s v="ORD-2023-256951"/>
        <s v="ORD-2023-258768"/>
        <s v="ORD-2023-261081"/>
        <s v="ORD-2023-271836"/>
        <s v="ORD-2023-271918"/>
        <s v="ORD-2023-274037"/>
        <s v="ORD-2023-276806"/>
        <s v="ORD-2023-281890"/>
        <s v="ORD-2023-286720"/>
        <s v="ORD-2023-286994"/>
        <s v="ORD-2023-290237"/>
        <s v="ORD-2023-290279"/>
        <s v="ORD-2023-292714"/>
        <s v="ORD-2023-294716"/>
        <s v="ORD-2023-302041"/>
        <s v="ORD-2023-304451"/>
        <s v="ORD-2023-308124"/>
        <s v="ORD-2023-309373"/>
        <s v="ORD-2023-334213"/>
        <s v="ORD-2023-340056"/>
        <s v="ORD-2023-343322"/>
        <s v="ORD-2023-349264"/>
        <s v="ORD-2023-356427"/>
        <s v="ORD-2023-363031"/>
        <s v="ORD-2023-368449"/>
        <s v="ORD-2023-369150"/>
        <s v="ORD-2023-369160"/>
        <s v="ORD-2023-373538"/>
        <s v="ORD-2023-374486"/>
        <s v="ORD-2023-375011"/>
        <s v="ORD-2023-378104"/>
        <s v="ORD-2023-378676"/>
        <s v="ORD-2023-382017"/>
        <s v="ORD-2023-382272"/>
        <s v="ORD-2023-386663"/>
        <s v="ORD-2023-390998"/>
        <s v="ORD-2023-399631"/>
        <s v="ORD-2023-406606"/>
        <s v="ORD-2023-419187"/>
        <s v="ORD-2023-422918"/>
        <s v="ORD-2023-427304"/>
        <s v="ORD-2023-430904"/>
        <s v="ORD-2023-431328"/>
        <s v="ORD-2023-434071"/>
        <s v="ORD-2023-450877"/>
        <s v="ORD-2023-451931"/>
        <s v="ORD-2023-453699"/>
        <s v="ORD-2023-455933"/>
        <s v="ORD-2023-472050"/>
        <s v="ORD-2023-472078"/>
        <s v="ORD-2023-474313"/>
        <s v="ORD-2023-479747"/>
        <s v="ORD-2023-480975"/>
        <s v="ORD-2023-488227"/>
        <s v="ORD-2023-497686"/>
        <s v="ORD-2023-501220"/>
        <s v="ORD-2023-502205"/>
        <s v="ORD-2023-517216"/>
        <s v="ORD-2023-521280"/>
        <s v="ORD-2023-521818"/>
        <s v="ORD-2023-525643"/>
        <s v="ORD-2023-536542"/>
        <s v="ORD-2023-539967"/>
        <s v="ORD-2023-545150"/>
        <s v="ORD-2023-548874"/>
        <s v="ORD-2023-548934"/>
        <s v="ORD-2023-552115"/>
        <s v="ORD-2023-561823"/>
        <s v="ORD-2023-562894"/>
        <s v="ORD-2023-568013"/>
        <s v="ORD-2023-569862"/>
        <s v="ORD-2023-573146"/>
        <s v="ORD-2023-573656"/>
        <s v="ORD-2023-575584"/>
        <s v="ORD-2023-576840"/>
        <s v="ORD-2023-580751"/>
        <s v="ORD-2023-581799"/>
        <s v="ORD-2023-586275"/>
        <s v="ORD-2023-588455"/>
        <s v="ORD-2023-594700"/>
        <s v="ORD-2023-594955"/>
        <s v="ORD-2023-596758"/>
        <s v="ORD-2023-597666"/>
        <s v="ORD-2023-602648"/>
        <s v="ORD-2023-603238"/>
        <s v="ORD-2023-603650"/>
        <s v="ORD-2023-609394"/>
        <s v="ORD-2023-610470"/>
        <s v="ORD-2023-613287"/>
        <s v="ORD-2023-613317"/>
        <s v="ORD-2023-619385"/>
        <s v="ORD-2023-619493"/>
        <s v="ORD-2023-619570"/>
        <s v="ORD-2023-621393"/>
        <s v="ORD-2023-623293"/>
        <s v="ORD-2023-630430"/>
        <s v="ORD-2023-632893"/>
        <s v="ORD-2023-638181"/>
        <s v="ORD-2023-640022"/>
        <s v="ORD-2023-651638"/>
        <s v="ORD-2023-653343"/>
        <s v="ORD-2023-659070"/>
        <s v="ORD-2023-660608"/>
        <s v="ORD-2023-664749"/>
        <s v="ORD-2023-664790"/>
        <s v="ORD-2023-667815"/>
        <s v="ORD-2023-674887"/>
        <s v="ORD-2023-676553"/>
        <s v="ORD-2023-689428"/>
        <s v="ORD-2023-700699"/>
        <s v="ORD-2023-701153"/>
        <s v="ORD-2023-704111"/>
        <s v="ORD-2023-713375"/>
        <s v="ORD-2023-713614"/>
        <s v="ORD-2023-715175"/>
        <s v="ORD-2023-722117"/>
        <s v="ORD-2023-723587"/>
        <s v="ORD-2023-727290"/>
        <s v="ORD-2023-728177"/>
        <s v="ORD-2023-732585"/>
        <s v="ORD-2023-735274"/>
        <s v="ORD-2023-744942"/>
        <s v="ORD-2023-747341"/>
        <s v="ORD-2023-749324"/>
        <s v="ORD-2023-752962"/>
        <s v="ORD-2023-755337"/>
        <s v="ORD-2023-766015"/>
        <s v="ORD-2023-769774"/>
        <s v="ORD-2023-780206"/>
        <s v="ORD-2023-799597"/>
        <s v="ORD-2023-808024"/>
        <s v="ORD-2023-809913"/>
        <s v="ORD-2023-811823"/>
        <s v="ORD-2023-813340"/>
        <s v="ORD-2023-824839"/>
        <s v="ORD-2023-825084"/>
        <s v="ORD-2023-825495"/>
        <s v="ORD-2023-825836"/>
        <s v="ORD-2023-835010"/>
        <s v="ORD-2023-835226"/>
        <s v="ORD-2023-841426"/>
        <s v="ORD-2023-842488"/>
        <s v="ORD-2023-842820"/>
        <s v="ORD-2023-848013"/>
        <s v="ORD-2023-854471"/>
        <s v="ORD-2023-855675"/>
        <s v="ORD-2023-856322"/>
        <s v="ORD-2023-864121"/>
        <s v="ORD-2023-867166"/>
        <s v="ORD-2023-867175"/>
        <s v="ORD-2023-867285"/>
        <s v="ORD-2023-867836"/>
        <s v="ORD-2023-868460"/>
        <s v="ORD-2023-868734"/>
        <s v="ORD-2023-869884"/>
        <s v="ORD-2023-880296"/>
        <s v="ORD-2023-883066"/>
        <s v="ORD-2023-884192"/>
        <s v="ORD-2023-884625"/>
        <s v="ORD-2023-885216"/>
        <s v="ORD-2023-888140"/>
        <s v="ORD-2023-888245"/>
        <s v="ORD-2023-890605"/>
        <s v="ORD-2023-897079"/>
        <s v="ORD-2023-898009"/>
        <s v="ORD-2023-906481"/>
        <s v="ORD-2023-912395"/>
        <s v="ORD-2023-913592"/>
        <s v="ORD-2023-920483"/>
        <s v="ORD-2023-921939"/>
        <s v="ORD-2023-925146"/>
        <s v="ORD-2023-927385"/>
        <s v="ORD-2023-931633"/>
        <s v="ORD-2023-933238"/>
        <s v="ORD-2023-937291"/>
        <s v="ORD-2023-944052"/>
        <s v="ORD-2023-946143"/>
        <s v="ORD-2023-949710"/>
        <s v="ORD-2023-957692"/>
        <s v="ORD-2023-960380"/>
        <s v="ORD-2023-961864"/>
        <s v="ORD-2023-964434"/>
        <s v="ORD-2023-967239"/>
        <s v="ORD-2023-974506"/>
        <s v="ORD-2023-975863"/>
        <s v="ORD-2023-987081"/>
        <s v="ORD-2023-987700"/>
        <s v="ORD-2024-102866"/>
        <s v="ORD-2024-105586"/>
        <s v="ORD-2024-129345"/>
        <s v="ORD-2024-134084"/>
        <s v="ORD-2024-136321"/>
        <s v="ORD-2024-140633"/>
        <s v="ORD-2024-153053"/>
        <s v="ORD-2024-155337"/>
        <s v="ORD-2024-164288"/>
        <s v="ORD-2024-165942"/>
        <s v="ORD-2024-166150"/>
        <s v="ORD-2024-167215"/>
        <s v="ORD-2024-170021"/>
        <s v="ORD-2024-170313"/>
        <s v="ORD-2024-192263"/>
        <s v="ORD-2024-197852"/>
        <s v="ORD-2024-201376"/>
        <s v="ORD-2024-202166"/>
        <s v="ORD-2024-202877"/>
        <s v="ORD-2024-206081"/>
        <s v="ORD-2024-206121"/>
        <s v="ORD-2024-206311"/>
        <s v="ORD-2024-207096"/>
        <s v="ORD-2024-207669"/>
        <s v="ORD-2024-207792"/>
        <s v="ORD-2024-210687"/>
        <s v="ORD-2024-211453"/>
        <s v="ORD-2024-212990"/>
        <s v="ORD-2024-215294"/>
        <s v="ORD-2024-219735"/>
        <s v="ORD-2024-220234"/>
        <s v="ORD-2024-223618"/>
        <s v="ORD-2024-225829"/>
        <s v="ORD-2024-232632"/>
        <s v="ORD-2024-237478"/>
        <s v="ORD-2024-243988"/>
        <s v="ORD-2024-247032"/>
        <s v="ORD-2024-247979"/>
        <s v="ORD-2024-250862"/>
        <s v="ORD-2024-251426"/>
        <s v="ORD-2024-257550"/>
        <s v="ORD-2024-260775"/>
        <s v="ORD-2024-266562"/>
        <s v="ORD-2024-275203"/>
        <s v="ORD-2024-277241"/>
        <s v="ORD-2024-281211"/>
        <s v="ORD-2024-286833"/>
        <s v="ORD-2024-287210"/>
        <s v="ORD-2024-289089"/>
        <s v="ORD-2024-296582"/>
        <s v="ORD-2024-301260"/>
        <s v="ORD-2024-307849"/>
        <s v="ORD-2024-310809"/>
        <s v="ORD-2024-320972"/>
        <s v="ORD-2024-329104"/>
        <s v="ORD-2024-331226"/>
        <s v="ORD-2024-331408"/>
        <s v="ORD-2024-332076"/>
        <s v="ORD-2024-333192"/>
        <s v="ORD-2024-336584"/>
        <s v="ORD-2024-341535"/>
        <s v="ORD-2024-343877"/>
        <s v="ORD-2024-347736"/>
        <s v="ORD-2024-350100"/>
        <s v="ORD-2024-353078"/>
        <s v="ORD-2024-355095"/>
        <s v="ORD-2024-356812"/>
        <s v="ORD-2024-357368"/>
        <s v="ORD-2024-358795"/>
        <s v="ORD-2024-364080"/>
        <s v="ORD-2024-366010"/>
        <s v="ORD-2024-371409"/>
        <s v="ORD-2024-375848"/>
        <s v="ORD-2024-381197"/>
        <s v="ORD-2024-382152"/>
        <s v="ORD-2024-389102"/>
        <s v="ORD-2024-389336"/>
        <s v="ORD-2024-390951"/>
        <s v="ORD-2024-398783"/>
        <s v="ORD-2024-402240"/>
        <s v="ORD-2024-403664"/>
        <s v="ORD-2024-419248"/>
        <s v="ORD-2024-423853"/>
        <s v="ORD-2024-427031"/>
        <s v="ORD-2024-433936"/>
        <s v="ORD-2024-437164"/>
        <s v="ORD-2024-438404"/>
        <s v="ORD-2024-442776"/>
        <s v="ORD-2024-444710"/>
        <s v="ORD-2024-446030"/>
        <s v="ORD-2024-446699"/>
        <s v="ORD-2024-451005"/>
        <s v="ORD-2024-465898"/>
        <s v="ORD-2024-468501"/>
        <s v="ORD-2024-468615"/>
        <s v="ORD-2024-468655"/>
        <s v="ORD-2024-474999"/>
        <s v="ORD-2024-478165"/>
        <s v="ORD-2024-496601"/>
        <s v="ORD-2024-499009"/>
        <s v="ORD-2024-500109"/>
        <s v="ORD-2024-500511"/>
        <s v="ORD-2024-500890"/>
        <s v="ORD-2024-503082"/>
        <s v="ORD-2024-508213"/>
        <s v="ORD-2024-510520"/>
        <s v="ORD-2024-510591"/>
        <s v="ORD-2024-515105"/>
        <s v="ORD-2024-516704"/>
        <s v="ORD-2024-527858"/>
        <s v="ORD-2024-532184"/>
        <s v="ORD-2024-536442"/>
        <s v="ORD-2024-542244"/>
        <s v="ORD-2024-544865"/>
        <s v="ORD-2024-548345"/>
        <s v="ORD-2024-550400"/>
        <s v="ORD-2024-553449"/>
        <s v="ORD-2024-555229"/>
        <s v="ORD-2024-566589"/>
        <s v="ORD-2024-567435"/>
        <s v="ORD-2024-569164"/>
        <s v="ORD-2024-571797"/>
        <s v="ORD-2024-572312"/>
        <s v="ORD-2024-578646"/>
        <s v="ORD-2024-580808"/>
        <s v="ORD-2024-581530"/>
        <s v="ORD-2024-584090"/>
        <s v="ORD-2024-585443"/>
        <s v="ORD-2024-588972"/>
        <s v="ORD-2024-589570"/>
        <s v="ORD-2024-594527"/>
        <s v="ORD-2024-594592"/>
        <s v="ORD-2024-599522"/>
        <s v="ORD-2024-604471"/>
        <s v="ORD-2024-605518"/>
        <s v="ORD-2024-605629"/>
        <s v="ORD-2024-626750"/>
        <s v="ORD-2024-626925"/>
        <s v="ORD-2024-629525"/>
        <s v="ORD-2024-635626"/>
        <s v="ORD-2024-638884"/>
        <s v="ORD-2024-640340"/>
        <s v="ORD-2024-641220"/>
        <s v="ORD-2024-647473"/>
        <s v="ORD-2024-647571"/>
        <s v="ORD-2024-651852"/>
        <s v="ORD-2024-655710"/>
        <s v="ORD-2024-664046"/>
        <s v="ORD-2024-668926"/>
        <s v="ORD-2024-678110"/>
        <s v="ORD-2024-686712"/>
        <s v="ORD-2024-687073"/>
        <s v="ORD-2024-687100"/>
        <s v="ORD-2024-689872"/>
        <s v="ORD-2024-690270"/>
        <s v="ORD-2024-692673"/>
        <s v="ORD-2024-704056"/>
        <s v="ORD-2024-713332"/>
        <s v="ORD-2024-719055"/>
        <s v="ORD-2024-720756"/>
        <s v="ORD-2024-728474"/>
        <s v="ORD-2024-732543"/>
        <s v="ORD-2024-741404"/>
        <s v="ORD-2024-745424"/>
        <s v="ORD-2024-745822"/>
        <s v="ORD-2024-749242"/>
        <s v="ORD-2024-756884"/>
        <s v="ORD-2024-760799"/>
        <s v="ORD-2024-764468"/>
        <s v="ORD-2024-766980"/>
        <s v="ORD-2024-771210"/>
        <s v="ORD-2024-776337"/>
        <s v="ORD-2024-777623"/>
        <s v="ORD-2024-783321"/>
        <s v="ORD-2024-787018"/>
        <s v="ORD-2024-788105"/>
        <s v="ORD-2024-792137"/>
        <s v="ORD-2024-792353"/>
        <s v="ORD-2024-792558"/>
        <s v="ORD-2024-798002"/>
        <s v="ORD-2024-800947"/>
        <s v="ORD-2024-805860"/>
        <s v="ORD-2024-811752"/>
        <s v="ORD-2024-817997"/>
        <s v="ORD-2024-819778"/>
        <s v="ORD-2024-819979"/>
        <s v="ORD-2024-833375"/>
        <s v="ORD-2024-834983"/>
        <s v="ORD-2024-836421"/>
        <s v="ORD-2024-837651"/>
        <s v="ORD-2024-838925"/>
        <s v="ORD-2024-851883"/>
        <s v="ORD-2024-851993"/>
        <s v="ORD-2024-853298"/>
        <s v="ORD-2024-855073"/>
        <s v="ORD-2024-855600"/>
        <s v="ORD-2024-862371"/>
        <s v="ORD-2024-866535"/>
        <s v="ORD-2024-868223"/>
        <s v="ORD-2024-872291"/>
        <s v="ORD-2024-878493"/>
        <s v="ORD-2024-885858"/>
        <s v="ORD-2024-886939"/>
        <s v="ORD-2024-890180"/>
        <s v="ORD-2024-892173"/>
        <s v="ORD-2024-892879"/>
        <s v="ORD-2024-892908"/>
        <s v="ORD-2024-897622"/>
        <s v="ORD-2024-901115"/>
        <s v="ORD-2024-902741"/>
        <s v="ORD-2024-906395"/>
        <s v="ORD-2024-907733"/>
        <s v="ORD-2024-909942"/>
        <s v="ORD-2024-915495"/>
        <s v="ORD-2024-919471"/>
        <s v="ORD-2024-921935"/>
        <s v="ORD-2024-925626"/>
        <s v="ORD-2024-930679"/>
        <s v="ORD-2024-939873"/>
        <s v="ORD-2024-942981"/>
        <s v="ORD-2024-947056"/>
        <s v="ORD-2024-948800"/>
        <s v="ORD-2024-960952"/>
        <s v="ORD-2024-961501"/>
        <s v="ORD-2024-961756"/>
        <s v="ORD-2024-964950"/>
        <s v="ORD-2024-966651"/>
        <s v="ORD-2024-968374"/>
        <s v="ORD-2024-970848"/>
        <s v="ORD-2024-972318"/>
        <s v="ORD-2024-972999"/>
        <s v="ORD-2024-973420"/>
        <s v="ORD-2024-979401"/>
        <s v="ORD-2024-988736"/>
        <s v="ORD-2024-993481"/>
        <s v="ORD-2024-997336"/>
        <s v="ORD-2024-998320"/>
        <s v="ORD-2024-999607"/>
        <s v="ORD-2025-114382"/>
        <s v="ORD-2025-125517"/>
        <s v="ORD-2025-132174"/>
        <s v="ORD-2025-137394"/>
        <s v="ORD-2025-138578"/>
        <s v="ORD-2025-146850"/>
        <s v="ORD-2025-149156"/>
        <s v="ORD-2025-150713"/>
        <s v="ORD-2025-155182"/>
        <s v="ORD-2025-168148"/>
        <s v="ORD-2025-169093"/>
        <s v="ORD-2025-177994"/>
        <s v="ORD-2025-184082"/>
        <s v="ORD-2025-184754"/>
        <s v="ORD-2025-188059"/>
        <s v="ORD-2025-189846"/>
        <s v="ORD-2025-191328"/>
        <s v="ORD-2025-192876"/>
        <s v="ORD-2025-222035"/>
        <s v="ORD-2025-231184"/>
        <s v="ORD-2025-233883"/>
        <s v="ORD-2025-244832"/>
        <s v="ORD-2025-246470"/>
        <s v="ORD-2025-246692"/>
        <s v="ORD-2025-248586"/>
        <s v="ORD-2025-252117"/>
        <s v="ORD-2025-254721"/>
        <s v="ORD-2025-262434"/>
        <s v="ORD-2025-262491"/>
        <s v="ORD-2025-269934"/>
        <s v="ORD-2025-276968"/>
        <s v="ORD-2025-278048"/>
        <s v="ORD-2025-281062"/>
        <s v="ORD-2025-281413"/>
        <s v="ORD-2025-289139"/>
        <s v="ORD-2025-306251"/>
        <s v="ORD-2025-306903"/>
        <s v="ORD-2025-312803"/>
        <s v="ORD-2025-323492"/>
        <s v="ORD-2025-328504"/>
        <s v="ORD-2025-330203"/>
        <s v="ORD-2025-331237"/>
        <s v="ORD-2025-332931"/>
        <s v="ORD-2025-337268"/>
        <s v="ORD-2025-354346"/>
        <s v="ORD-2025-364852"/>
        <s v="ORD-2025-398335"/>
        <s v="ORD-2025-411385"/>
        <s v="ORD-2025-415018"/>
        <s v="ORD-2025-417336"/>
        <s v="ORD-2025-417942"/>
        <s v="ORD-2025-418232"/>
        <s v="ORD-2025-419532"/>
        <s v="ORD-2025-440093"/>
        <s v="ORD-2025-460466"/>
        <s v="ORD-2025-473192"/>
        <s v="ORD-2025-474368"/>
        <s v="ORD-2025-474710"/>
        <s v="ORD-2025-480172"/>
        <s v="ORD-2025-484073"/>
        <s v="ORD-2025-485946"/>
        <s v="ORD-2025-486350"/>
        <s v="ORD-2025-487025"/>
        <s v="ORD-2025-487261"/>
        <s v="ORD-2025-488349"/>
        <s v="ORD-2025-496178"/>
        <s v="ORD-2025-501927"/>
        <s v="ORD-2025-509940"/>
        <s v="ORD-2025-512310"/>
        <s v="ORD-2025-515515"/>
        <s v="ORD-2025-526650"/>
        <s v="ORD-2025-526752"/>
        <s v="ORD-2025-532859"/>
        <s v="ORD-2025-537785"/>
        <s v="ORD-2025-541048"/>
        <s v="ORD-2025-541501"/>
        <s v="ORD-2025-542939"/>
        <s v="ORD-2025-548982"/>
        <s v="ORD-2025-564184"/>
        <s v="ORD-2025-578007"/>
        <s v="ORD-2025-580047"/>
        <s v="ORD-2025-586799"/>
        <s v="ORD-2025-588029"/>
        <s v="ORD-2025-591006"/>
        <s v="ORD-2025-608069"/>
        <s v="ORD-2025-624006"/>
        <s v="ORD-2025-626047"/>
        <s v="ORD-2025-629393"/>
        <s v="ORD-2025-635337"/>
        <s v="ORD-2025-636162"/>
        <s v="ORD-2025-639542"/>
        <s v="ORD-2025-640677"/>
        <s v="ORD-2025-646342"/>
        <s v="ORD-2025-649239"/>
        <s v="ORD-2025-649633"/>
        <s v="ORD-2025-650719"/>
        <s v="ORD-2025-650841"/>
        <s v="ORD-2025-652467"/>
        <s v="ORD-2025-653781"/>
        <s v="ORD-2025-659650"/>
        <s v="ORD-2025-662997"/>
        <s v="ORD-2025-667201"/>
        <s v="ORD-2025-673091"/>
        <s v="ORD-2025-677880"/>
        <s v="ORD-2025-678328"/>
        <s v="ORD-2025-678688"/>
        <s v="ORD-2025-680118"/>
        <s v="ORD-2025-683043"/>
        <s v="ORD-2025-683247"/>
        <s v="ORD-2025-685236"/>
        <s v="ORD-2025-698069"/>
        <s v="ORD-2025-700847"/>
        <s v="ORD-2025-703623"/>
        <s v="ORD-2025-705398"/>
        <s v="ORD-2025-718992"/>
        <s v="ORD-2025-725646"/>
        <s v="ORD-2025-728935"/>
        <s v="ORD-2025-737787"/>
        <s v="ORD-2025-745263"/>
        <s v="ORD-2025-752192"/>
        <s v="ORD-2025-752845"/>
        <s v="ORD-2025-757957"/>
        <s v="ORD-2025-762212"/>
        <s v="ORD-2025-762301"/>
        <s v="ORD-2025-765220"/>
        <s v="ORD-2025-766923"/>
        <s v="ORD-2025-778145"/>
        <s v="ORD-2025-779530"/>
        <s v="ORD-2025-779574"/>
        <s v="ORD-2025-779659"/>
        <s v="ORD-2025-789245"/>
        <s v="ORD-2025-795385"/>
        <s v="ORD-2025-803803"/>
        <s v="ORD-2025-820255"/>
        <s v="ORD-2025-822030"/>
        <s v="ORD-2025-823055"/>
        <s v="ORD-2025-828263"/>
        <s v="ORD-2025-831576"/>
        <s v="ORD-2025-840976"/>
        <s v="ORD-2025-843974"/>
        <s v="ORD-2025-845715"/>
        <s v="ORD-2025-856556"/>
        <s v="ORD-2025-861401"/>
        <s v="ORD-2025-863978"/>
        <s v="ORD-2025-866565"/>
        <s v="ORD-2025-874124"/>
        <s v="ORD-2025-881624"/>
        <s v="ORD-2025-898022"/>
        <s v="ORD-2025-898843"/>
        <s v="ORD-2025-907040"/>
        <s v="ORD-2025-908258"/>
        <s v="ORD-2025-909340"/>
        <s v="ORD-2025-915869"/>
        <s v="ORD-2025-922513"/>
        <s v="ORD-2025-926547"/>
        <s v="ORD-2025-929414"/>
        <s v="ORD-2025-931538"/>
        <s v="ORD-2025-939953"/>
        <s v="ORD-2025-944081"/>
        <s v="ORD-2025-946490"/>
        <s v="ORD-2025-947929"/>
        <s v="ORD-2025-949776"/>
        <s v="ORD-2025-956101"/>
        <s v="ORD-2025-960931"/>
        <s v="ORD-2025-964661"/>
        <s v="ORD-2025-983096"/>
        <s v="ORD-2025-993993"/>
        <s v="ORD-2025-997421"/>
      </sharedItems>
    </cacheField>
    <cacheField name="OrderDate" numFmtId="165">
      <sharedItems containsSemiMixedTypes="0" containsNonDate="0" containsDate="1" containsString="0" minDate="2023-01-02T00:00:00" maxDate="2025-09-16T00:00:00" count="468">
        <d v="2023-04-22T00:00:00"/>
        <d v="2023-07-22T00:00:00"/>
        <d v="2023-01-15T00:00:00"/>
        <d v="2023-05-01T00:00:00"/>
        <d v="2023-12-19T00:00:00"/>
        <d v="2023-06-23T00:00:00"/>
        <d v="2023-09-25T00:00:00"/>
        <d v="2023-08-15T00:00:00"/>
        <d v="2023-03-03T00:00:00"/>
        <d v="2023-05-07T00:00:00"/>
        <d v="2023-02-21T00:00:00"/>
        <d v="2023-04-18T00:00:00"/>
        <d v="2023-02-08T00:00:00"/>
        <d v="2023-07-01T00:00:00"/>
        <d v="2023-10-22T00:00:00"/>
        <d v="2023-10-05T00:00:00"/>
        <d v="2023-05-24T00:00:00"/>
        <d v="2023-06-15T00:00:00"/>
        <d v="2023-05-04T00:00:00"/>
        <d v="2023-12-29T00:00:00"/>
        <d v="2023-11-15T00:00:00"/>
        <d v="2023-05-17T00:00:00"/>
        <d v="2023-11-30T00:00:00"/>
        <d v="2023-09-14T00:00:00"/>
        <d v="2023-08-08T00:00:00"/>
        <d v="2023-12-21T00:00:00"/>
        <d v="2023-10-30T00:00:00"/>
        <d v="2023-12-02T00:00:00"/>
        <d v="2023-08-30T00:00:00"/>
        <d v="2023-12-03T00:00:00"/>
        <d v="2023-03-25T00:00:00"/>
        <d v="2023-08-29T00:00:00"/>
        <d v="2023-06-03T00:00:00"/>
        <d v="2023-12-22T00:00:00"/>
        <d v="2023-05-11T00:00:00"/>
        <d v="2023-08-03T00:00:00"/>
        <d v="2023-04-19T00:00:00"/>
        <d v="2023-06-29T00:00:00"/>
        <d v="2023-07-24T00:00:00"/>
        <d v="2023-02-07T00:00:00"/>
        <d v="2023-03-04T00:00:00"/>
        <d v="2023-03-13T00:00:00"/>
        <d v="2023-07-08T00:00:00"/>
        <d v="2023-02-24T00:00:00"/>
        <d v="2023-07-30T00:00:00"/>
        <d v="2023-06-14T00:00:00"/>
        <d v="2023-07-10T00:00:00"/>
        <d v="2023-04-10T00:00:00"/>
        <d v="2023-10-04T00:00:00"/>
        <d v="2023-10-07T00:00:00"/>
        <d v="2023-07-05T00:00:00"/>
        <d v="2023-08-19T00:00:00"/>
        <d v="2023-04-26T00:00:00"/>
        <d v="2023-06-01T00:00:00"/>
        <d v="2023-04-13T00:00:00"/>
        <d v="2023-05-06T00:00:00"/>
        <d v="2023-10-09T00:00:00"/>
        <d v="2023-07-18T00:00:00"/>
        <d v="2023-02-28T00:00:00"/>
        <d v="2023-06-24T00:00:00"/>
        <d v="2023-08-23T00:00:00"/>
        <d v="2023-10-18T00:00:00"/>
        <d v="2023-05-03T00:00:00"/>
        <d v="2023-01-13T00:00:00"/>
        <d v="2023-05-20T00:00:00"/>
        <d v="2023-06-05T00:00:00"/>
        <d v="2023-06-22T00:00:00"/>
        <d v="2023-10-25T00:00:00"/>
        <d v="2023-03-31T00:00:00"/>
        <d v="2023-06-09T00:00:00"/>
        <d v="2023-01-27T00:00:00"/>
        <d v="2023-12-20T00:00:00"/>
        <d v="2023-06-20T00:00:00"/>
        <d v="2023-09-21T00:00:00"/>
        <d v="2023-11-19T00:00:00"/>
        <d v="2023-05-10T00:00:00"/>
        <d v="2023-07-14T00:00:00"/>
        <d v="2023-02-15T00:00:00"/>
        <d v="2023-09-08T00:00:00"/>
        <d v="2023-07-03T00:00:00"/>
        <d v="2023-09-19T00:00:00"/>
        <d v="2023-05-27T00:00:00"/>
        <d v="2023-01-22T00:00:00"/>
        <d v="2023-01-29T00:00:00"/>
        <d v="2023-08-17T00:00:00"/>
        <d v="2023-06-10T00:00:00"/>
        <d v="2023-07-09T00:00:00"/>
        <d v="2023-04-06T00:00:00"/>
        <d v="2023-03-19T00:00:00"/>
        <d v="2023-09-17T00:00:00"/>
        <d v="2023-02-23T00:00:00"/>
        <d v="2023-09-30T00:00:00"/>
        <d v="2023-07-16T00:00:00"/>
        <d v="2023-12-01T00:00:00"/>
        <d v="2023-05-02T00:00:00"/>
        <d v="2023-01-30T00:00:00"/>
        <d v="2023-12-24T00:00:00"/>
        <d v="2023-12-05T00:00:00"/>
        <d v="2023-01-20T00:00:00"/>
        <d v="2023-05-23T00:00:00"/>
        <d v="2023-12-07T00:00:00"/>
        <d v="2023-08-21T00:00:00"/>
        <d v="2023-04-16T00:00:00"/>
        <d v="2023-02-27T00:00:00"/>
        <d v="2023-11-14T00:00:00"/>
        <d v="2023-07-07T00:00:00"/>
        <d v="2023-10-12T00:00:00"/>
        <d v="2023-08-04T00:00:00"/>
        <d v="2023-08-24T00:00:00"/>
        <d v="2023-06-17T00:00:00"/>
        <d v="2023-11-10T00:00:00"/>
        <d v="2023-10-21T00:00:00"/>
        <d v="2023-07-25T00:00:00"/>
        <d v="2023-08-27T00:00:00"/>
        <d v="2023-12-16T00:00:00"/>
        <d v="2023-01-07T00:00:00"/>
        <d v="2023-01-12T00:00:00"/>
        <d v="2023-04-14T00:00:00"/>
        <d v="2023-08-26T00:00:00"/>
        <d v="2023-08-02T00:00:00"/>
        <d v="2023-09-18T00:00:00"/>
        <d v="2023-01-02T00:00:00"/>
        <d v="2023-04-03T00:00:00"/>
        <d v="2023-12-18T00:00:00"/>
        <d v="2023-08-25T00:00:00"/>
        <d v="2023-04-21T00:00:00"/>
        <d v="2023-06-13T00:00:00"/>
        <d v="2023-01-19T00:00:00"/>
        <d v="2023-03-14T00:00:00"/>
        <d v="2023-12-30T00:00:00"/>
        <d v="2023-01-26T00:00:00"/>
        <d v="2023-12-26T00:00:00"/>
        <d v="2023-12-06T00:00:00"/>
        <d v="2023-07-19T00:00:00"/>
        <d v="2023-03-23T00:00:00"/>
        <d v="2023-10-26T00:00:00"/>
        <d v="2023-10-31T00:00:00"/>
        <d v="2023-09-20T00:00:00"/>
        <d v="2023-02-20T00:00:00"/>
        <d v="2023-03-06T00:00:00"/>
        <d v="2023-02-05T00:00:00"/>
        <d v="2023-03-27T00:00:00"/>
        <d v="2023-08-10T00:00:00"/>
        <d v="2023-04-12T00:00:00"/>
        <d v="2023-03-02T00:00:00"/>
        <d v="2023-08-12T00:00:00"/>
        <d v="2023-01-10T00:00:00"/>
        <d v="2023-02-19T00:00:00"/>
        <d v="2023-10-11T00:00:00"/>
        <d v="2023-07-26T00:00:00"/>
        <d v="2023-07-02T00:00:00"/>
        <d v="2023-10-15T00:00:00"/>
        <d v="2023-05-29T00:00:00"/>
        <d v="2023-05-14T00:00:00"/>
        <d v="2023-03-17T00:00:00"/>
        <d v="2023-04-23T00:00:00"/>
        <d v="2023-03-07T00:00:00"/>
        <d v="2023-02-11T00:00:00"/>
        <d v="2023-11-28T00:00:00"/>
        <d v="2023-12-28T00:00:00"/>
        <d v="2023-11-20T00:00:00"/>
        <d v="2023-04-05T00:00:00"/>
        <d v="2024-12-12T00:00:00"/>
        <d v="2024-01-02T00:00:00"/>
        <d v="2024-02-18T00:00:00"/>
        <d v="2024-06-04T00:00:00"/>
        <d v="2024-08-07T00:00:00"/>
        <d v="2024-12-07T00:00:00"/>
        <d v="2024-01-12T00:00:00"/>
        <d v="2024-05-21T00:00:00"/>
        <d v="2024-12-21T00:00:00"/>
        <d v="2024-12-29T00:00:00"/>
        <d v="2024-06-02T00:00:00"/>
        <d v="2024-08-23T00:00:00"/>
        <d v="2024-11-05T00:00:00"/>
        <d v="2024-12-27T00:00:00"/>
        <d v="2024-11-21T00:00:00"/>
        <d v="2024-02-29T00:00:00"/>
        <d v="2024-05-05T00:00:00"/>
        <d v="2024-07-13T00:00:00"/>
        <d v="2024-12-10T00:00:00"/>
        <d v="2024-01-13T00:00:00"/>
        <d v="2024-03-26T00:00:00"/>
        <d v="2024-01-24T00:00:00"/>
        <d v="2024-09-03T00:00:00"/>
        <d v="2024-01-28T00:00:00"/>
        <d v="2024-04-04T00:00:00"/>
        <d v="2024-08-12T00:00:00"/>
        <d v="2024-06-30T00:00:00"/>
        <d v="2024-04-03T00:00:00"/>
        <d v="2024-03-15T00:00:00"/>
        <d v="2024-06-10T00:00:00"/>
        <d v="2024-11-07T00:00:00"/>
        <d v="2024-02-14T00:00:00"/>
        <d v="2024-10-03T00:00:00"/>
        <d v="2024-03-13T00:00:00"/>
        <d v="2024-04-21T00:00:00"/>
        <d v="2024-11-02T00:00:00"/>
        <d v="2024-10-25T00:00:00"/>
        <d v="2024-03-09T00:00:00"/>
        <d v="2024-10-17T00:00:00"/>
        <d v="2024-11-27T00:00:00"/>
        <d v="2024-03-11T00:00:00"/>
        <d v="2024-01-11T00:00:00"/>
        <d v="2024-08-14T00:00:00"/>
        <d v="2024-03-18T00:00:00"/>
        <d v="2024-12-17T00:00:00"/>
        <d v="2024-07-29T00:00:00"/>
        <d v="2024-08-10T00:00:00"/>
        <d v="2024-04-05T00:00:00"/>
        <d v="2024-11-08T00:00:00"/>
        <d v="2024-05-23T00:00:00"/>
        <d v="2024-11-30T00:00:00"/>
        <d v="2024-02-01T00:00:00"/>
        <d v="2024-04-09T00:00:00"/>
        <d v="2024-10-29T00:00:00"/>
        <d v="2024-06-25T00:00:00"/>
        <d v="2024-05-22T00:00:00"/>
        <d v="2024-10-27T00:00:00"/>
        <d v="2024-08-16T00:00:00"/>
        <d v="2024-03-07T00:00:00"/>
        <d v="2024-10-30T00:00:00"/>
        <d v="2024-10-23T00:00:00"/>
        <d v="2024-04-16T00:00:00"/>
        <d v="2024-11-17T00:00:00"/>
        <d v="2024-05-18T00:00:00"/>
        <d v="2024-11-01T00:00:00"/>
        <d v="2024-12-08T00:00:00"/>
        <d v="2024-06-15T00:00:00"/>
        <d v="2024-05-20T00:00:00"/>
        <d v="2024-12-20T00:00:00"/>
        <d v="2024-07-18T00:00:00"/>
        <d v="2024-05-01T00:00:00"/>
        <d v="2024-03-04T00:00:00"/>
        <d v="2024-06-08T00:00:00"/>
        <d v="2024-08-04T00:00:00"/>
        <d v="2024-02-20T00:00:00"/>
        <d v="2024-09-23T00:00:00"/>
        <d v="2024-09-22T00:00:00"/>
        <d v="2024-03-23T00:00:00"/>
        <d v="2024-08-28T00:00:00"/>
        <d v="2024-06-06T00:00:00"/>
        <d v="2024-11-06T00:00:00"/>
        <d v="2024-07-09T00:00:00"/>
        <d v="2024-02-19T00:00:00"/>
        <d v="2024-12-05T00:00:00"/>
        <d v="2024-11-11T00:00:00"/>
        <d v="2024-01-25T00:00:00"/>
        <d v="2024-10-08T00:00:00"/>
        <d v="2024-09-09T00:00:00"/>
        <d v="2024-05-19T00:00:00"/>
        <d v="2024-11-22T00:00:00"/>
        <d v="2024-09-25T00:00:00"/>
        <d v="2024-02-27T00:00:00"/>
        <d v="2024-03-01T00:00:00"/>
        <d v="2024-05-07T00:00:00"/>
        <d v="2024-08-31T00:00:00"/>
        <d v="2024-08-30T00:00:00"/>
        <d v="2024-02-16T00:00:00"/>
        <d v="2024-05-14T00:00:00"/>
        <d v="2024-08-19T00:00:00"/>
        <d v="2024-08-27T00:00:00"/>
        <d v="2024-06-11T00:00:00"/>
        <d v="2024-04-26T00:00:00"/>
        <d v="2024-09-05T00:00:00"/>
        <d v="2024-07-11T00:00:00"/>
        <d v="2024-06-16T00:00:00"/>
        <d v="2024-05-27T00:00:00"/>
        <d v="2024-09-07T00:00:00"/>
        <d v="2024-06-07T00:00:00"/>
        <d v="2024-08-17T00:00:00"/>
        <d v="2024-05-04T00:00:00"/>
        <d v="2024-09-06T00:00:00"/>
        <d v="2024-04-06T00:00:00"/>
        <d v="2024-04-19T00:00:00"/>
        <d v="2024-01-21T00:00:00"/>
        <d v="2024-05-30T00:00:00"/>
        <d v="2024-07-15T00:00:00"/>
        <d v="2024-04-18T00:00:00"/>
        <d v="2024-05-28T00:00:00"/>
        <d v="2024-10-22T00:00:00"/>
        <d v="2024-05-10T00:00:00"/>
        <d v="2024-02-17T00:00:00"/>
        <d v="2024-02-06T00:00:00"/>
        <d v="2024-12-28T00:00:00"/>
        <d v="2024-09-02T00:00:00"/>
        <d v="2024-07-24T00:00:00"/>
        <d v="2024-10-02T00:00:00"/>
        <d v="2024-09-10T00:00:00"/>
        <d v="2024-08-03T00:00:00"/>
        <d v="2024-05-17T00:00:00"/>
        <d v="2024-06-23T00:00:00"/>
        <d v="2024-06-05T00:00:00"/>
        <d v="2024-10-11T00:00:00"/>
        <d v="2024-10-24T00:00:00"/>
        <d v="2024-10-19T00:00:00"/>
        <d v="2024-08-22T00:00:00"/>
        <d v="2024-03-31T00:00:00"/>
        <d v="2024-01-16T00:00:00"/>
        <d v="2024-10-13T00:00:00"/>
        <d v="2024-02-03T00:00:00"/>
        <d v="2024-11-04T00:00:00"/>
        <d v="2024-09-14T00:00:00"/>
        <d v="2024-11-12T00:00:00"/>
        <d v="2024-09-19T00:00:00"/>
        <d v="2024-11-20T00:00:00"/>
        <d v="2024-03-02T00:00:00"/>
        <d v="2024-10-16T00:00:00"/>
        <d v="2024-07-25T00:00:00"/>
        <d v="2024-12-15T00:00:00"/>
        <d v="2024-09-13T00:00:00"/>
        <d v="2024-02-25T00:00:00"/>
        <d v="2024-07-28T00:00:00"/>
        <d v="2024-04-24T00:00:00"/>
        <d v="2024-03-16T00:00:00"/>
        <d v="2024-12-14T00:00:00"/>
        <d v="2024-03-06T00:00:00"/>
        <d v="2024-07-19T00:00:00"/>
        <d v="2024-04-29T00:00:00"/>
        <d v="2024-12-04T00:00:00"/>
        <d v="2024-03-03T00:00:00"/>
        <d v="2024-01-08T00:00:00"/>
        <d v="2024-06-19T00:00:00"/>
        <d v="2024-01-10T00:00:00"/>
        <d v="2024-06-03T00:00:00"/>
        <d v="2024-01-20T00:00:00"/>
        <d v="2024-01-18T00:00:00"/>
        <d v="2024-03-30T00:00:00"/>
        <d v="2024-12-23T00:00:00"/>
        <d v="2024-03-10T00:00:00"/>
        <d v="2024-06-09T00:00:00"/>
        <d v="2024-08-08T00:00:00"/>
        <d v="2024-06-29T00:00:00"/>
        <d v="2024-01-01T00:00:00"/>
        <d v="2024-04-12T00:00:00"/>
        <d v="2024-10-09T00:00:00"/>
        <d v="2024-07-31T00:00:00"/>
        <d v="2024-03-27T00:00:00"/>
        <d v="2024-11-25T00:00:00"/>
        <d v="2024-10-10T00:00:00"/>
        <d v="2024-10-14T00:00:00"/>
        <d v="2024-02-11T00:00:00"/>
        <d v="2024-12-24T00:00:00"/>
        <d v="2024-05-12T00:00:00"/>
        <d v="2024-02-08T00:00:00"/>
        <d v="2024-08-18T00:00:00"/>
        <d v="2024-10-04T00:00:00"/>
        <d v="2025-05-14T00:00:00"/>
        <d v="2025-03-21T00:00:00"/>
        <d v="2025-07-17T00:00:00"/>
        <d v="2025-01-04T00:00:00"/>
        <d v="2025-04-09T00:00:00"/>
        <d v="2025-01-21T00:00:00"/>
        <d v="2025-01-10T00:00:00"/>
        <d v="2025-07-11T00:00:00"/>
        <d v="2025-03-29T00:00:00"/>
        <d v="2025-04-13T00:00:00"/>
        <d v="2025-03-24T00:00:00"/>
        <d v="2025-06-19T00:00:00"/>
        <d v="2025-06-27T00:00:00"/>
        <d v="2025-08-11T00:00:00"/>
        <d v="2025-05-10T00:00:00"/>
        <d v="2025-01-31T00:00:00"/>
        <d v="2025-03-14T00:00:00"/>
        <d v="2025-06-01T00:00:00"/>
        <d v="2025-09-08T00:00:00"/>
        <d v="2025-09-11T00:00:00"/>
        <d v="2025-04-16T00:00:00"/>
        <d v="2025-04-17T00:00:00"/>
        <d v="2025-09-12T00:00:00"/>
        <d v="2025-04-28T00:00:00"/>
        <d v="2025-05-15T00:00:00"/>
        <d v="2025-08-01T00:00:00"/>
        <d v="2025-04-04T00:00:00"/>
        <d v="2025-02-25T00:00:00"/>
        <d v="2025-06-22T00:00:00"/>
        <d v="2025-02-15T00:00:00"/>
        <d v="2025-08-03T00:00:00"/>
        <d v="2025-08-10T00:00:00"/>
        <d v="2025-04-10T00:00:00"/>
        <d v="2025-06-24T00:00:00"/>
        <d v="2025-04-27T00:00:00"/>
        <d v="2025-01-27T00:00:00"/>
        <d v="2025-03-25T00:00:00"/>
        <d v="2025-02-16T00:00:00"/>
        <d v="2025-01-09T00:00:00"/>
        <d v="2025-05-18T00:00:00"/>
        <d v="2025-06-05T00:00:00"/>
        <d v="2025-01-22T00:00:00"/>
        <d v="2025-08-30T00:00:00"/>
        <d v="2025-06-09T00:00:00"/>
        <d v="2025-08-06T00:00:00"/>
        <d v="2025-02-07T00:00:00"/>
        <d v="2025-03-30T00:00:00"/>
        <d v="2025-07-24T00:00:00"/>
        <d v="2025-06-17T00:00:00"/>
        <d v="2025-02-19T00:00:00"/>
        <d v="2025-06-15T00:00:00"/>
        <d v="2025-05-27T00:00:00"/>
        <d v="2025-04-11T00:00:00"/>
        <d v="2025-03-06T00:00:00"/>
        <d v="2025-04-23T00:00:00"/>
        <d v="2025-07-27T00:00:00"/>
        <d v="2025-03-03T00:00:00"/>
        <d v="2025-05-16T00:00:00"/>
        <d v="2025-03-08T00:00:00"/>
        <d v="2025-01-03T00:00:00"/>
        <d v="2025-03-11T00:00:00"/>
        <d v="2025-08-05T00:00:00"/>
        <d v="2025-07-22T00:00:00"/>
        <d v="2025-01-13T00:00:00"/>
        <d v="2025-04-07T00:00:00"/>
        <d v="2025-01-29T00:00:00"/>
        <d v="2025-06-14T00:00:00"/>
        <d v="2025-07-14T00:00:00"/>
        <d v="2025-09-14T00:00:00"/>
        <d v="2025-06-25T00:00:00"/>
        <d v="2025-04-12T00:00:00"/>
        <d v="2025-03-15T00:00:00"/>
        <d v="2025-07-21T00:00:00"/>
        <d v="2025-01-07T00:00:00"/>
        <d v="2025-08-02T00:00:00"/>
        <d v="2025-01-17T00:00:00"/>
        <d v="2025-07-19T00:00:00"/>
        <d v="2025-02-12T00:00:00"/>
        <d v="2025-07-03T00:00:00"/>
        <d v="2025-08-21T00:00:00"/>
        <d v="2025-01-11T00:00:00"/>
        <d v="2025-02-04T00:00:00"/>
        <d v="2025-03-31T00:00:00"/>
        <d v="2025-09-15T00:00:00"/>
        <d v="2025-05-07T00:00:00"/>
        <d v="2025-07-16T00:00:00"/>
        <d v="2025-03-10T00:00:00"/>
        <d v="2025-08-13T00:00:00"/>
        <d v="2025-06-03T00:00:00"/>
        <d v="2025-05-21T00:00:00"/>
        <d v="2025-07-23T00:00:00"/>
        <d v="2025-02-17T00:00:00"/>
        <d v="2025-09-10T00:00:00"/>
        <d v="2025-02-28T00:00:00"/>
        <d v="2025-04-24T00:00:00"/>
        <d v="2025-08-25T00:00:00"/>
        <d v="2025-05-02T00:00:00"/>
        <d v="2025-04-06T00:00:00"/>
        <d v="2025-04-22T00:00:00"/>
        <d v="2025-05-19T00:00:00"/>
        <d v="2025-08-28T00:00:00"/>
        <d v="2025-05-29T00:00:00"/>
        <d v="2025-08-07T00:00:00"/>
        <d v="2025-05-17T00:00:00"/>
        <d v="2025-09-01T00:00:00"/>
        <d v="2025-07-20T00:00:00"/>
        <d v="2025-04-14T00:00:00"/>
        <d v="2025-04-01T00:00:00"/>
        <d v="2025-05-12T00:00:00"/>
        <d v="2025-02-21T00:00:00"/>
        <d v="2025-09-02T00:00:00"/>
        <d v="2025-02-02T00:00:00"/>
        <d v="2025-06-21T00:00:00"/>
        <d v="2025-01-20T00:00:00"/>
        <d v="2025-02-06T00:00:00"/>
        <d v="2025-06-26T00:00:00"/>
        <d v="2025-02-09T00:00:00"/>
        <d v="2025-03-23T00:00:00"/>
        <d v="2025-08-14T00:00:00"/>
        <d v="2025-07-09T00:00:00"/>
        <d v="2025-08-20T00:00:00"/>
      </sharedItems>
      <fieldGroup par="34"/>
    </cacheField>
    <cacheField name="StarndardizedDate" numFmtId="167">
      <sharedItems containsSemiMixedTypes="0" containsNonDate="0" containsDate="1" containsString="0" minDate="2023-01-02T00:00:00" maxDate="2025-09-16T00:00:00" count="468">
        <d v="2023-04-22T00:00:00"/>
        <d v="2023-07-22T00:00:00"/>
        <d v="2023-01-15T00:00:00"/>
        <d v="2023-05-01T00:00:00"/>
        <d v="2023-12-19T00:00:00"/>
        <d v="2023-06-23T00:00:00"/>
        <d v="2023-09-25T00:00:00"/>
        <d v="2023-08-15T00:00:00"/>
        <d v="2023-03-03T00:00:00"/>
        <d v="2023-05-07T00:00:00"/>
        <d v="2023-02-21T00:00:00"/>
        <d v="2023-04-18T00:00:00"/>
        <d v="2023-02-08T00:00:00"/>
        <d v="2023-07-01T00:00:00"/>
        <d v="2023-10-22T00:00:00"/>
        <d v="2023-10-05T00:00:00"/>
        <d v="2023-05-24T00:00:00"/>
        <d v="2023-06-15T00:00:00"/>
        <d v="2023-05-04T00:00:00"/>
        <d v="2023-12-29T00:00:00"/>
        <d v="2023-11-15T00:00:00"/>
        <d v="2023-05-17T00:00:00"/>
        <d v="2023-11-30T00:00:00"/>
        <d v="2023-09-14T00:00:00"/>
        <d v="2023-08-08T00:00:00"/>
        <d v="2023-12-21T00:00:00"/>
        <d v="2023-10-30T00:00:00"/>
        <d v="2023-12-02T00:00:00"/>
        <d v="2023-08-30T00:00:00"/>
        <d v="2023-12-03T00:00:00"/>
        <d v="2023-03-25T00:00:00"/>
        <d v="2023-08-29T00:00:00"/>
        <d v="2023-06-03T00:00:00"/>
        <d v="2023-12-22T00:00:00"/>
        <d v="2023-05-11T00:00:00"/>
        <d v="2023-08-03T00:00:00"/>
        <d v="2023-04-19T00:00:00"/>
        <d v="2023-06-29T00:00:00"/>
        <d v="2023-07-24T00:00:00"/>
        <d v="2023-02-07T00:00:00"/>
        <d v="2023-03-04T00:00:00"/>
        <d v="2023-03-13T00:00:00"/>
        <d v="2023-07-08T00:00:00"/>
        <d v="2023-02-24T00:00:00"/>
        <d v="2023-07-30T00:00:00"/>
        <d v="2023-06-14T00:00:00"/>
        <d v="2023-07-10T00:00:00"/>
        <d v="2023-04-10T00:00:00"/>
        <d v="2023-10-04T00:00:00"/>
        <d v="2023-10-07T00:00:00"/>
        <d v="2023-07-05T00:00:00"/>
        <d v="2023-08-19T00:00:00"/>
        <d v="2023-04-26T00:00:00"/>
        <d v="2023-06-01T00:00:00"/>
        <d v="2023-04-13T00:00:00"/>
        <d v="2023-05-06T00:00:00"/>
        <d v="2023-10-09T00:00:00"/>
        <d v="2023-07-18T00:00:00"/>
        <d v="2023-02-28T00:00:00"/>
        <d v="2023-06-24T00:00:00"/>
        <d v="2023-08-23T00:00:00"/>
        <d v="2023-10-18T00:00:00"/>
        <d v="2023-05-03T00:00:00"/>
        <d v="2023-01-13T00:00:00"/>
        <d v="2023-05-20T00:00:00"/>
        <d v="2023-06-05T00:00:00"/>
        <d v="2023-06-22T00:00:00"/>
        <d v="2023-10-25T00:00:00"/>
        <d v="2023-03-31T00:00:00"/>
        <d v="2023-06-09T00:00:00"/>
        <d v="2023-01-27T00:00:00"/>
        <d v="2023-12-20T00:00:00"/>
        <d v="2023-06-20T00:00:00"/>
        <d v="2023-09-21T00:00:00"/>
        <d v="2023-11-19T00:00:00"/>
        <d v="2023-05-10T00:00:00"/>
        <d v="2023-07-14T00:00:00"/>
        <d v="2023-02-15T00:00:00"/>
        <d v="2023-09-08T00:00:00"/>
        <d v="2023-07-03T00:00:00"/>
        <d v="2023-09-19T00:00:00"/>
        <d v="2023-05-27T00:00:00"/>
        <d v="2023-01-22T00:00:00"/>
        <d v="2023-01-29T00:00:00"/>
        <d v="2023-08-17T00:00:00"/>
        <d v="2023-06-10T00:00:00"/>
        <d v="2023-07-09T00:00:00"/>
        <d v="2023-04-06T00:00:00"/>
        <d v="2023-03-19T00:00:00"/>
        <d v="2023-09-17T00:00:00"/>
        <d v="2023-02-23T00:00:00"/>
        <d v="2023-09-30T00:00:00"/>
        <d v="2023-07-16T00:00:00"/>
        <d v="2023-12-01T00:00:00"/>
        <d v="2023-05-02T00:00:00"/>
        <d v="2023-01-30T00:00:00"/>
        <d v="2023-12-24T00:00:00"/>
        <d v="2023-12-05T00:00:00"/>
        <d v="2023-01-20T00:00:00"/>
        <d v="2023-05-23T00:00:00"/>
        <d v="2023-12-07T00:00:00"/>
        <d v="2023-08-21T00:00:00"/>
        <d v="2023-04-16T00:00:00"/>
        <d v="2023-02-27T00:00:00"/>
        <d v="2023-11-14T00:00:00"/>
        <d v="2023-07-07T00:00:00"/>
        <d v="2023-10-12T00:00:00"/>
        <d v="2023-08-04T00:00:00"/>
        <d v="2023-08-24T00:00:00"/>
        <d v="2023-06-17T00:00:00"/>
        <d v="2023-11-10T00:00:00"/>
        <d v="2023-10-21T00:00:00"/>
        <d v="2023-07-25T00:00:00"/>
        <d v="2023-08-27T00:00:00"/>
        <d v="2023-12-16T00:00:00"/>
        <d v="2023-01-07T00:00:00"/>
        <d v="2023-01-12T00:00:00"/>
        <d v="2023-04-14T00:00:00"/>
        <d v="2023-08-26T00:00:00"/>
        <d v="2023-08-02T00:00:00"/>
        <d v="2023-09-18T00:00:00"/>
        <d v="2023-01-02T00:00:00"/>
        <d v="2023-04-03T00:00:00"/>
        <d v="2023-12-18T00:00:00"/>
        <d v="2023-08-25T00:00:00"/>
        <d v="2023-04-21T00:00:00"/>
        <d v="2023-06-13T00:00:00"/>
        <d v="2023-01-19T00:00:00"/>
        <d v="2023-03-14T00:00:00"/>
        <d v="2023-12-30T00:00:00"/>
        <d v="2023-01-26T00:00:00"/>
        <d v="2023-12-26T00:00:00"/>
        <d v="2023-12-06T00:00:00"/>
        <d v="2023-07-19T00:00:00"/>
        <d v="2023-03-23T00:00:00"/>
        <d v="2023-10-26T00:00:00"/>
        <d v="2023-10-31T00:00:00"/>
        <d v="2023-09-20T00:00:00"/>
        <d v="2023-02-20T00:00:00"/>
        <d v="2023-03-06T00:00:00"/>
        <d v="2023-02-05T00:00:00"/>
        <d v="2023-03-27T00:00:00"/>
        <d v="2023-08-10T00:00:00"/>
        <d v="2023-04-12T00:00:00"/>
        <d v="2023-03-02T00:00:00"/>
        <d v="2023-08-12T00:00:00"/>
        <d v="2023-01-10T00:00:00"/>
        <d v="2023-02-19T00:00:00"/>
        <d v="2023-10-11T00:00:00"/>
        <d v="2023-07-26T00:00:00"/>
        <d v="2023-07-02T00:00:00"/>
        <d v="2023-10-15T00:00:00"/>
        <d v="2023-05-29T00:00:00"/>
        <d v="2023-05-14T00:00:00"/>
        <d v="2023-03-17T00:00:00"/>
        <d v="2023-04-23T00:00:00"/>
        <d v="2023-03-07T00:00:00"/>
        <d v="2023-02-11T00:00:00"/>
        <d v="2023-11-28T00:00:00"/>
        <d v="2023-12-28T00:00:00"/>
        <d v="2023-11-20T00:00:00"/>
        <d v="2023-04-05T00:00:00"/>
        <d v="2024-12-12T00:00:00"/>
        <d v="2024-01-02T00:00:00"/>
        <d v="2024-02-18T00:00:00"/>
        <d v="2024-06-04T00:00:00"/>
        <d v="2024-08-07T00:00:00"/>
        <d v="2024-12-07T00:00:00"/>
        <d v="2024-01-12T00:00:00"/>
        <d v="2024-05-21T00:00:00"/>
        <d v="2024-12-21T00:00:00"/>
        <d v="2024-12-29T00:00:00"/>
        <d v="2024-06-02T00:00:00"/>
        <d v="2024-08-23T00:00:00"/>
        <d v="2024-11-05T00:00:00"/>
        <d v="2024-12-27T00:00:00"/>
        <d v="2024-11-21T00:00:00"/>
        <d v="2024-02-29T00:00:00"/>
        <d v="2024-05-05T00:00:00"/>
        <d v="2024-07-13T00:00:00"/>
        <d v="2024-12-10T00:00:00"/>
        <d v="2024-01-13T00:00:00"/>
        <d v="2024-03-26T00:00:00"/>
        <d v="2024-01-24T00:00:00"/>
        <d v="2024-09-03T00:00:00"/>
        <d v="2024-01-28T00:00:00"/>
        <d v="2024-04-04T00:00:00"/>
        <d v="2024-08-12T00:00:00"/>
        <d v="2024-06-30T00:00:00"/>
        <d v="2024-04-03T00:00:00"/>
        <d v="2024-03-15T00:00:00"/>
        <d v="2024-06-10T00:00:00"/>
        <d v="2024-11-07T00:00:00"/>
        <d v="2024-02-14T00:00:00"/>
        <d v="2024-10-03T00:00:00"/>
        <d v="2024-03-13T00:00:00"/>
        <d v="2024-04-21T00:00:00"/>
        <d v="2024-11-02T00:00:00"/>
        <d v="2024-10-25T00:00:00"/>
        <d v="2024-03-09T00:00:00"/>
        <d v="2024-10-17T00:00:00"/>
        <d v="2024-11-27T00:00:00"/>
        <d v="2024-03-11T00:00:00"/>
        <d v="2024-01-11T00:00:00"/>
        <d v="2024-08-14T00:00:00"/>
        <d v="2024-03-18T00:00:00"/>
        <d v="2024-12-17T00:00:00"/>
        <d v="2024-07-29T00:00:00"/>
        <d v="2024-08-10T00:00:00"/>
        <d v="2024-04-05T00:00:00"/>
        <d v="2024-11-08T00:00:00"/>
        <d v="2024-05-23T00:00:00"/>
        <d v="2024-11-30T00:00:00"/>
        <d v="2024-02-01T00:00:00"/>
        <d v="2024-04-09T00:00:00"/>
        <d v="2024-10-29T00:00:00"/>
        <d v="2024-06-25T00:00:00"/>
        <d v="2024-05-22T00:00:00"/>
        <d v="2024-10-27T00:00:00"/>
        <d v="2024-08-16T00:00:00"/>
        <d v="2024-03-07T00:00:00"/>
        <d v="2024-10-30T00:00:00"/>
        <d v="2024-10-23T00:00:00"/>
        <d v="2024-04-16T00:00:00"/>
        <d v="2024-11-17T00:00:00"/>
        <d v="2024-05-18T00:00:00"/>
        <d v="2024-11-01T00:00:00"/>
        <d v="2024-12-08T00:00:00"/>
        <d v="2024-06-15T00:00:00"/>
        <d v="2024-05-20T00:00:00"/>
        <d v="2024-12-20T00:00:00"/>
        <d v="2024-07-18T00:00:00"/>
        <d v="2024-05-01T00:00:00"/>
        <d v="2024-03-04T00:00:00"/>
        <d v="2024-06-08T00:00:00"/>
        <d v="2024-08-04T00:00:00"/>
        <d v="2024-02-20T00:00:00"/>
        <d v="2024-09-23T00:00:00"/>
        <d v="2024-09-22T00:00:00"/>
        <d v="2024-03-23T00:00:00"/>
        <d v="2024-08-28T00:00:00"/>
        <d v="2024-06-06T00:00:00"/>
        <d v="2024-11-06T00:00:00"/>
        <d v="2024-07-09T00:00:00"/>
        <d v="2024-02-19T00:00:00"/>
        <d v="2024-12-05T00:00:00"/>
        <d v="2024-11-11T00:00:00"/>
        <d v="2024-01-25T00:00:00"/>
        <d v="2024-10-08T00:00:00"/>
        <d v="2024-09-09T00:00:00"/>
        <d v="2024-05-19T00:00:00"/>
        <d v="2024-11-22T00:00:00"/>
        <d v="2024-09-25T00:00:00"/>
        <d v="2024-02-27T00:00:00"/>
        <d v="2024-03-01T00:00:00"/>
        <d v="2024-05-07T00:00:00"/>
        <d v="2024-08-31T00:00:00"/>
        <d v="2024-08-30T00:00:00"/>
        <d v="2024-02-16T00:00:00"/>
        <d v="2024-05-14T00:00:00"/>
        <d v="2024-08-19T00:00:00"/>
        <d v="2024-08-27T00:00:00"/>
        <d v="2024-06-11T00:00:00"/>
        <d v="2024-04-26T00:00:00"/>
        <d v="2024-09-05T00:00:00"/>
        <d v="2024-07-11T00:00:00"/>
        <d v="2024-06-16T00:00:00"/>
        <d v="2024-05-27T00:00:00"/>
        <d v="2024-09-07T00:00:00"/>
        <d v="2024-06-07T00:00:00"/>
        <d v="2024-08-17T00:00:00"/>
        <d v="2024-05-04T00:00:00"/>
        <d v="2024-09-06T00:00:00"/>
        <d v="2024-04-06T00:00:00"/>
        <d v="2024-04-19T00:00:00"/>
        <d v="2024-01-21T00:00:00"/>
        <d v="2024-05-30T00:00:00"/>
        <d v="2024-07-15T00:00:00"/>
        <d v="2024-04-18T00:00:00"/>
        <d v="2024-05-28T00:00:00"/>
        <d v="2024-10-22T00:00:00"/>
        <d v="2024-05-10T00:00:00"/>
        <d v="2024-02-17T00:00:00"/>
        <d v="2024-02-06T00:00:00"/>
        <d v="2024-12-28T00:00:00"/>
        <d v="2024-09-02T00:00:00"/>
        <d v="2024-07-24T00:00:00"/>
        <d v="2024-10-02T00:00:00"/>
        <d v="2024-09-10T00:00:00"/>
        <d v="2024-08-03T00:00:00"/>
        <d v="2024-05-17T00:00:00"/>
        <d v="2024-06-23T00:00:00"/>
        <d v="2024-06-05T00:00:00"/>
        <d v="2024-10-11T00:00:00"/>
        <d v="2024-10-24T00:00:00"/>
        <d v="2024-10-19T00:00:00"/>
        <d v="2024-08-22T00:00:00"/>
        <d v="2024-03-31T00:00:00"/>
        <d v="2024-01-16T00:00:00"/>
        <d v="2024-10-13T00:00:00"/>
        <d v="2024-02-03T00:00:00"/>
        <d v="2024-11-04T00:00:00"/>
        <d v="2024-09-14T00:00:00"/>
        <d v="2024-11-12T00:00:00"/>
        <d v="2024-09-19T00:00:00"/>
        <d v="2024-11-20T00:00:00"/>
        <d v="2024-03-02T00:00:00"/>
        <d v="2024-10-16T00:00:00"/>
        <d v="2024-07-25T00:00:00"/>
        <d v="2024-12-15T00:00:00"/>
        <d v="2024-09-13T00:00:00"/>
        <d v="2024-02-25T00:00:00"/>
        <d v="2024-07-28T00:00:00"/>
        <d v="2024-04-24T00:00:00"/>
        <d v="2024-03-16T00:00:00"/>
        <d v="2024-12-14T00:00:00"/>
        <d v="2024-03-06T00:00:00"/>
        <d v="2024-07-19T00:00:00"/>
        <d v="2024-04-29T00:00:00"/>
        <d v="2024-12-04T00:00:00"/>
        <d v="2024-03-03T00:00:00"/>
        <d v="2024-01-08T00:00:00"/>
        <d v="2024-06-19T00:00:00"/>
        <d v="2024-01-10T00:00:00"/>
        <d v="2024-06-03T00:00:00"/>
        <d v="2024-01-20T00:00:00"/>
        <d v="2024-01-18T00:00:00"/>
        <d v="2024-03-30T00:00:00"/>
        <d v="2024-12-23T00:00:00"/>
        <d v="2024-03-10T00:00:00"/>
        <d v="2024-06-09T00:00:00"/>
        <d v="2024-08-08T00:00:00"/>
        <d v="2024-06-29T00:00:00"/>
        <d v="2024-01-01T00:00:00"/>
        <d v="2024-04-12T00:00:00"/>
        <d v="2024-10-09T00:00:00"/>
        <d v="2024-07-31T00:00:00"/>
        <d v="2024-03-27T00:00:00"/>
        <d v="2024-11-25T00:00:00"/>
        <d v="2024-10-10T00:00:00"/>
        <d v="2024-10-14T00:00:00"/>
        <d v="2024-02-11T00:00:00"/>
        <d v="2024-12-24T00:00:00"/>
        <d v="2024-05-12T00:00:00"/>
        <d v="2024-02-08T00:00:00"/>
        <d v="2024-08-18T00:00:00"/>
        <d v="2024-10-04T00:00:00"/>
        <d v="2025-05-14T00:00:00"/>
        <d v="2025-03-21T00:00:00"/>
        <d v="2025-07-17T00:00:00"/>
        <d v="2025-01-04T00:00:00"/>
        <d v="2025-04-09T00:00:00"/>
        <d v="2025-01-21T00:00:00"/>
        <d v="2025-01-10T00:00:00"/>
        <d v="2025-07-11T00:00:00"/>
        <d v="2025-03-29T00:00:00"/>
        <d v="2025-04-13T00:00:00"/>
        <d v="2025-03-24T00:00:00"/>
        <d v="2025-06-19T00:00:00"/>
        <d v="2025-06-27T00:00:00"/>
        <d v="2025-08-11T00:00:00"/>
        <d v="2025-05-10T00:00:00"/>
        <d v="2025-01-31T00:00:00"/>
        <d v="2025-03-14T00:00:00"/>
        <d v="2025-06-01T00:00:00"/>
        <d v="2025-09-08T00:00:00"/>
        <d v="2025-09-11T00:00:00"/>
        <d v="2025-04-16T00:00:00"/>
        <d v="2025-04-17T00:00:00"/>
        <d v="2025-09-12T00:00:00"/>
        <d v="2025-04-28T00:00:00"/>
        <d v="2025-05-15T00:00:00"/>
        <d v="2025-08-01T00:00:00"/>
        <d v="2025-04-04T00:00:00"/>
        <d v="2025-02-25T00:00:00"/>
        <d v="2025-06-22T00:00:00"/>
        <d v="2025-02-15T00:00:00"/>
        <d v="2025-08-03T00:00:00"/>
        <d v="2025-08-10T00:00:00"/>
        <d v="2025-04-10T00:00:00"/>
        <d v="2025-06-24T00:00:00"/>
        <d v="2025-04-27T00:00:00"/>
        <d v="2025-01-27T00:00:00"/>
        <d v="2025-03-25T00:00:00"/>
        <d v="2025-02-16T00:00:00"/>
        <d v="2025-01-09T00:00:00"/>
        <d v="2025-05-18T00:00:00"/>
        <d v="2025-06-05T00:00:00"/>
        <d v="2025-01-22T00:00:00"/>
        <d v="2025-08-30T00:00:00"/>
        <d v="2025-06-09T00:00:00"/>
        <d v="2025-08-06T00:00:00"/>
        <d v="2025-02-07T00:00:00"/>
        <d v="2025-03-30T00:00:00"/>
        <d v="2025-07-24T00:00:00"/>
        <d v="2025-06-17T00:00:00"/>
        <d v="2025-02-19T00:00:00"/>
        <d v="2025-06-15T00:00:00"/>
        <d v="2025-05-27T00:00:00"/>
        <d v="2025-04-11T00:00:00"/>
        <d v="2025-03-06T00:00:00"/>
        <d v="2025-04-23T00:00:00"/>
        <d v="2025-07-27T00:00:00"/>
        <d v="2025-03-03T00:00:00"/>
        <d v="2025-05-16T00:00:00"/>
        <d v="2025-03-08T00:00:00"/>
        <d v="2025-01-03T00:00:00"/>
        <d v="2025-03-11T00:00:00"/>
        <d v="2025-08-05T00:00:00"/>
        <d v="2025-07-22T00:00:00"/>
        <d v="2025-01-13T00:00:00"/>
        <d v="2025-04-07T00:00:00"/>
        <d v="2025-01-29T00:00:00"/>
        <d v="2025-06-14T00:00:00"/>
        <d v="2025-07-14T00:00:00"/>
        <d v="2025-09-14T00:00:00"/>
        <d v="2025-06-25T00:00:00"/>
        <d v="2025-04-12T00:00:00"/>
        <d v="2025-03-15T00:00:00"/>
        <d v="2025-07-21T00:00:00"/>
        <d v="2025-01-07T00:00:00"/>
        <d v="2025-08-02T00:00:00"/>
        <d v="2025-01-17T00:00:00"/>
        <d v="2025-07-19T00:00:00"/>
        <d v="2025-02-12T00:00:00"/>
        <d v="2025-07-03T00:00:00"/>
        <d v="2025-08-21T00:00:00"/>
        <d v="2025-01-11T00:00:00"/>
        <d v="2025-02-04T00:00:00"/>
        <d v="2025-03-31T00:00:00"/>
        <d v="2025-09-15T00:00:00"/>
        <d v="2025-05-07T00:00:00"/>
        <d v="2025-07-16T00:00:00"/>
        <d v="2025-03-10T00:00:00"/>
        <d v="2025-08-13T00:00:00"/>
        <d v="2025-06-03T00:00:00"/>
        <d v="2025-05-21T00:00:00"/>
        <d v="2025-07-23T00:00:00"/>
        <d v="2025-02-17T00:00:00"/>
        <d v="2025-09-10T00:00:00"/>
        <d v="2025-02-28T00:00:00"/>
        <d v="2025-04-24T00:00:00"/>
        <d v="2025-08-25T00:00:00"/>
        <d v="2025-05-02T00:00:00"/>
        <d v="2025-04-06T00:00:00"/>
        <d v="2025-04-22T00:00:00"/>
        <d v="2025-05-19T00:00:00"/>
        <d v="2025-08-28T00:00:00"/>
        <d v="2025-05-29T00:00:00"/>
        <d v="2025-08-07T00:00:00"/>
        <d v="2025-05-17T00:00:00"/>
        <d v="2025-09-01T00:00:00"/>
        <d v="2025-07-20T00:00:00"/>
        <d v="2025-04-14T00:00:00"/>
        <d v="2025-04-01T00:00:00"/>
        <d v="2025-05-12T00:00:00"/>
        <d v="2025-02-21T00:00:00"/>
        <d v="2025-09-02T00:00:00"/>
        <d v="2025-02-02T00:00:00"/>
        <d v="2025-06-21T00:00:00"/>
        <d v="2025-01-20T00:00:00"/>
        <d v="2025-02-06T00:00:00"/>
        <d v="2025-06-26T00:00:00"/>
        <d v="2025-02-09T00:00:00"/>
        <d v="2025-03-23T00:00:00"/>
        <d v="2025-08-14T00:00:00"/>
        <d v="2025-07-09T00:00:00"/>
        <d v="2025-08-20T00:00:00"/>
      </sharedItems>
      <fieldGroup par="31"/>
    </cacheField>
    <cacheField name="Quarter" numFmtId="167">
      <sharedItems/>
    </cacheField>
    <cacheField name="RequiredDate" numFmtId="165">
      <sharedItems containsSemiMixedTypes="0" containsNonDate="0" containsDate="1" containsString="0" minDate="2023-01-05T00:00:00" maxDate="2025-10-06T00:00:00"/>
    </cacheField>
    <cacheField name="CorrectedRequiredDate" numFmtId="165">
      <sharedItems containsSemiMixedTypes="0" containsNonDate="0" containsDate="1" containsString="0" minDate="2023-01-05T00:00:00" maxDate="2025-10-06T00:00:00"/>
    </cacheField>
    <cacheField name="LeadTimeDays" numFmtId="2">
      <sharedItems containsSemiMixedTypes="0" containsString="0" containsNumber="1" containsInteger="1" minValue="0" maxValue="30" count="31">
        <n v="22"/>
        <n v="6"/>
        <n v="5"/>
        <n v="17"/>
        <n v="13"/>
        <n v="10"/>
        <n v="14"/>
        <n v="23"/>
        <n v="19"/>
        <n v="30"/>
        <n v="3"/>
        <n v="7"/>
        <n v="25"/>
        <n v="26"/>
        <n v="28"/>
        <n v="27"/>
        <n v="21"/>
        <n v="2"/>
        <n v="1"/>
        <n v="16"/>
        <n v="15"/>
        <n v="11"/>
        <n v="18"/>
        <n v="20"/>
        <n v="8"/>
        <n v="9"/>
        <n v="4"/>
        <n v="0"/>
        <n v="24"/>
        <n v="29"/>
        <n v="12"/>
      </sharedItems>
    </cacheField>
    <cacheField name="Region" numFmtId="49">
      <sharedItems count="4">
        <s v="Asia"/>
        <s v="Africa"/>
        <s v="Americas"/>
        <s v="Europe"/>
      </sharedItems>
    </cacheField>
    <cacheField name="Country" numFmtId="49">
      <sharedItems count="12">
        <s v="Japan"/>
        <s v="India"/>
        <s v="Nigeria"/>
        <s v="Canada"/>
        <s v="USA"/>
        <s v="South Africa"/>
        <s v="Kenya"/>
        <s v="China"/>
        <s v="United Kingdom"/>
        <s v="Germany"/>
        <s v="France"/>
        <s v="Brazil"/>
      </sharedItems>
    </cacheField>
    <cacheField name="City" numFmtId="49">
      <sharedItems/>
    </cacheField>
    <cacheField name="RegionHierachy" numFmtId="0">
      <sharedItems/>
    </cacheField>
    <cacheField name="CustomerSegment" numFmtId="49">
      <sharedItems/>
    </cacheField>
    <cacheField name="Channel" numFmtId="49">
      <sharedItems count="6">
        <s v="Retail"/>
        <s v="Distributor"/>
        <s v="Online"/>
        <s v="Direct"/>
        <s v="Marketplace"/>
        <s v="Unspecified"/>
      </sharedItems>
    </cacheField>
    <cacheField name="Salesperson" numFmtId="49">
      <sharedItems count="16">
        <s v="A. Patel"/>
        <s v="E. Garcia"/>
        <s v="O. Wang"/>
        <s v="F. Müller"/>
        <s v="K. Singh"/>
        <s v="J. Njeri"/>
        <s v="D. Smith"/>
        <s v="H. Kim"/>
        <s v="M. Rossi"/>
        <s v="I. Johnson"/>
        <s v="G. Dubois"/>
        <s v="L. Okafor"/>
        <s v="B. Chen"/>
        <s v="N. Brown"/>
        <s v="C. Otieno"/>
        <s v="Unassigned"/>
      </sharedItems>
    </cacheField>
    <cacheField name="ProductCategory" numFmtId="49">
      <sharedItems count="7">
        <s v="Accessories"/>
        <s v="Printers"/>
        <s v="Components"/>
        <s v="Monitors"/>
        <s v="Laptops"/>
        <s v="Phones"/>
        <s v="Networking"/>
      </sharedItems>
    </cacheField>
    <cacheField name="SKU" numFmtId="49">
      <sharedItems count="630">
        <s v="ACC-7713"/>
        <s v="PRN-2301"/>
        <s v="PRN-6276"/>
        <s v="CMP-5633"/>
        <s v="MON-6065"/>
        <s v="PRN-2542"/>
        <s v="LAP-6750"/>
        <s v="PHN-2013"/>
        <s v="NET-7349"/>
        <s v="ACC-2364"/>
        <s v="NET-2499"/>
        <s v="LAP-1482"/>
        <s v="NET-5018"/>
        <s v="LAP-3904"/>
        <s v="LAP-9024"/>
        <s v="PRN-6520"/>
        <s v="MON-6882"/>
        <s v="ACC-3833"/>
        <s v="NET-5941"/>
        <s v="PHN-7924"/>
        <s v="ACC-1060"/>
        <s v="PRN-1923"/>
        <s v="LAP-4899"/>
        <s v="PRN-4432"/>
        <s v="PHN-7274"/>
        <s v="MON-7511"/>
        <s v="CMP-4792"/>
        <s v="LAP-2378"/>
        <s v="MON-4278"/>
        <s v="NET-6533"/>
        <s v="NET-9989"/>
        <s v="PHN-4644"/>
        <s v="MON-9227"/>
        <s v="PRN-7079"/>
        <s v="CMP-1223"/>
        <s v="CMP-1555"/>
        <s v="PHN-8970"/>
        <s v="ACC-3951"/>
        <s v="NET-2439"/>
        <s v="MON-2990"/>
        <s v="ACC-1238"/>
        <s v="CMP-2693"/>
        <s v="ACC-3551"/>
        <s v="PHN-1234"/>
        <s v="LAP-6160"/>
        <s v="CMP-2574"/>
        <s v="LAP-1989"/>
        <s v="CMP-1632"/>
        <s v="NET-1645"/>
        <s v="CMP-5820"/>
        <s v="PRN-1504"/>
        <s v="PRN-5067"/>
        <s v="ACC-5079"/>
        <s v="MON-7602"/>
        <s v="NET-2062"/>
        <s v="NET-2394"/>
        <s v="MON-5517"/>
        <s v="CMP-4945"/>
        <s v="PRN-9669"/>
        <s v="PHN-1924"/>
        <s v="MON-6053"/>
        <s v="PHN-6131"/>
        <s v="CMP-2096"/>
        <s v="CMP-8659"/>
        <s v="MON-3307"/>
        <s v="NET-9666"/>
        <s v="PRN-6490"/>
        <s v="ACC-1492"/>
        <s v="PHN-8891"/>
        <s v="PHN-5366"/>
        <s v="PHN-3159"/>
        <s v="CMP-5208"/>
        <s v="PRN-3690"/>
        <s v="MON-1663"/>
        <s v="ACC-3385"/>
        <s v="ACC-2867"/>
        <s v="LAP-7819"/>
        <s v="LAP-3679"/>
        <s v="MON-9194"/>
        <s v="LAP-9782"/>
        <s v="MON-1572"/>
        <s v="NET-1228"/>
        <s v="CMP-5211"/>
        <s v="NET-5423"/>
        <s v="LAP-4666"/>
        <s v="PHN-9184"/>
        <s v="LAP-6499"/>
        <s v="PRN-9624"/>
        <s v="CMP-4807"/>
        <s v="ACC-5334"/>
        <s v="LAP-3393"/>
        <s v="ACC-3415"/>
        <s v="LAP-6342"/>
        <s v="LAP-9766"/>
        <s v="NET-8856"/>
        <s v="PRN-5005"/>
        <s v="ACC-1882"/>
        <s v="NET-4155"/>
        <s v="ACC-4631"/>
        <s v="PHN-8072"/>
        <s v="PHN-2337"/>
        <s v="CMP-6649"/>
        <s v="MON-4373"/>
        <s v="ACC-9150"/>
        <s v="MON-3773"/>
        <s v="LAP-4932"/>
        <s v="NET-2460"/>
        <s v="PHN-4854"/>
        <s v="PRN-1786"/>
        <s v="LAP-1178"/>
        <s v="LAP-3604"/>
        <s v="MON-4830"/>
        <s v="NET-3460"/>
        <s v="MON-3745"/>
        <s v="LAP-1946"/>
        <s v="PHN-6506"/>
        <s v="NET-6036"/>
        <s v="PRN-1271"/>
        <s v="NET-1699"/>
        <s v="NET-3828"/>
        <s v="PRN-8175"/>
        <s v="PHN-5938"/>
        <s v="MON-4326"/>
        <s v="CMP-2136"/>
        <s v="CMP-6925"/>
        <s v="ACC-1731"/>
        <s v="PHN-6818"/>
        <s v="PHN-8014"/>
        <s v="MON-2537"/>
        <s v="LAP-5763"/>
        <s v="NET-1282"/>
        <s v="NET-4104"/>
        <s v="ACC-9445"/>
        <s v="PHN-8478"/>
        <s v="NET-9125"/>
        <s v="CMP-9392"/>
        <s v="CMP-4630"/>
        <s v="PRN-4732"/>
        <s v="PRN-6536"/>
        <s v="ACC-5260"/>
        <s v="MON-8697"/>
        <s v="ACC-8178"/>
        <s v="PRN-5107"/>
        <s v="PRN-9249"/>
        <s v="ACC-8557"/>
        <s v="ACC-9644"/>
        <s v="LAP-2806"/>
        <s v="PRN-4787"/>
        <s v="PRN-1641"/>
        <s v="PRN-7019"/>
        <s v="ACC-5206"/>
        <s v="CMP-7063"/>
        <s v="NET-3689"/>
        <s v="MON-5424"/>
        <s v="CMP-1009"/>
        <s v="LAP-8555"/>
        <s v="ACC-4815"/>
        <s v="NET-6014"/>
        <s v="PHN-3971"/>
        <s v="PRN-7410"/>
        <s v="PRN-1060"/>
        <s v="PHN-7132"/>
        <s v="MON-2296"/>
        <s v="CMP-8604"/>
        <s v="ACC-4766"/>
        <s v="NET-1816"/>
        <s v="PRN-8008"/>
        <s v="ACC-3645"/>
        <s v="CMP-8675"/>
        <s v="ACC-6594"/>
        <s v="CMP-7371"/>
        <s v="NET-8787"/>
        <s v="LAP-2942"/>
        <s v="PRN-8041"/>
        <s v="MON-1018"/>
        <s v="LAP-1525"/>
        <s v="MON-7869"/>
        <s v="ACC-2988"/>
        <s v="LAP-7320"/>
        <s v="CMP-4531"/>
        <s v="ACC-4124"/>
        <s v="ACC-1375"/>
        <s v="MON-9906"/>
        <s v="MON-2073"/>
        <s v="PHN-2036"/>
        <s v="MON-7207"/>
        <s v="PRN-4506"/>
        <s v="LAP-3565"/>
        <s v="NET-2894"/>
        <s v="MON-3043"/>
        <s v="NET-3255"/>
        <s v="ACC-4587"/>
        <s v="PRN-8970"/>
        <s v="MON-2828"/>
        <s v="MON-5086"/>
        <s v="CMP-6352"/>
        <s v="LAP-4551"/>
        <s v="MON-6699"/>
        <s v="NET-4735"/>
        <s v="ACC-3567"/>
        <s v="NET-5195"/>
        <s v="ACC-2903"/>
        <s v="PHN-1784"/>
        <s v="PHN-1670"/>
        <s v="MON-2266"/>
        <s v="ACC-7078"/>
        <s v="MON-2465"/>
        <s v="CMP-7256"/>
        <s v="PHN-4677"/>
        <s v="PRN-4983"/>
        <s v="CMP-8545"/>
        <s v="PRN-9488"/>
        <s v="PHN-8483"/>
        <s v="LAP-1698"/>
        <s v="ACC-3068"/>
        <s v="CMP-8230"/>
        <s v="PRN-7049"/>
        <s v="ACC-9283"/>
        <s v="ACC-8242"/>
        <s v="CMP-1940"/>
        <s v="PHN-2447"/>
        <s v="PHN-3014"/>
        <s v="PRN-1654"/>
        <s v="NET-3033"/>
        <s v="PRN-9975"/>
        <s v="MON-5259"/>
        <s v="LAP-8347"/>
        <s v="NET-1893"/>
        <s v="PRN-5384"/>
        <s v="PRN-4097"/>
        <s v="NET-7924"/>
        <s v="NET-4491"/>
        <s v="CMP-5138"/>
        <s v="CMP-8101"/>
        <s v="PRN-4788"/>
        <s v="MON-6310"/>
        <s v="ACC-9820"/>
        <s v="CMP-1559"/>
        <s v="CMP-2015"/>
        <s v="CMP-6919"/>
        <s v="MON-7943"/>
        <s v="NET-7588"/>
        <s v="PRN-7089"/>
        <s v="CMP-3313"/>
        <s v="MON-6287"/>
        <s v="PRN-6791"/>
        <s v="CMP-9801"/>
        <s v="CMP-2410"/>
        <s v="MON-5444"/>
        <s v="LAP-5689"/>
        <s v="PRN-3917"/>
        <s v="ACC-7938"/>
        <s v="ACC-6543"/>
        <s v="LAP-7979"/>
        <s v="ACC-8683"/>
        <s v="PHN-5445"/>
        <s v="MON-4361"/>
        <s v="LAP-9230"/>
        <s v="PRN-9960"/>
        <s v="ACC-1021"/>
        <s v="PHN-7488"/>
        <s v="CMP-9001"/>
        <s v="ACC-2990"/>
        <s v="MON-5188"/>
        <s v="CMP-9498"/>
        <s v="PHN-3398"/>
        <s v="ACC-8620"/>
        <s v="MON-4330"/>
        <s v="PRN-5569"/>
        <s v="CMP-8270"/>
        <s v="ACC-6223"/>
        <s v="PRN-7816"/>
        <s v="PHN-2341"/>
        <s v="ACC-2761"/>
        <s v="ACC-5780"/>
        <s v="NET-1412"/>
        <s v="PRN-2829"/>
        <s v="PRN-1183"/>
        <s v="CMP-6529"/>
        <s v="NET-2628"/>
        <s v="MON-2100"/>
        <s v="PHN-1919"/>
        <s v="PRN-4906"/>
        <s v="PRN-1086"/>
        <s v="PRN-4893"/>
        <s v="MON-8629"/>
        <s v="NET-5987"/>
        <s v="MON-5749"/>
        <s v="MON-6870"/>
        <s v="MON-8939"/>
        <s v="LAP-3581"/>
        <s v="PRN-6911"/>
        <s v="CMP-4610"/>
        <s v="PRN-9322"/>
        <s v="PRN-2641"/>
        <s v="LAP-9931"/>
        <s v="PRN-1371"/>
        <s v="PRN-1725"/>
        <s v="PRN-2409"/>
        <s v="CMP-2335"/>
        <s v="PRN-4453"/>
        <s v="CMP-5946"/>
        <s v="PRN-9378"/>
        <s v="MON-7622"/>
        <s v="NET-4228"/>
        <s v="NET-1166"/>
        <s v="MON-8422"/>
        <s v="PRN-1141"/>
        <s v="MON-1389"/>
        <s v="MON-8867"/>
        <s v="NET-9177"/>
        <s v="PHN-4568"/>
        <s v="LAP-6577"/>
        <s v="MON-6341"/>
        <s v="PHN-4346"/>
        <s v="ACC-4490"/>
        <s v="ACC-9162"/>
        <s v="NET-6578"/>
        <s v="ACC-6348"/>
        <s v="ACC-3721"/>
        <s v="PRN-6308"/>
        <s v="LAP-8214"/>
        <s v="ACC-2386"/>
        <s v="NET-2932"/>
        <s v="LAP-7056"/>
        <s v="LAP-4987"/>
        <s v="MON-9733"/>
        <s v="CMP-3093"/>
        <s v="MON-4271"/>
        <s v="CMP-3938"/>
        <s v="PRN-9557"/>
        <s v="NET-3850"/>
        <s v="LAP-8469"/>
        <s v="PHN-7852"/>
        <s v="LAP-9100"/>
        <s v="NET-9569"/>
        <s v="PHN-6111"/>
        <s v="LAP-7009"/>
        <s v="LAP-2774"/>
        <s v="NET-2365"/>
        <s v="PRN-9793"/>
        <s v="CMP-3875"/>
        <s v="ACC-7354"/>
        <s v="PHN-2436"/>
        <s v="PHN-9107"/>
        <s v="MON-5249"/>
        <s v="PHN-7815"/>
        <s v="PHN-9677"/>
        <s v="ACC-7240"/>
        <s v="PHN-6832"/>
        <s v="NET-7998"/>
        <s v="CMP-2040"/>
        <s v="MON-2849"/>
        <s v="NET-8561"/>
        <s v="MON-6892"/>
        <s v="LAP-4483"/>
        <s v="CMP-8196"/>
        <s v="PRN-7303"/>
        <s v="MON-8973"/>
        <s v="PHN-4356"/>
        <s v="ACC-2735"/>
        <s v="PRN-5591"/>
        <s v="MON-8688"/>
        <s v="LAP-9932"/>
        <s v="MON-9967"/>
        <s v="ACC-5177"/>
        <s v="MON-8758"/>
        <s v="LAP-1066"/>
        <s v="PHN-1717"/>
        <s v="MON-2462"/>
        <s v="LAP-8825"/>
        <s v="ACC-1075"/>
        <s v="CMP-7563"/>
        <s v="PHN-9789"/>
        <s v="LAP-9901"/>
        <s v="CMP-3978"/>
        <s v="MON-7099"/>
        <s v="PRN-6068"/>
        <s v="LAP-1969"/>
        <s v="PHN-7974"/>
        <s v="CMP-7617"/>
        <s v="ACC-7838"/>
        <s v="LAP-1739"/>
        <s v="NET-4554"/>
        <s v="PRN-5666"/>
        <s v="NET-1145"/>
        <s v="NET-3728"/>
        <s v="MON-8129"/>
        <s v="PRN-4892"/>
        <s v="MON-8651"/>
        <s v="MON-4195"/>
        <s v="CMP-5006"/>
        <s v="LAP-5531"/>
        <s v="NET-8761"/>
        <s v="MON-1118"/>
        <s v="LAP-5150"/>
        <s v="LAP-5078"/>
        <s v="PRN-2749"/>
        <s v="PRN-4911"/>
        <s v="ACC-7671"/>
        <s v="PRN-4170"/>
        <s v="PRN-7976"/>
        <s v="CMP-5435"/>
        <s v="NET-6387"/>
        <s v="LAP-9815"/>
        <s v="NET-1846"/>
        <s v="PHN-8804"/>
        <s v="MON-3350"/>
        <s v="NET-4675"/>
        <s v="PHN-6866"/>
        <s v="PHN-9399"/>
        <s v="MON-6190"/>
        <s v="PRN-8758"/>
        <s v="CMP-3720"/>
        <s v="MON-4789"/>
        <s v="CMP-1470"/>
        <s v="CMP-8141"/>
        <s v="CMP-6811"/>
        <s v="PHN-4741"/>
        <s v="PHN-6854"/>
        <s v="LAP-5009"/>
        <s v="NET-9835"/>
        <s v="PRN-5492"/>
        <s v="PHN-4915"/>
        <s v="PRN-6585"/>
        <s v="LAP-4607"/>
        <s v="PRN-6776"/>
        <s v="MON-5386"/>
        <s v="PRN-8392"/>
        <s v="PRN-6660"/>
        <s v="CMP-5825"/>
        <s v="NET-9575"/>
        <s v="LAP-2846"/>
        <s v="ACC-6626"/>
        <s v="PHN-8057"/>
        <s v="CMP-8002"/>
        <s v="LAP-8633"/>
        <s v="CMP-6392"/>
        <s v="NET-8957"/>
        <s v="NET-4241"/>
        <s v="ACC-3103"/>
        <s v="PRN-2293"/>
        <s v="MON-4215"/>
        <s v="LAP-8489"/>
        <s v="CMP-1072"/>
        <s v="MON-1564"/>
        <s v="NET-5523"/>
        <s v="CMP-9264"/>
        <s v="CMP-3223"/>
        <s v="ACC-7047"/>
        <s v="CMP-8127"/>
        <s v="NET-5268"/>
        <s v="PHN-5082"/>
        <s v="PRN-3785"/>
        <s v="NET-9832"/>
        <s v="MON-3504"/>
        <s v="PRN-5813"/>
        <s v="CMP-5911"/>
        <s v="PRN-3014"/>
        <s v="PHN-3077"/>
        <s v="ACC-9038"/>
        <s v="PRN-3143"/>
        <s v="PRN-8604"/>
        <s v="CMP-2865"/>
        <s v="CMP-7055"/>
        <s v="CMP-8851"/>
        <s v="CMP-1156"/>
        <s v="MON-5276"/>
        <s v="ACC-1659"/>
        <s v="LAP-7353"/>
        <s v="PRN-5753"/>
        <s v="PHN-7636"/>
        <s v="PHN-4556"/>
        <s v="CMP-6495"/>
        <s v="PHN-4395"/>
        <s v="NET-6370"/>
        <s v="MON-7626"/>
        <s v="NET-3535"/>
        <s v="NET-6218"/>
        <s v="CMP-9307"/>
        <s v="PRN-5815"/>
        <s v="CMP-4093"/>
        <s v="PHN-1197"/>
        <s v="LAP-3278"/>
        <s v="PRN-6178"/>
        <s v="PHN-4566"/>
        <s v="MON-2998"/>
        <s v="PHN-2462"/>
        <s v="PHN-6480"/>
        <s v="PHN-7379"/>
        <s v="MON-1822"/>
        <s v="PRN-8657"/>
        <s v="PHN-1044"/>
        <s v="PHN-5316"/>
        <s v="ACC-1604"/>
        <s v="NET-3785"/>
        <s v="PRN-2098"/>
        <s v="NET-5270"/>
        <s v="PRN-3775"/>
        <s v="LAP-1308"/>
        <s v="PHN-3854"/>
        <s v="PHN-8368"/>
        <s v="NET-7166"/>
        <s v="NET-8329"/>
        <s v="ACC-5144"/>
        <s v="ACC-5150"/>
        <s v="PHN-2875"/>
        <s v="NET-3749"/>
        <s v="LAP-1619"/>
        <s v="ACC-2902"/>
        <s v="PRN-2991"/>
        <s v="LAP-3220"/>
        <s v="PHN-5675"/>
        <s v="PHN-9234"/>
        <s v="MON-4317"/>
        <s v="LAP-3490"/>
        <s v="PRN-1882"/>
        <s v="MON-7106"/>
        <s v="PHN-8776"/>
        <s v="NET-7966"/>
        <s v="LAP-1990"/>
        <s v="MON-1436"/>
        <s v="MON-5891"/>
        <s v="ACC-1249"/>
        <s v="CMP-3743"/>
        <s v="CMP-3693"/>
        <s v="MON-3371"/>
        <s v="CMP-5658"/>
        <s v="ACC-4056"/>
        <s v="PHN-3800"/>
        <s v="LAP-8119"/>
        <s v="PHN-7019"/>
        <s v="PHN-8350"/>
        <s v="PHN-3482"/>
        <s v="PRN-5264"/>
        <s v="CMP-6346"/>
        <s v="PHN-3803"/>
        <s v="NET-1804"/>
        <s v="MON-1593"/>
        <s v="NET-9716"/>
        <s v="PHN-1671"/>
        <s v="LAP-3779"/>
        <s v="ACC-3961"/>
        <s v="MON-7868"/>
        <s v="CMP-6898"/>
        <s v="PHN-5383"/>
        <s v="NET-3432"/>
        <s v="CMP-3259"/>
        <s v="NET-1966"/>
        <s v="ACC-8999"/>
        <s v="LAP-3905"/>
        <s v="NET-7901"/>
        <s v="ACC-1770"/>
        <s v="LAP-4517"/>
        <s v="LAP-4828"/>
        <s v="ACC-4511"/>
        <s v="ACC-1028"/>
        <s v="MON-5179"/>
        <s v="LAP-8910"/>
        <s v="PRN-8137"/>
        <s v="PHN-6307"/>
        <s v="NET-2502"/>
        <s v="LAP-7136"/>
        <s v="ACC-6777"/>
        <s v="PHN-5683"/>
        <s v="MON-9662"/>
        <s v="ACC-8094"/>
        <s v="NET-1612"/>
        <s v="NET-6269"/>
        <s v="PHN-9465"/>
        <s v="PRN-9867"/>
        <s v="NET-8430"/>
        <s v="PRN-6429"/>
        <s v="LAP-7099"/>
        <s v="ACC-1596"/>
        <s v="CMP-5065"/>
        <s v="CMP-8390"/>
        <s v="PHN-6954"/>
        <s v="LAP-3017"/>
        <s v="NET-9003"/>
        <s v="LAP-3385"/>
        <s v="PRN-6131"/>
        <s v="PRN-8763"/>
        <s v="PHN-2787"/>
        <s v="CMP-4970"/>
        <s v="ACC-2252"/>
        <s v="MON-4925"/>
        <s v="ACC-3989"/>
        <s v="MON-9216"/>
        <s v="MON-2993"/>
        <s v="CMP-6971"/>
        <s v="CMP-1220"/>
        <s v="PRN-5876"/>
        <s v="CMP-4159"/>
        <s v="LAP-7553"/>
        <s v="PRN-9787"/>
        <s v="NET-1336"/>
        <s v="MON-9274"/>
        <s v="ACC-3349"/>
        <s v="PHN-2859"/>
        <s v="ACC-1663"/>
        <s v="ACC-8098"/>
        <s v="MON-6962"/>
        <s v="ACC-7906"/>
        <s v="MON-9319"/>
        <s v="CMP-2854"/>
        <s v="PRN-8850"/>
        <s v="PRN-2407"/>
        <s v="PHN-5887"/>
        <s v="PRN-1276"/>
        <s v="ACC-9591"/>
        <s v="NET-8610"/>
        <s v="PHN-3819"/>
        <s v="CMP-8658"/>
        <s v="NET-5482"/>
        <s v="ACC-4483"/>
        <s v="PHN-3007"/>
        <s v="LAP-7523"/>
        <s v="LAP-6989"/>
        <s v="ACC-5422"/>
        <s v="ACC-9533"/>
        <s v="MON-2842"/>
        <s v="PRN-3159"/>
        <s v="PRN-9490"/>
        <s v="LAP-2218"/>
        <s v="NET-5196"/>
        <s v="MON-4959"/>
        <s v="LAP-9016"/>
        <s v="CMP-5311"/>
        <s v="CMP-3731"/>
      </sharedItems>
    </cacheField>
    <cacheField name="UnitCost" numFmtId="166">
      <sharedItems containsSemiMixedTypes="0" containsString="0" containsNumber="1" minValue="5.34" maxValue="1495.79"/>
    </cacheField>
    <cacheField name="UnitPrice" numFmtId="166">
      <sharedItems containsSemiMixedTypes="0" containsString="0" containsNumber="1" minValue="-33.659999999999997" maxValue="3661.07"/>
    </cacheField>
    <cacheField name="CorrectedUnitPrice" numFmtId="166">
      <sharedItems containsSemiMixedTypes="0" containsString="0" containsNumber="1" minValue="4.22" maxValue="3661.07"/>
    </cacheField>
    <cacheField name="PriceBand" numFmtId="166">
      <sharedItems/>
    </cacheField>
    <cacheField name="DiscountPct" numFmtId="10">
      <sharedItems containsSemiMixedTypes="0" containsString="0" containsNumber="1" minValue="0" maxValue="0.56499999999999995"/>
    </cacheField>
    <cacheField name="CorrectedDiscount" numFmtId="10">
      <sharedItems containsSemiMixedTypes="0" containsString="0" containsNumber="1" minValue="0" maxValue="0.3" count="222">
        <n v="0.10299999999999999"/>
        <n v="0.16500000000000001"/>
        <n v="0.19400000000000001"/>
        <n v="4.9000000000000002E-2"/>
        <n v="5.6000000000000001E-2"/>
        <n v="0"/>
        <n v="0.106"/>
        <n v="0.157"/>
        <n v="0.121"/>
        <n v="4.1000000000000002E-2"/>
        <n v="0.19700000000000001"/>
        <n v="0.161"/>
        <n v="1.4E-2"/>
        <n v="0.2"/>
        <n v="1.7000000000000001E-2"/>
        <n v="0.13500000000000001"/>
        <n v="9.4E-2"/>
        <n v="0.20300000000000001"/>
        <n v="2.8000000000000001E-2"/>
        <n v="0.15"/>
        <n v="0.125"/>
        <n v="0.188"/>
        <n v="0.14699999999999999"/>
        <n v="0.14399999999999999"/>
        <n v="0.13800000000000001"/>
        <n v="0.113"/>
        <n v="0.14899999999999999"/>
        <n v="0.184"/>
        <n v="0.14000000000000001"/>
        <n v="0.01"/>
        <n v="0.159"/>
        <n v="0.13700000000000001"/>
        <n v="0.13400000000000001"/>
        <n v="6.6000000000000003E-2"/>
        <n v="0.3"/>
        <n v="7.0000000000000001E-3"/>
        <n v="0.20399999999999999"/>
        <n v="0.13900000000000001"/>
        <n v="4.7E-2"/>
        <n v="0.13100000000000001"/>
        <n v="0.25700000000000001"/>
        <n v="0.126"/>
        <n v="0.19"/>
        <n v="6.7000000000000004E-2"/>
        <n v="0.185"/>
        <n v="0.16900000000000001"/>
        <n v="8.2000000000000003E-2"/>
        <n v="0.10100000000000001"/>
        <n v="0.24099999999999999"/>
        <n v="3.2000000000000001E-2"/>
        <n v="0.14099999999999999"/>
        <n v="0.192"/>
        <n v="0.16400000000000001"/>
        <n v="9.6000000000000002E-2"/>
        <n v="5.8999999999999997E-2"/>
        <n v="5.7000000000000002E-2"/>
        <n v="0.13200000000000001"/>
        <n v="2.9000000000000001E-2"/>
        <n v="2.5000000000000001E-2"/>
        <n v="0.29199999999999998"/>
        <n v="7.0999999999999994E-2"/>
        <n v="0.22"/>
        <n v="0.14199999999999999"/>
        <n v="0.17100000000000001"/>
        <n v="0.115"/>
        <n v="0.1"/>
        <n v="0.123"/>
        <n v="0.17299999999999999"/>
        <n v="3.9E-2"/>
        <n v="0.13"/>
        <n v="0.20799999999999999"/>
        <n v="4.4999999999999998E-2"/>
        <n v="5.0999999999999997E-2"/>
        <n v="4.0000000000000001E-3"/>
        <n v="8.5999999999999993E-2"/>
        <n v="0.111"/>
        <n v="0.23300000000000001"/>
        <n v="0.109"/>
        <n v="0.107"/>
        <n v="0.189"/>
        <n v="0.151"/>
        <n v="0.186"/>
        <n v="0.114"/>
        <n v="8.8999999999999996E-2"/>
        <n v="0.216"/>
        <n v="0.02"/>
        <n v="6.9000000000000006E-2"/>
        <n v="7.3999999999999996E-2"/>
        <n v="0.24299999999999999"/>
        <n v="4.2000000000000003E-2"/>
        <n v="0.129"/>
        <n v="0.09"/>
        <n v="0.222"/>
        <n v="0.108"/>
        <n v="0.14799999999999999"/>
        <n v="0.26500000000000001"/>
        <n v="0.19600000000000001"/>
        <n v="0.14599999999999999"/>
        <n v="7.4999999999999997E-2"/>
        <n v="4.3999999999999997E-2"/>
        <n v="7.8E-2"/>
        <n v="0.24"/>
        <n v="9.0999999999999998E-2"/>
        <n v="0.104"/>
        <n v="0.20699999999999999"/>
        <n v="0.155"/>
        <n v="9.2999999999999999E-2"/>
        <n v="7.1999999999999995E-2"/>
        <n v="0.112"/>
        <n v="8.3000000000000004E-2"/>
        <n v="0.17499999999999999"/>
        <n v="0.28199999999999997"/>
        <n v="0.17399999999999999"/>
        <n v="0.05"/>
        <n v="5.8000000000000003E-2"/>
        <n v="0.10199999999999999"/>
        <n v="0.29899999999999999"/>
        <n v="0.11799999999999999"/>
        <n v="7.0000000000000007E-2"/>
        <n v="6.4000000000000001E-2"/>
        <n v="0.22600000000000001"/>
        <n v="9.8000000000000004E-2"/>
        <n v="0.14299999999999999"/>
        <n v="3.4000000000000002E-2"/>
        <n v="0.13600000000000001"/>
        <n v="8.4000000000000005E-2"/>
        <n v="5.2999999999999999E-2"/>
        <n v="8.7999999999999995E-2"/>
        <n v="0.20899999999999999"/>
        <n v="3.7999999999999999E-2"/>
        <n v="0.27"/>
        <n v="6.2E-2"/>
        <n v="0.23499999999999999"/>
        <n v="7.5999999999999998E-2"/>
        <n v="0.21"/>
        <n v="0.17"/>
        <n v="0.27800000000000002"/>
        <n v="0.22900000000000001"/>
        <n v="8.6999999999999994E-2"/>
        <n v="0.20100000000000001"/>
        <n v="0.17599999999999999"/>
        <n v="0.11899999999999999"/>
        <n v="6.0000000000000001E-3"/>
        <n v="0.23599999999999999"/>
        <n v="0.16800000000000001"/>
        <n v="0.13300000000000001"/>
        <n v="0.22500000000000001"/>
        <n v="1.2E-2"/>
        <n v="0.128"/>
        <n v="0.25900000000000001"/>
        <n v="6.3E-2"/>
        <n v="0.255"/>
        <n v="0.14499999999999999"/>
        <n v="0.254"/>
        <n v="0.29499999999999998"/>
        <n v="0.16300000000000001"/>
        <n v="6.8000000000000005E-2"/>
        <n v="0.122"/>
        <n v="0.105"/>
        <n v="0.11"/>
        <n v="5.5E-2"/>
        <n v="0.158"/>
        <n v="2.1999999999999999E-2"/>
        <n v="0.27200000000000002"/>
        <n v="0.152"/>
        <n v="0.23699999999999999"/>
        <n v="0.23899999999999999"/>
        <n v="9.1999999999999998E-2"/>
        <n v="0.245"/>
        <n v="0.182"/>
        <n v="7.6999999999999999E-2"/>
        <n v="0.11600000000000001"/>
        <n v="3.1E-2"/>
        <n v="2.1000000000000001E-2"/>
        <n v="7.2999999999999995E-2"/>
        <n v="0.18"/>
        <n v="0.21099999999999999"/>
        <n v="0.127"/>
        <n v="0.26300000000000001"/>
        <n v="0.16"/>
        <n v="0.16700000000000001"/>
        <n v="0.187"/>
        <n v="0.12"/>
        <n v="0.214"/>
        <n v="0.154"/>
        <n v="0.03"/>
        <n v="3.6999999999999998E-2"/>
        <n v="0.153"/>
        <n v="0.26100000000000001"/>
        <n v="0.25600000000000001"/>
        <n v="0.215"/>
        <n v="4.2999999999999997E-2"/>
        <n v="1.7999999999999999E-2"/>
        <n v="0.26600000000000001"/>
        <n v="8.9999999999999993E-3"/>
        <n v="0.23799999999999999"/>
        <n v="0.08"/>
        <n v="0.17899999999999999"/>
        <n v="0.17699999999999999"/>
        <n v="9.9000000000000005E-2"/>
        <n v="0.25800000000000001"/>
        <n v="0.17199999999999999"/>
        <n v="0.20499999999999999"/>
        <n v="0.217"/>
        <n v="0.183"/>
        <n v="9.7000000000000003E-2"/>
        <n v="1.9E-2"/>
        <n v="0.124"/>
        <n v="0.248"/>
        <n v="0.18099999999999999"/>
        <n v="0.21199999999999999"/>
        <n v="0.29299999999999998"/>
        <n v="9.5000000000000001E-2"/>
        <n v="0.25"/>
        <n v="8.1000000000000003E-2"/>
        <n v="6.5000000000000002E-2"/>
        <n v="0.156"/>
        <n v="0.23"/>
        <n v="0.218"/>
        <n v="5.3999999999999999E-2"/>
        <n v="3.5000000000000003E-2"/>
        <n v="4.5999999999999999E-2"/>
      </sharedItems>
    </cacheField>
    <cacheField name="Quantity" numFmtId="2">
      <sharedItems containsSemiMixedTypes="0" containsString="0" containsNumber="1" containsInteger="1" minValue="2" maxValue="61"/>
    </cacheField>
    <cacheField name="Grossrevenue" numFmtId="166">
      <sharedItems containsSemiMixedTypes="0" containsString="0" containsNumber="1" minValue="18.659839999999999" maxValue="139277.83032000001" count="632">
        <n v="13856.52411"/>
        <n v="12462.65055"/>
        <n v="685.06776000000002"/>
        <n v="855.72881999999993"/>
        <n v="14466.95104"/>
        <n v="7135.57"/>
        <n v="13784.586000000001"/>
        <n v="25299.040000000001"/>
        <n v="18830.12472"/>
        <n v="9829.0483199999999"/>
        <n v="2795.6384399999997"/>
        <n v="14448.298699999998"/>
        <n v="60292.805299999993"/>
        <n v="82514.711519999997"/>
        <n v="27756.432000000001"/>
        <n v="9866.3104799999983"/>
        <n v="23132.398349999996"/>
        <n v="6732.4334000000008"/>
        <n v="3928.3797600000003"/>
        <n v="16061.972879999999"/>
        <n v="5610.0923999999995"/>
        <n v="20672.289000000001"/>
        <n v="7643.2649999999994"/>
        <n v="14877.464000000002"/>
        <n v="21573.6495"/>
        <n v="8763.2849999999999"/>
        <n v="27158.894079999998"/>
        <n v="8907.6924999999992"/>
        <n v="16487.22781"/>
        <n v="7823.4472399999995"/>
        <n v="215.19839999999996"/>
        <n v="12153.267360000002"/>
        <n v="12194.714"/>
        <n v="36549.429260000004"/>
        <n v="6137.8019999999988"/>
        <n v="13983.752729999998"/>
        <n v="518.65436999999997"/>
        <n v="7235.2134999999998"/>
        <n v="2394.1605599999998"/>
        <n v="624.43503999999996"/>
        <n v="27465.647999999997"/>
        <n v="24894.430559999997"/>
        <n v="908.03700000000003"/>
        <n v="667.74"/>
        <n v="17453.3436"/>
        <n v="15348.702599999999"/>
        <n v="19581.87"/>
        <n v="97.0154"/>
        <n v="30479.418970000002"/>
        <n v="10455.7932"/>
        <n v="34444.462359999998"/>
        <n v="5457.4317000000001"/>
        <n v="5533.6230000000005"/>
        <n v="6824.2884000000004"/>
        <n v="32506.559399999998"/>
        <n v="25672.127039999999"/>
        <n v="8698.8768300000011"/>
        <n v="496.98660000000001"/>
        <n v="18258.868320000001"/>
        <n v="5189.8836000000001"/>
        <n v="8520.2954399999999"/>
        <n v="9062.34692"/>
        <n v="52361.645000000004"/>
        <n v="10456.416880000001"/>
        <n v="29536.716"/>
        <n v="319.72248000000002"/>
        <n v="10161.46624"/>
        <n v="7382.1450000000004"/>
        <n v="27249"/>
        <n v="370.86"/>
        <n v="14963.769179999999"/>
        <n v="4717.72"/>
        <n v="12717.311040000001"/>
        <n v="26131.70736"/>
        <n v="10388.429999999998"/>
        <n v="8644.6696000000011"/>
        <n v="5785.8"/>
        <n v="25502.910479999999"/>
        <n v="5769.2758000000003"/>
        <n v="8336.8896000000004"/>
        <n v="7738.9596900000006"/>
        <n v="30692.47896"/>
        <n v="8928.9795999999988"/>
        <n v="18500.693520000001"/>
        <n v="14114.068500000001"/>
        <n v="12769.38768"/>
        <n v="64192.976999999999"/>
        <n v="31822.023930000003"/>
        <n v="19073.059649999999"/>
        <n v="26552.60298"/>
        <n v="26304.275999999998"/>
        <n v="15530.929919999999"/>
        <n v="21572.590500000002"/>
        <n v="15490.527"/>
        <n v="10786.32144"/>
        <n v="4436.6291200000005"/>
        <n v="17964.4038"/>
        <n v="16071.44868"/>
        <n v="26759.28775"/>
        <n v="11924.0978"/>
        <n v="3799.8031499999997"/>
        <n v="1662.6945600000001"/>
        <n v="32280.32474"/>
        <n v="16013.681599999998"/>
        <n v="5096.4790800000001"/>
        <n v="7071.6331400000008"/>
        <n v="32704.386400000003"/>
        <n v="26150.364320000001"/>
        <n v="22201.762229999997"/>
        <n v="41914.215840000004"/>
        <n v="13637.287999999999"/>
        <n v="20332.775539999999"/>
        <n v="8349.2224200000001"/>
        <n v="22983.34563"/>
        <n v="9771.4483199999995"/>
        <n v="20797.98"/>
        <n v="47962.717579999997"/>
        <n v="27194.152039999997"/>
        <n v="39686.4182"/>
        <n v="47693.373"/>
        <n v="4139.8127999999997"/>
        <n v="5159.7893599999998"/>
        <n v="3190.8713200000002"/>
        <n v="2072.9258400000003"/>
        <n v="667.15008"/>
        <n v="22620.859800000002"/>
        <n v="3978.6474000000003"/>
        <n v="4336.2427499999994"/>
        <n v="2231.6467200000002"/>
        <n v="14108.16791"/>
        <n v="51768.181920000003"/>
        <n v="16306.59375"/>
        <n v="20430.771599999996"/>
        <n v="14527.748400000002"/>
        <n v="8186.057600000001"/>
        <n v="17594.028880000002"/>
        <n v="22882.675440000003"/>
        <n v="33421.1"/>
        <n v="3562.1983800000003"/>
        <n v="7854.6693599999999"/>
        <n v="2627.6239999999998"/>
        <n v="3021.5016000000001"/>
        <n v="15656.47056"/>
        <n v="10260.060159999999"/>
        <n v="23375.594060000003"/>
        <n v="23668.560000000001"/>
        <n v="22064.910300000003"/>
        <n v="3116.21"/>
        <n v="11406.96"/>
        <n v="55880.483749999999"/>
        <n v="930.17574000000002"/>
        <n v="4503.4363999999996"/>
        <n v="13882.6016"/>
        <n v="17441.021520000002"/>
        <n v="6874.4828600000001"/>
        <n v="4141.7599999999993"/>
        <n v="9022.35"/>
        <n v="14261.92439"/>
        <n v="16134.22069"/>
        <n v="4132.0325200000007"/>
        <n v="10869.182940000001"/>
        <n v="12248.675999999999"/>
        <n v="8671.7354400000004"/>
        <n v="7340.3891399999993"/>
        <n v="1030.7574"/>
        <n v="1115.1975999999997"/>
        <n v="1925.29872"/>
        <n v="19628.476999999999"/>
        <n v="4212.3745999999992"/>
        <n v="24278.849280000002"/>
        <n v="8930.7124999999996"/>
        <n v="3340.6370000000002"/>
        <n v="4133.25108"/>
        <n v="10957.9797"/>
        <n v="26106.613960000002"/>
        <n v="12954.358080000002"/>
        <n v="28072.190160000002"/>
        <n v="53034.364139999991"/>
        <n v="434.45248000000004"/>
        <n v="13146.470699999998"/>
        <n v="11015.510400000003"/>
        <n v="31513.085009999999"/>
        <n v="22044.871499999997"/>
        <n v="13437.300239999999"/>
        <n v="16873.45"/>
        <n v="1801.4076000000002"/>
        <n v="6631.6443100000006"/>
        <n v="3921.1744000000008"/>
        <n v="21908.731650000002"/>
        <n v="27370.540859999997"/>
        <n v="19903.585040000002"/>
        <n v="4577.1480000000001"/>
        <n v="43209.006119999991"/>
        <n v="24523.006720000001"/>
        <n v="7854.6931199999999"/>
        <n v="8909.8587200000002"/>
        <n v="9847.2358600000007"/>
        <n v="85637.740319999997"/>
        <n v="50090.397499999999"/>
        <n v="7568.9632000000001"/>
        <n v="39546.774539999999"/>
        <n v="11283.400799999999"/>
        <n v="3913.2000000000003"/>
        <n v="2206.8000000000002"/>
        <n v="87404.929919999995"/>
        <n v="32086.37586"/>
        <n v="9232.2830599999998"/>
        <n v="6702.3501999999999"/>
        <n v="33017.42"/>
        <n v="4402.1164799999997"/>
        <n v="19800.88896"/>
        <n v="10428.057360000001"/>
        <n v="2059.0056"/>
        <n v="7090.5672000000004"/>
        <n v="7105.3528000000006"/>
        <n v="14269.848599999999"/>
        <n v="7446.5209000000004"/>
        <n v="46450.26"/>
        <n v="4737.2198399999997"/>
        <n v="40476.013200000001"/>
        <n v="6684.1875"/>
        <n v="6946.8"/>
        <n v="66260.314239999992"/>
        <n v="1499.22"/>
        <n v="18411.4084"/>
        <n v="7098.5495999999994"/>
        <n v="18641.222160000001"/>
        <n v="40488.792960000006"/>
        <n v="38535.955099999999"/>
        <n v="11851.806399999999"/>
        <n v="8909.6646800000017"/>
        <n v="29673.454499999993"/>
        <n v="2373.9623200000001"/>
        <n v="12080.215199999999"/>
        <n v="12031.491680000001"/>
        <n v="30799.273800000003"/>
        <n v="549.80010000000004"/>
        <n v="27331.829999999998"/>
        <n v="16946.091840000001"/>
        <n v="9805.8573800000013"/>
        <n v="4877.1379800000004"/>
        <n v="15253.069799999999"/>
        <n v="29654.83008"/>
        <n v="24321.57"/>
        <n v="10937.519999999999"/>
        <n v="25948.414799999995"/>
        <n v="703.2428000000001"/>
        <n v="6435.2555999999995"/>
        <n v="66.920760000000001"/>
        <n v="4229.4321199999995"/>
        <n v="4738.5261"/>
        <n v="16006.14344"/>
        <n v="13321.14"/>
        <n v="24374.594880000001"/>
        <n v="8596.2905599999995"/>
        <n v="8154.5511600000009"/>
        <n v="17689.623"/>
        <n v="30151.675319999998"/>
        <n v="1122.0896000000002"/>
        <n v="1446.9507000000001"/>
        <n v="41352.246200000009"/>
        <n v="25131.155999999999"/>
        <n v="1547.3500000000001"/>
        <n v="72665.817450000002"/>
        <n v="6766.9829999999993"/>
        <n v="11285.764020000001"/>
        <n v="14752.706080000002"/>
        <n v="599.53200000000004"/>
        <n v="2736.27018"/>
        <n v="4866.3287999999993"/>
        <n v="26765.040239999998"/>
        <n v="17359.804799999998"/>
        <n v="23687.524440000001"/>
        <n v="10647.727199999999"/>
        <n v="4790.1068000000005"/>
        <n v="10558.74"/>
        <n v="25483.91488"/>
        <n v="2525.0635000000002"/>
        <n v="32335.21802"/>
        <n v="3592.04"/>
        <n v="12413.98458"/>
        <n v="33071.3145"/>
        <n v="18003.847679999999"/>
        <n v="16219.34496"/>
        <n v="20053.439999999999"/>
        <n v="2886.4496399999998"/>
        <n v="82141.339799999987"/>
        <n v="7327.9533600000004"/>
        <n v="14287.896349999999"/>
        <n v="6468.2751599999992"/>
        <n v="50958.766320000002"/>
        <n v="19139.594240000002"/>
        <n v="4055.5175999999997"/>
        <n v="5650.1744000000008"/>
        <n v="17960.432489999999"/>
        <n v="8326.6852500000005"/>
        <n v="15505.479600000001"/>
        <n v="28856.475000000002"/>
        <n v="6899.8804600000003"/>
        <n v="12955.824749999998"/>
        <n v="6063.2517199999993"/>
        <n v="9969.4201499999999"/>
        <n v="17930.494560000003"/>
        <n v="22457.143800000002"/>
        <n v="15257.51748"/>
        <n v="9807.7842799999999"/>
        <n v="879.05840000000001"/>
        <n v="4826.5396199999996"/>
        <n v="2879.9836"/>
        <n v="5032.4433599999993"/>
        <n v="4682.9519799999998"/>
        <n v="34307.159999999996"/>
        <n v="42495.805439999996"/>
        <n v="14910.609600000002"/>
        <n v="31191.64716"/>
        <n v="12668.50728"/>
        <n v="35396.277799999996"/>
        <n v="33062.236480000007"/>
        <n v="31513.423040000001"/>
        <n v="14894.903999999999"/>
        <n v="22526.66"/>
        <n v="58091.634960000003"/>
        <n v="65119.329599999997"/>
        <n v="5960.3340000000007"/>
        <n v="4280.6786400000001"/>
        <n v="8567.3924999999999"/>
        <n v="20225.2248"/>
        <n v="38818.760160000005"/>
        <n v="26015.449459999996"/>
        <n v="8590.7094000000016"/>
        <n v="84136.119600000005"/>
        <n v="21664.440000000002"/>
        <n v="49336.511399999996"/>
        <n v="15366.983199999999"/>
        <n v="110.14919999999999"/>
        <n v="19773.362699999998"/>
        <n v="9262.0686600000008"/>
        <n v="33551.927499999998"/>
        <n v="5323.9903199999999"/>
        <n v="9774.3888000000006"/>
        <n v="109244"/>
        <n v="7466.3063999999986"/>
        <n v="24147.922500000001"/>
        <n v="13108.78584"/>
        <n v="12289.2"/>
        <n v="7428.1108999999988"/>
        <n v="5280.8577599999999"/>
        <n v="28247.74656"/>
        <n v="68665.574250000005"/>
        <n v="11859.695119999998"/>
        <n v="34840.344000000005"/>
        <n v="1950.0031200000001"/>
        <n v="65111.38614000001"/>
        <n v="5962.1422499999999"/>
        <n v="10817.3416"/>
        <n v="14714.12934"/>
        <n v="40563.321749999996"/>
        <n v="14197.064400000001"/>
        <n v="14968.239"/>
        <n v="11842.8464"/>
        <n v="2642.1686999999997"/>
        <n v="14549.029120000001"/>
        <n v="17427.164800000002"/>
        <n v="30652.403519999996"/>
        <n v="13218.5"/>
        <n v="41106.800970000004"/>
        <n v="34139.159999999996"/>
        <n v="26408.63841"/>
        <n v="1009.2969000000002"/>
        <n v="8938.8996600000009"/>
        <n v="8330.2513199999994"/>
        <n v="58057.65"/>
        <n v="10893.6232"/>
        <n v="12186.368600000002"/>
        <n v="21679.749799999998"/>
        <n v="5250.4239000000007"/>
        <n v="18061.204320000004"/>
        <n v="10519.776450000001"/>
        <n v="15825.399369999997"/>
        <n v="3823.6151599999998"/>
        <n v="31005.24768"/>
        <n v="18957.37689"/>
        <n v="35167.7448"/>
        <n v="58526.83122"/>
        <n v="7493.1076000000012"/>
        <n v="6535.6324800000002"/>
        <n v="25249.613219999999"/>
        <n v="15323.926799999999"/>
        <n v="9256.14"/>
        <n v="5960.04288"/>
        <n v="34632.106319999999"/>
        <n v="9509.2865999999995"/>
        <n v="41419.524249999995"/>
        <n v="19542.975350000001"/>
        <n v="7203.8047000000006"/>
        <n v="25079.480689999997"/>
        <n v="12335.654849999999"/>
        <n v="8297.4286000000011"/>
        <n v="28211.92124"/>
        <n v="35567.737920000007"/>
        <n v="2719.8567000000003"/>
        <n v="1756.6999999999998"/>
        <n v="4241.88105"/>
        <n v="6664.0999999999995"/>
        <n v="1660.3999999999999"/>
        <n v="23782.310720000001"/>
        <n v="9373.460219999999"/>
        <n v="37038.581760000001"/>
        <n v="13450.74"/>
        <n v="30229.994880000002"/>
        <n v="19547.329920000004"/>
        <n v="22380.204000000002"/>
        <n v="16121.273400000002"/>
        <n v="11417.429099999999"/>
        <n v="9698.1638399999993"/>
        <n v="12967.958640000001"/>
        <n v="2077.46"/>
        <n v="6324.5775999999996"/>
        <n v="23694.405119999999"/>
        <n v="2909.8689199999999"/>
        <n v="3980.7075"/>
        <n v="24161.205600000001"/>
        <n v="20028.787380000002"/>
        <n v="748.22303999999997"/>
        <n v="38422.022320000004"/>
        <n v="13251.48"/>
        <n v="5932.7856000000002"/>
        <n v="7678.2113999999992"/>
        <n v="45547.183360000003"/>
        <n v="21585.15"/>
        <n v="14813.731920000002"/>
        <n v="7399.4832000000006"/>
        <n v="3175.1547799999998"/>
        <n v="3823.5108"/>
        <n v="79082.507010000001"/>
        <n v="8211.6342000000004"/>
        <n v="33687.501800000005"/>
        <n v="33938.142760000002"/>
        <n v="27676.35"/>
        <n v="34816.968000000001"/>
        <n v="34.689059999999998"/>
        <n v="23195.01828"/>
        <n v="40325.31"/>
        <n v="846.34703999999988"/>
        <n v="20171.63305"/>
        <n v="2316.2621999999997"/>
        <n v="5725.6496000000006"/>
        <n v="79548.755999999994"/>
        <n v="321.93290999999999"/>
        <n v="3525.5505600000001"/>
        <n v="4071.8"/>
        <n v="50296.415399999998"/>
        <n v="35621.302319999995"/>
        <n v="11326.846439999999"/>
        <n v="1952.6356799999999"/>
        <n v="5546.4642200000008"/>
        <n v="12972.00222"/>
        <n v="4025.8565599999993"/>
        <n v="17540.201120000002"/>
        <n v="6984.8246399999998"/>
        <n v="20038.536"/>
        <n v="20079.343620000003"/>
        <n v="31404.1"/>
        <n v="4637.7968000000001"/>
        <n v="5331.6696000000002"/>
        <n v="21584.693520000001"/>
        <n v="139277.83032000001"/>
        <n v="33308.550000000003"/>
        <n v="1641.7107199999998"/>
        <n v="28386.015839999996"/>
        <n v="15155.326800000001"/>
        <n v="25174.028880000002"/>
        <n v="7173.3342799999991"/>
        <n v="5225.2710400000005"/>
        <n v="3378.1478400000001"/>
        <n v="841.00536"/>
        <n v="39516.804389999998"/>
        <n v="4375.3620000000001"/>
        <n v="43553.493060000001"/>
        <n v="1062.5902000000001"/>
        <n v="25577.274079999999"/>
        <n v="11332.142999999998"/>
        <n v="741.43835999999999"/>
        <n v="8780.5809000000008"/>
        <n v="35367.211040000002"/>
        <n v="3562.9028999999996"/>
        <n v="7901.5041599999995"/>
        <n v="22676.312610000001"/>
        <n v="11813.604160000001"/>
        <n v="5127.0390600000001"/>
        <n v="9614.4403999999995"/>
        <n v="29175.036029999999"/>
        <n v="147.00756000000001"/>
        <n v="4117.4880599999997"/>
        <n v="9984.7160999999978"/>
        <n v="8093.4784"/>
        <n v="12040.64352"/>
        <n v="12091.190399999999"/>
        <n v="16609.090809999998"/>
        <n v="1886.9915999999998"/>
        <n v="4569.5735999999997"/>
        <n v="42433.254400000005"/>
        <n v="4856.35725"/>
        <n v="52780.07"/>
        <n v="21062.61248"/>
        <n v="8637.1874499999994"/>
        <n v="15860.782080000001"/>
        <n v="20163.409200000002"/>
        <n v="3494.4040799999998"/>
        <n v="3644.3212800000006"/>
        <n v="20455.985130000001"/>
        <n v="7969.4615000000003"/>
        <n v="5334.9141999999993"/>
        <n v="36161.097000000002"/>
        <n v="11984.891250000001"/>
        <n v="29263.754519999995"/>
        <n v="1846.8040799999999"/>
        <n v="40139.874619999995"/>
        <n v="2146.5580500000001"/>
        <n v="5565.3272500000003"/>
        <n v="34800.431400000001"/>
        <n v="9647.3852800000004"/>
        <n v="12236.874600000001"/>
        <n v="7120.6486400000003"/>
        <n v="16142.527829999999"/>
        <n v="14431.738420000001"/>
        <n v="8903.4839999999986"/>
        <n v="4968.5039999999999"/>
        <n v="524.81174999999996"/>
        <n v="1808.04592"/>
        <n v="4417.8334199999999"/>
        <n v="9684.8756000000012"/>
        <n v="4679.7141600000004"/>
        <n v="10370.549999999999"/>
        <n v="10947.904"/>
        <n v="19510.808000000001"/>
        <n v="10464.138360000001"/>
        <n v="853.32276999999988"/>
        <n v="76.138720000000006"/>
        <n v="5328.4890400000004"/>
        <n v="4831.9464600000001"/>
        <n v="20084.133720000002"/>
        <n v="24223.05"/>
        <n v="2518.8755800000004"/>
        <n v="10936.992"/>
        <n v="1774.8072"/>
        <n v="13185.543"/>
        <n v="4804.4682400000002"/>
        <n v="17731.623"/>
        <n v="18554.370299999999"/>
        <n v="8324.8326000000015"/>
        <n v="17847.907199999998"/>
        <n v="10859.64"/>
        <n v="6576.298960000001"/>
        <n v="272.98599999999999"/>
        <n v="6393.0952799999995"/>
        <n v="34082.864639999993"/>
        <n v="2117.4834999999998"/>
        <n v="10693.88488"/>
        <n v="7703.8640800000003"/>
        <n v="102122.94203999999"/>
        <n v="4420.5961799999995"/>
        <n v="2537.2908000000002"/>
        <n v="10166.535600000001"/>
        <n v="13669.81"/>
        <n v="18.659839999999999"/>
        <n v="41138.261999999995"/>
        <n v="56176.777799999996"/>
        <n v="6066.54648"/>
        <n v="66988.771199999988"/>
        <n v="10189.8891"/>
        <n v="19233.355499999998"/>
        <n v="4409.5168800000001"/>
        <n v="13360.438"/>
        <n v="765.99195000000009"/>
        <n v="31556.187599999997"/>
        <n v="7507.4514899999995"/>
        <n v="8128.5187499999993"/>
        <n v="11995.153920000001"/>
        <n v="5487.6023999999998"/>
        <n v="266.17821999999995"/>
        <n v="8764.4065599999994"/>
        <n v="39263.702919999996"/>
        <n v="39810.328000000001"/>
        <n v="1098.9470800000001"/>
        <n v="5814.6927299999998"/>
        <n v="13519.529099999998"/>
        <n v="4569.8508000000002"/>
        <n v="31680.795320000001"/>
        <n v="10382.65884"/>
        <n v="534.57695999999999"/>
        <n v="6667.9199999999983"/>
        <n v="27701.570400000001"/>
        <n v="15374.563199999999"/>
        <n v="37562.28"/>
        <n v="25269.09"/>
        <n v="30435.614999999998"/>
        <n v="10666.229420000001"/>
        <n v="12881.097599999999"/>
        <n v="16574.544740000001"/>
        <n v="1010.3759200000001"/>
        <n v="29627.320319999999"/>
        <n v="7578.84"/>
        <n v="38096.18406"/>
        <n v="92715.25"/>
        <n v="8366.02"/>
        <n v="2915.4540999999999"/>
        <n v="1654.8966000000003"/>
        <n v="9586.8057599999993"/>
        <n v="50545.319219999998"/>
        <n v="21541.017959999997"/>
        <n v="12597.52224"/>
        <n v="7689.4560000000001"/>
        <n v="2355.2113199999999"/>
        <n v="560.36831999999993"/>
        <n v="7832.0010999999995"/>
        <n v="33200.038079999998"/>
        <n v="19066.045319999997"/>
        <n v="618.19979999999987"/>
        <n v="44173.627960000005"/>
        <n v="29659.68995"/>
        <n v="12699.28"/>
        <n v="43084.872000000003"/>
        <n v="607.30668000000003"/>
        <n v="16252.219979999998"/>
        <n v="43907.94"/>
        <n v="592.92849000000001"/>
        <n v="10792.637119999999"/>
        <n v="25553.782800000001"/>
        <n v="11696.156879999999"/>
        <n v="11742.8703"/>
        <n v="60928.502359999999"/>
      </sharedItems>
    </cacheField>
    <cacheField name="CostOfGoods" numFmtId="166">
      <sharedItems containsSemiMixedTypes="0" containsString="0" containsNumber="1" minValue="22" maxValue="83258.290000000008"/>
    </cacheField>
    <cacheField name="GrossProfit" numFmtId="166">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FirstMonthSale" numFmtId="167">
      <sharedItems containsSemiMixedTypes="0" containsNonDate="0" containsDate="1" containsString="0" minDate="2023-01-02T00:00:00" maxDate="2023-03-04T00:00:00"/>
    </cacheField>
    <cacheField name="MonthIndex" numFmtId="0">
      <sharedItems containsSemiMixedTypes="0" containsString="0" containsNumber="1" containsInteger="1" minValue="0" maxValue="32" count="33">
        <n v="1"/>
        <n v="5"/>
        <n v="0"/>
        <n v="3"/>
        <n v="11"/>
        <n v="8"/>
        <n v="7"/>
        <n v="4"/>
        <n v="9"/>
        <n v="10"/>
        <n v="6"/>
        <n v="2"/>
        <n v="21"/>
        <n v="12"/>
        <n v="16"/>
        <n v="17"/>
        <n v="22"/>
        <n v="23"/>
        <n v="19"/>
        <n v="15"/>
        <n v="14"/>
        <n v="18"/>
        <n v="13"/>
        <n v="20"/>
        <n v="28"/>
        <n v="24"/>
        <n v="30"/>
        <n v="26"/>
        <n v="29"/>
        <n v="25"/>
        <n v="31"/>
        <n v="27"/>
        <n v="32"/>
      </sharedItems>
    </cacheField>
    <cacheField name="Months (StarndardizedDate)" numFmtId="0" databaseField="0">
      <fieldGroup base="2">
        <rangePr groupBy="months" startDate="2023-01-02T00:00:00" endDate="2025-09-16T00:00:00"/>
        <groupItems count="14">
          <s v="&lt;02-01-23"/>
          <s v="Jan"/>
          <s v="Feb"/>
          <s v="Mar"/>
          <s v="Apr"/>
          <s v="May"/>
          <s v="Jun"/>
          <s v="Jul"/>
          <s v="Aug"/>
          <s v="Sep"/>
          <s v="Oct"/>
          <s v="Nov"/>
          <s v="Dec"/>
          <s v="&gt;16-09-25"/>
        </groupItems>
      </fieldGroup>
    </cacheField>
    <cacheField name="Quarters (StarndardizedDate)" numFmtId="0" databaseField="0">
      <fieldGroup base="2">
        <rangePr groupBy="quarters" startDate="2023-01-02T00:00:00" endDate="2025-09-16T00:00:00"/>
        <groupItems count="6">
          <s v="&lt;02-01-23"/>
          <s v="Qtr1"/>
          <s v="Qtr2"/>
          <s v="Qtr3"/>
          <s v="Qtr4"/>
          <s v="&gt;16-09-25"/>
        </groupItems>
      </fieldGroup>
    </cacheField>
    <cacheField name="Years (StarndardizedDate)" numFmtId="0" databaseField="0">
      <fieldGroup base="2">
        <rangePr groupBy="years" startDate="2023-01-02T00:00:00" endDate="2025-09-16T00:00:00"/>
        <groupItems count="5">
          <s v="&lt;02-01-23"/>
          <s v="2023"/>
          <s v="2024"/>
          <s v="2025"/>
          <s v="&gt;16-09-25"/>
        </groupItems>
      </fieldGroup>
    </cacheField>
    <cacheField name="Months (OrderDate)" numFmtId="0" databaseField="0">
      <fieldGroup base="1">
        <rangePr groupBy="months" startDate="2023-01-02T00:00:00" endDate="2025-09-16T00:00:00"/>
        <groupItems count="14">
          <s v="&lt;02-01-23"/>
          <s v="Jan"/>
          <s v="Feb"/>
          <s v="Mar"/>
          <s v="Apr"/>
          <s v="May"/>
          <s v="Jun"/>
          <s v="Jul"/>
          <s v="Aug"/>
          <s v="Sep"/>
          <s v="Oct"/>
          <s v="Nov"/>
          <s v="Dec"/>
          <s v="&gt;16-09-25"/>
        </groupItems>
      </fieldGroup>
    </cacheField>
    <cacheField name="Quarters (OrderDate)" numFmtId="0" databaseField="0">
      <fieldGroup base="1">
        <rangePr groupBy="quarters" startDate="2023-01-02T00:00:00" endDate="2025-09-16T00:00:00"/>
        <groupItems count="6">
          <s v="&lt;02-01-23"/>
          <s v="Qtr1"/>
          <s v="Qtr2"/>
          <s v="Qtr3"/>
          <s v="Qtr4"/>
          <s v="&gt;16-09-25"/>
        </groupItems>
      </fieldGroup>
    </cacheField>
    <cacheField name="Years (OrderDate)" numFmtId="0" databaseField="0">
      <fieldGroup base="1">
        <rangePr groupBy="years" startDate="2023-01-02T00:00:00" endDate="2025-09-16T00:00:00"/>
        <groupItems count="5">
          <s v="&lt;02-01-23"/>
          <s v="2023"/>
          <s v="2024"/>
          <s v="2025"/>
          <s v="&gt;16-09-25"/>
        </groupItems>
      </fieldGroup>
    </cacheField>
  </cacheFields>
  <extLst>
    <ext xmlns:x14="http://schemas.microsoft.com/office/spreadsheetml/2009/9/main" uri="{725AE2AE-9491-48be-B2B4-4EB974FC3084}">
      <x14:pivotCacheDefinition pivotCacheId="20633414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K. Ndalamia" refreshedDate="46051.702656712965" createdVersion="8" refreshedVersion="8" minRefreshableVersion="3" recordCount="632" xr:uid="{ADFAF96E-01C5-46B1-B3D8-DC2D7A578A22}">
  <cacheSource type="worksheet">
    <worksheetSource ref="A1:AD633" sheet="Staging Table"/>
  </cacheSource>
  <cacheFields count="30">
    <cacheField name="OrderID" numFmtId="49">
      <sharedItems/>
    </cacheField>
    <cacheField name="OrderDate" numFmtId="165">
      <sharedItems containsSemiMixedTypes="0" containsNonDate="0" containsDate="1" containsString="0" minDate="2023-01-02T00:00:00" maxDate="2025-09-16T00:00:00"/>
    </cacheField>
    <cacheField name="StarndardizedDate" numFmtId="167">
      <sharedItems containsSemiMixedTypes="0" containsNonDate="0" containsDate="1" containsString="0" minDate="2023-01-02T00:00:00" maxDate="2025-09-16T00:00:00"/>
    </cacheField>
    <cacheField name="Quarter" numFmtId="167">
      <sharedItems/>
    </cacheField>
    <cacheField name="RequiredDate" numFmtId="165">
      <sharedItems containsSemiMixedTypes="0" containsNonDate="0" containsDate="1" containsString="0" minDate="2023-01-05T00:00:00" maxDate="2025-10-06T00:00:00"/>
    </cacheField>
    <cacheField name="CorrectedRequiredDate" numFmtId="165">
      <sharedItems containsSemiMixedTypes="0" containsNonDate="0" containsDate="1" containsString="0" minDate="2023-01-05T00:00:00" maxDate="2025-10-06T00:00:00"/>
    </cacheField>
    <cacheField name="LeadTimeDays" numFmtId="2">
      <sharedItems containsSemiMixedTypes="0" containsString="0" containsNumber="1" containsInteger="1" minValue="0" maxValue="30"/>
    </cacheField>
    <cacheField name="Region" numFmtId="49">
      <sharedItems count="4">
        <s v="Asia"/>
        <s v="Africa"/>
        <s v="Americas"/>
        <s v="Europe"/>
      </sharedItems>
    </cacheField>
    <cacheField name="Country" numFmtId="49">
      <sharedItems/>
    </cacheField>
    <cacheField name="City" numFmtId="49">
      <sharedItems/>
    </cacheField>
    <cacheField name="RegionHierachy" numFmtId="0">
      <sharedItems/>
    </cacheField>
    <cacheField name="CustomerSegment" numFmtId="49">
      <sharedItems/>
    </cacheField>
    <cacheField name="Channel" numFmtId="49">
      <sharedItems/>
    </cacheField>
    <cacheField name="Salesperson" numFmtId="49">
      <sharedItems count="16">
        <s v="A. Patel"/>
        <s v="E. Garcia"/>
        <s v="O. Wang"/>
        <s v="F. Müller"/>
        <s v="K. Singh"/>
        <s v="J. Njeri"/>
        <s v="D. Smith"/>
        <s v="H. Kim"/>
        <s v="M. Rossi"/>
        <s v="I. Johnson"/>
        <s v="G. Dubois"/>
        <s v="L. Okafor"/>
        <s v="B. Chen"/>
        <s v="N. Brown"/>
        <s v="C. Otieno"/>
        <s v="Unassigned"/>
      </sharedItems>
    </cacheField>
    <cacheField name="ProductCategory" numFmtId="49">
      <sharedItems/>
    </cacheField>
    <cacheField name="SKU" numFmtId="49">
      <sharedItems/>
    </cacheField>
    <cacheField name="UnitCost" numFmtId="166">
      <sharedItems containsSemiMixedTypes="0" containsString="0" containsNumber="1" minValue="5.34" maxValue="1495.79"/>
    </cacheField>
    <cacheField name="UnitPrice" numFmtId="166">
      <sharedItems containsSemiMixedTypes="0" containsString="0" containsNumber="1" minValue="-33.659999999999997" maxValue="3661.07"/>
    </cacheField>
    <cacheField name="CorrectedUnitPrice" numFmtId="166">
      <sharedItems containsSemiMixedTypes="0" containsString="0" containsNumber="1" minValue="4.22" maxValue="3661.07"/>
    </cacheField>
    <cacheField name="PriceBand" numFmtId="166">
      <sharedItems/>
    </cacheField>
    <cacheField name="DiscountPct" numFmtId="10">
      <sharedItems containsSemiMixedTypes="0" containsString="0" containsNumber="1" minValue="0" maxValue="0.56499999999999995"/>
    </cacheField>
    <cacheField name="CorrectedDiscount" numFmtId="10">
      <sharedItems containsSemiMixedTypes="0" containsString="0" containsNumber="1" minValue="0" maxValue="0.3"/>
    </cacheField>
    <cacheField name="Quantity" numFmtId="2">
      <sharedItems containsSemiMixedTypes="0" containsString="0" containsNumber="1" containsInteger="1" minValue="2" maxValue="61"/>
    </cacheField>
    <cacheField name="Grossrevenue" numFmtId="166">
      <sharedItems containsSemiMixedTypes="0" containsString="0" containsNumber="1" minValue="18.659839999999999" maxValue="139277.83032000001"/>
    </cacheField>
    <cacheField name="CostOfGoods" numFmtId="166">
      <sharedItems containsSemiMixedTypes="0" containsString="0" containsNumber="1" minValue="22" maxValue="83258.290000000008"/>
    </cacheField>
    <cacheField name="GrossProfit" numFmtId="166">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FirstMonthSale" numFmtId="167">
      <sharedItems containsSemiMixedTypes="0" containsNonDate="0" containsDate="1" containsString="0" minDate="2023-01-02T00:00:00" maxDate="2023-03-04T00:00:00"/>
    </cacheField>
    <cacheField name="MonthIndex" numFmtId="0">
      <sharedItems containsSemiMixedTypes="0" containsString="0" containsNumber="1" containsInteger="1" minValue="0" maxValue="32"/>
    </cacheField>
    <cacheField name="HighDiscoun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K. Ndalamia" refreshedDate="46052.423327777775" createdVersion="8" refreshedVersion="8" minRefreshableVersion="3" recordCount="64" xr:uid="{FB160A19-7D0D-49B5-9A59-8510737ACC0C}">
  <cacheSource type="worksheet">
    <worksheetSource ref="A1:E65" sheet="PriceCompliance"/>
  </cacheSource>
  <cacheFields count="5">
    <cacheField name="Region" numFmtId="0">
      <sharedItems/>
    </cacheField>
    <cacheField name="Salesperson" numFmtId="0">
      <sharedItems count="16">
        <s v="Unassigned"/>
        <s v="A. Patel"/>
        <s v="D. Smith"/>
        <s v="O. Wang"/>
        <s v="I. Johnson"/>
        <s v="M. Rossi"/>
        <s v="C. Otieno"/>
        <s v="N. Brown"/>
        <s v="J. Njeri"/>
        <s v="L. Okafor"/>
        <s v="F. Müller"/>
        <s v="E. Garcia"/>
        <s v="K. Singh"/>
        <s v="H. Kim"/>
        <s v="B. Chen"/>
        <s v="G. Dubois"/>
      </sharedItems>
    </cacheField>
    <cacheField name="Sum of HighDiscount" numFmtId="0">
      <sharedItems containsSemiMixedTypes="0" containsString="0" containsNumber="1" containsInteger="1" minValue="0" maxValue="5"/>
    </cacheField>
    <cacheField name="Count of OrderID" numFmtId="0">
      <sharedItems containsSemiMixedTypes="0" containsString="0" containsNumber="1" containsInteger="1" minValue="1" maxValue="19"/>
    </cacheField>
    <cacheField name="PercentageDiscountOrders" numFmtId="9">
      <sharedItems containsSemiMixedTypes="0" containsString="0" containsNumber="1" minValue="0" maxValue="0.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K. Ndalamia" refreshedDate="46052.643864004633" createdVersion="8" refreshedVersion="8" minRefreshableVersion="3" recordCount="633" xr:uid="{65572DFF-AA35-41E5-BCC4-9389BFA831D5}">
  <cacheSource type="worksheet">
    <worksheetSource ref="A1:AD634" sheet="Staging Table"/>
  </cacheSource>
  <cacheFields count="36">
    <cacheField name="OrderID" numFmtId="49">
      <sharedItems containsBlank="1"/>
    </cacheField>
    <cacheField name="OrderDate" numFmtId="165">
      <sharedItems containsNonDate="0" containsDate="1" containsString="0" containsBlank="1" minDate="2023-01-02T00:00:00" maxDate="2025-09-16T00:00:00" count="469">
        <d v="2023-04-22T00:00:00"/>
        <d v="2023-07-22T00:00:00"/>
        <d v="2023-01-15T00:00:00"/>
        <d v="2023-05-01T00:00:00"/>
        <d v="2023-12-19T00:00:00"/>
        <d v="2023-06-23T00:00:00"/>
        <d v="2023-09-25T00:00:00"/>
        <d v="2023-08-15T00:00:00"/>
        <d v="2023-03-03T00:00:00"/>
        <d v="2023-05-07T00:00:00"/>
        <d v="2023-02-21T00:00:00"/>
        <d v="2023-04-18T00:00:00"/>
        <d v="2023-02-08T00:00:00"/>
        <d v="2023-07-01T00:00:00"/>
        <d v="2023-10-22T00:00:00"/>
        <d v="2023-10-05T00:00:00"/>
        <d v="2023-05-24T00:00:00"/>
        <d v="2023-06-15T00:00:00"/>
        <d v="2023-05-04T00:00:00"/>
        <d v="2023-12-29T00:00:00"/>
        <d v="2023-11-15T00:00:00"/>
        <d v="2023-05-17T00:00:00"/>
        <d v="2023-11-30T00:00:00"/>
        <d v="2023-09-14T00:00:00"/>
        <d v="2023-08-08T00:00:00"/>
        <d v="2023-12-21T00:00:00"/>
        <d v="2023-10-30T00:00:00"/>
        <d v="2023-12-02T00:00:00"/>
        <d v="2023-08-30T00:00:00"/>
        <d v="2023-12-03T00:00:00"/>
        <d v="2023-03-25T00:00:00"/>
        <d v="2023-08-29T00:00:00"/>
        <d v="2023-06-03T00:00:00"/>
        <d v="2023-12-22T00:00:00"/>
        <d v="2023-05-11T00:00:00"/>
        <d v="2023-08-03T00:00:00"/>
        <d v="2023-04-19T00:00:00"/>
        <d v="2023-06-29T00:00:00"/>
        <d v="2023-07-24T00:00:00"/>
        <d v="2023-02-07T00:00:00"/>
        <d v="2023-03-04T00:00:00"/>
        <d v="2023-03-13T00:00:00"/>
        <d v="2023-07-08T00:00:00"/>
        <d v="2023-02-24T00:00:00"/>
        <d v="2023-07-30T00:00:00"/>
        <d v="2023-06-14T00:00:00"/>
        <d v="2023-07-10T00:00:00"/>
        <d v="2023-04-10T00:00:00"/>
        <d v="2023-10-04T00:00:00"/>
        <d v="2023-10-07T00:00:00"/>
        <d v="2023-07-05T00:00:00"/>
        <d v="2023-08-19T00:00:00"/>
        <d v="2023-04-26T00:00:00"/>
        <d v="2023-06-01T00:00:00"/>
        <d v="2023-04-13T00:00:00"/>
        <d v="2023-05-06T00:00:00"/>
        <d v="2023-10-09T00:00:00"/>
        <d v="2023-07-18T00:00:00"/>
        <d v="2023-02-28T00:00:00"/>
        <d v="2023-06-24T00:00:00"/>
        <d v="2023-08-23T00:00:00"/>
        <d v="2023-10-18T00:00:00"/>
        <d v="2023-05-03T00:00:00"/>
        <d v="2023-01-13T00:00:00"/>
        <d v="2023-05-20T00:00:00"/>
        <d v="2023-06-05T00:00:00"/>
        <d v="2023-06-22T00:00:00"/>
        <d v="2023-10-25T00:00:00"/>
        <d v="2023-03-31T00:00:00"/>
        <d v="2023-06-09T00:00:00"/>
        <d v="2023-01-27T00:00:00"/>
        <d v="2023-12-20T00:00:00"/>
        <d v="2023-06-20T00:00:00"/>
        <d v="2023-09-21T00:00:00"/>
        <d v="2023-11-19T00:00:00"/>
        <d v="2023-05-10T00:00:00"/>
        <d v="2023-07-14T00:00:00"/>
        <d v="2023-02-15T00:00:00"/>
        <d v="2023-09-08T00:00:00"/>
        <d v="2023-07-03T00:00:00"/>
        <d v="2023-09-19T00:00:00"/>
        <d v="2023-05-27T00:00:00"/>
        <d v="2023-01-22T00:00:00"/>
        <d v="2023-01-29T00:00:00"/>
        <d v="2023-08-17T00:00:00"/>
        <d v="2023-06-10T00:00:00"/>
        <d v="2023-07-09T00:00:00"/>
        <d v="2023-04-06T00:00:00"/>
        <d v="2023-03-19T00:00:00"/>
        <d v="2023-09-17T00:00:00"/>
        <d v="2023-02-23T00:00:00"/>
        <d v="2023-09-30T00:00:00"/>
        <d v="2023-07-16T00:00:00"/>
        <d v="2023-12-01T00:00:00"/>
        <d v="2023-05-02T00:00:00"/>
        <d v="2023-01-30T00:00:00"/>
        <d v="2023-12-24T00:00:00"/>
        <d v="2023-12-05T00:00:00"/>
        <d v="2023-01-20T00:00:00"/>
        <d v="2023-05-23T00:00:00"/>
        <d v="2023-12-07T00:00:00"/>
        <d v="2023-08-21T00:00:00"/>
        <d v="2023-04-16T00:00:00"/>
        <d v="2023-02-27T00:00:00"/>
        <d v="2023-11-14T00:00:00"/>
        <d v="2023-07-07T00:00:00"/>
        <d v="2023-10-12T00:00:00"/>
        <d v="2023-08-04T00:00:00"/>
        <d v="2023-08-24T00:00:00"/>
        <d v="2023-06-17T00:00:00"/>
        <d v="2023-11-10T00:00:00"/>
        <d v="2023-10-21T00:00:00"/>
        <d v="2023-07-25T00:00:00"/>
        <d v="2023-08-27T00:00:00"/>
        <d v="2023-12-16T00:00:00"/>
        <d v="2023-01-07T00:00:00"/>
        <d v="2023-01-12T00:00:00"/>
        <d v="2023-04-14T00:00:00"/>
        <d v="2023-08-26T00:00:00"/>
        <d v="2023-08-02T00:00:00"/>
        <d v="2023-09-18T00:00:00"/>
        <d v="2023-01-02T00:00:00"/>
        <d v="2023-04-03T00:00:00"/>
        <d v="2023-12-18T00:00:00"/>
        <d v="2023-08-25T00:00:00"/>
        <d v="2023-04-21T00:00:00"/>
        <d v="2023-06-13T00:00:00"/>
        <d v="2023-01-19T00:00:00"/>
        <d v="2023-03-14T00:00:00"/>
        <d v="2023-12-30T00:00:00"/>
        <d v="2023-01-26T00:00:00"/>
        <d v="2023-12-26T00:00:00"/>
        <d v="2023-12-06T00:00:00"/>
        <d v="2023-07-19T00:00:00"/>
        <d v="2023-03-23T00:00:00"/>
        <d v="2023-10-26T00:00:00"/>
        <d v="2023-10-31T00:00:00"/>
        <d v="2023-09-20T00:00:00"/>
        <d v="2023-02-20T00:00:00"/>
        <d v="2023-03-06T00:00:00"/>
        <d v="2023-02-05T00:00:00"/>
        <d v="2023-03-27T00:00:00"/>
        <d v="2023-08-10T00:00:00"/>
        <d v="2023-04-12T00:00:00"/>
        <d v="2023-03-02T00:00:00"/>
        <d v="2023-08-12T00:00:00"/>
        <d v="2023-01-10T00:00:00"/>
        <d v="2023-02-19T00:00:00"/>
        <d v="2023-10-11T00:00:00"/>
        <d v="2023-07-26T00:00:00"/>
        <d v="2023-07-02T00:00:00"/>
        <d v="2023-10-15T00:00:00"/>
        <d v="2023-05-29T00:00:00"/>
        <d v="2023-05-14T00:00:00"/>
        <d v="2023-03-17T00:00:00"/>
        <d v="2023-04-23T00:00:00"/>
        <d v="2023-03-07T00:00:00"/>
        <d v="2023-02-11T00:00:00"/>
        <d v="2023-11-28T00:00:00"/>
        <d v="2023-12-28T00:00:00"/>
        <d v="2023-11-20T00:00:00"/>
        <d v="2023-04-05T00:00:00"/>
        <d v="2024-12-12T00:00:00"/>
        <d v="2024-01-02T00:00:00"/>
        <d v="2024-02-18T00:00:00"/>
        <d v="2024-06-04T00:00:00"/>
        <d v="2024-08-07T00:00:00"/>
        <d v="2024-12-07T00:00:00"/>
        <d v="2024-01-12T00:00:00"/>
        <d v="2024-05-21T00:00:00"/>
        <d v="2024-12-21T00:00:00"/>
        <d v="2024-12-29T00:00:00"/>
        <d v="2024-06-02T00:00:00"/>
        <d v="2024-08-23T00:00:00"/>
        <d v="2024-11-05T00:00:00"/>
        <d v="2024-12-27T00:00:00"/>
        <d v="2024-11-21T00:00:00"/>
        <d v="2024-02-29T00:00:00"/>
        <d v="2024-05-05T00:00:00"/>
        <d v="2024-07-13T00:00:00"/>
        <d v="2024-12-10T00:00:00"/>
        <d v="2024-01-13T00:00:00"/>
        <d v="2024-03-26T00:00:00"/>
        <d v="2024-01-24T00:00:00"/>
        <d v="2024-09-03T00:00:00"/>
        <d v="2024-01-28T00:00:00"/>
        <d v="2024-04-04T00:00:00"/>
        <d v="2024-08-12T00:00:00"/>
        <d v="2024-06-30T00:00:00"/>
        <d v="2024-04-03T00:00:00"/>
        <d v="2024-03-15T00:00:00"/>
        <d v="2024-06-10T00:00:00"/>
        <d v="2024-11-07T00:00:00"/>
        <d v="2024-02-14T00:00:00"/>
        <d v="2024-10-03T00:00:00"/>
        <d v="2024-03-13T00:00:00"/>
        <d v="2024-04-21T00:00:00"/>
        <d v="2024-11-02T00:00:00"/>
        <d v="2024-10-25T00:00:00"/>
        <d v="2024-03-09T00:00:00"/>
        <d v="2024-10-17T00:00:00"/>
        <d v="2024-11-27T00:00:00"/>
        <d v="2024-03-11T00:00:00"/>
        <d v="2024-01-11T00:00:00"/>
        <d v="2024-08-14T00:00:00"/>
        <d v="2024-03-18T00:00:00"/>
        <d v="2024-12-17T00:00:00"/>
        <d v="2024-07-29T00:00:00"/>
        <d v="2024-08-10T00:00:00"/>
        <d v="2024-04-05T00:00:00"/>
        <d v="2024-11-08T00:00:00"/>
        <d v="2024-05-23T00:00:00"/>
        <d v="2024-11-30T00:00:00"/>
        <d v="2024-02-01T00:00:00"/>
        <d v="2024-04-09T00:00:00"/>
        <d v="2024-10-29T00:00:00"/>
        <d v="2024-06-25T00:00:00"/>
        <d v="2024-05-22T00:00:00"/>
        <d v="2024-10-27T00:00:00"/>
        <d v="2024-08-16T00:00:00"/>
        <d v="2024-03-07T00:00:00"/>
        <d v="2024-10-30T00:00:00"/>
        <d v="2024-10-23T00:00:00"/>
        <d v="2024-04-16T00:00:00"/>
        <d v="2024-11-17T00:00:00"/>
        <d v="2024-05-18T00:00:00"/>
        <d v="2024-11-01T00:00:00"/>
        <d v="2024-12-08T00:00:00"/>
        <d v="2024-06-15T00:00:00"/>
        <d v="2024-05-20T00:00:00"/>
        <d v="2024-12-20T00:00:00"/>
        <d v="2024-07-18T00:00:00"/>
        <d v="2024-05-01T00:00:00"/>
        <d v="2024-03-04T00:00:00"/>
        <d v="2024-06-08T00:00:00"/>
        <d v="2024-08-04T00:00:00"/>
        <d v="2024-02-20T00:00:00"/>
        <d v="2024-09-23T00:00:00"/>
        <d v="2024-09-22T00:00:00"/>
        <d v="2024-03-23T00:00:00"/>
        <d v="2024-08-28T00:00:00"/>
        <d v="2024-06-06T00:00:00"/>
        <d v="2024-11-06T00:00:00"/>
        <d v="2024-07-09T00:00:00"/>
        <d v="2024-02-19T00:00:00"/>
        <d v="2024-12-05T00:00:00"/>
        <d v="2024-11-11T00:00:00"/>
        <d v="2024-01-25T00:00:00"/>
        <d v="2024-10-08T00:00:00"/>
        <d v="2024-09-09T00:00:00"/>
        <d v="2024-05-19T00:00:00"/>
        <d v="2024-11-22T00:00:00"/>
        <d v="2024-09-25T00:00:00"/>
        <d v="2024-02-27T00:00:00"/>
        <d v="2024-03-01T00:00:00"/>
        <d v="2024-05-07T00:00:00"/>
        <d v="2024-08-31T00:00:00"/>
        <d v="2024-08-30T00:00:00"/>
        <d v="2024-02-16T00:00:00"/>
        <d v="2024-05-14T00:00:00"/>
        <d v="2024-08-19T00:00:00"/>
        <d v="2024-08-27T00:00:00"/>
        <d v="2024-06-11T00:00:00"/>
        <d v="2024-04-26T00:00:00"/>
        <d v="2024-09-05T00:00:00"/>
        <d v="2024-07-11T00:00:00"/>
        <d v="2024-06-16T00:00:00"/>
        <d v="2024-05-27T00:00:00"/>
        <d v="2024-09-07T00:00:00"/>
        <d v="2024-06-07T00:00:00"/>
        <d v="2024-08-17T00:00:00"/>
        <d v="2024-05-04T00:00:00"/>
        <d v="2024-09-06T00:00:00"/>
        <d v="2024-04-06T00:00:00"/>
        <d v="2024-04-19T00:00:00"/>
        <d v="2024-01-21T00:00:00"/>
        <d v="2024-05-30T00:00:00"/>
        <d v="2024-07-15T00:00:00"/>
        <d v="2024-04-18T00:00:00"/>
        <d v="2024-05-28T00:00:00"/>
        <d v="2024-10-22T00:00:00"/>
        <d v="2024-05-10T00:00:00"/>
        <d v="2024-02-17T00:00:00"/>
        <d v="2024-02-06T00:00:00"/>
        <d v="2024-12-28T00:00:00"/>
        <d v="2024-09-02T00:00:00"/>
        <d v="2024-07-24T00:00:00"/>
        <d v="2024-10-02T00:00:00"/>
        <d v="2024-09-10T00:00:00"/>
        <d v="2024-08-03T00:00:00"/>
        <d v="2024-05-17T00:00:00"/>
        <d v="2024-06-23T00:00:00"/>
        <d v="2024-06-05T00:00:00"/>
        <d v="2024-10-11T00:00:00"/>
        <d v="2024-10-24T00:00:00"/>
        <d v="2024-10-19T00:00:00"/>
        <d v="2024-08-22T00:00:00"/>
        <d v="2024-03-31T00:00:00"/>
        <d v="2024-01-16T00:00:00"/>
        <d v="2024-10-13T00:00:00"/>
        <d v="2024-02-03T00:00:00"/>
        <d v="2024-11-04T00:00:00"/>
        <d v="2024-09-14T00:00:00"/>
        <d v="2024-11-12T00:00:00"/>
        <d v="2024-09-19T00:00:00"/>
        <d v="2024-11-20T00:00:00"/>
        <d v="2024-03-02T00:00:00"/>
        <d v="2024-10-16T00:00:00"/>
        <d v="2024-07-25T00:00:00"/>
        <d v="2024-12-15T00:00:00"/>
        <d v="2024-09-13T00:00:00"/>
        <d v="2024-02-25T00:00:00"/>
        <d v="2024-07-28T00:00:00"/>
        <d v="2024-04-24T00:00:00"/>
        <d v="2024-03-16T00:00:00"/>
        <d v="2024-12-14T00:00:00"/>
        <d v="2024-03-06T00:00:00"/>
        <d v="2024-07-19T00:00:00"/>
        <d v="2024-04-29T00:00:00"/>
        <d v="2024-12-04T00:00:00"/>
        <d v="2024-03-03T00:00:00"/>
        <d v="2024-01-08T00:00:00"/>
        <d v="2024-06-19T00:00:00"/>
        <d v="2024-01-10T00:00:00"/>
        <d v="2024-06-03T00:00:00"/>
        <d v="2024-01-20T00:00:00"/>
        <d v="2024-01-18T00:00:00"/>
        <d v="2024-03-30T00:00:00"/>
        <d v="2024-12-23T00:00:00"/>
        <d v="2024-03-10T00:00:00"/>
        <d v="2024-06-09T00:00:00"/>
        <d v="2024-08-08T00:00:00"/>
        <d v="2024-06-29T00:00:00"/>
        <d v="2024-01-01T00:00:00"/>
        <d v="2024-04-12T00:00:00"/>
        <d v="2024-10-09T00:00:00"/>
        <d v="2024-07-31T00:00:00"/>
        <d v="2024-03-27T00:00:00"/>
        <d v="2024-11-25T00:00:00"/>
        <d v="2024-10-10T00:00:00"/>
        <d v="2024-10-14T00:00:00"/>
        <d v="2024-02-11T00:00:00"/>
        <d v="2024-12-24T00:00:00"/>
        <d v="2024-05-12T00:00:00"/>
        <d v="2024-02-08T00:00:00"/>
        <d v="2024-08-18T00:00:00"/>
        <d v="2024-10-04T00:00:00"/>
        <d v="2025-05-14T00:00:00"/>
        <d v="2025-03-21T00:00:00"/>
        <d v="2025-07-17T00:00:00"/>
        <d v="2025-01-04T00:00:00"/>
        <d v="2025-04-09T00:00:00"/>
        <d v="2025-01-21T00:00:00"/>
        <d v="2025-01-10T00:00:00"/>
        <d v="2025-07-11T00:00:00"/>
        <d v="2025-03-29T00:00:00"/>
        <d v="2025-04-13T00:00:00"/>
        <d v="2025-03-24T00:00:00"/>
        <d v="2025-06-19T00:00:00"/>
        <d v="2025-06-27T00:00:00"/>
        <d v="2025-08-11T00:00:00"/>
        <d v="2025-05-10T00:00:00"/>
        <d v="2025-01-31T00:00:00"/>
        <d v="2025-03-14T00:00:00"/>
        <d v="2025-06-01T00:00:00"/>
        <d v="2025-09-08T00:00:00"/>
        <d v="2025-09-11T00:00:00"/>
        <d v="2025-04-16T00:00:00"/>
        <d v="2025-04-17T00:00:00"/>
        <d v="2025-09-12T00:00:00"/>
        <d v="2025-04-28T00:00:00"/>
        <d v="2025-05-15T00:00:00"/>
        <d v="2025-08-01T00:00:00"/>
        <d v="2025-04-04T00:00:00"/>
        <d v="2025-02-25T00:00:00"/>
        <d v="2025-06-22T00:00:00"/>
        <d v="2025-02-15T00:00:00"/>
        <d v="2025-08-03T00:00:00"/>
        <d v="2025-08-10T00:00:00"/>
        <d v="2025-04-10T00:00:00"/>
        <d v="2025-06-24T00:00:00"/>
        <d v="2025-04-27T00:00:00"/>
        <d v="2025-01-27T00:00:00"/>
        <d v="2025-03-25T00:00:00"/>
        <d v="2025-02-16T00:00:00"/>
        <d v="2025-01-09T00:00:00"/>
        <d v="2025-05-18T00:00:00"/>
        <d v="2025-06-05T00:00:00"/>
        <d v="2025-01-22T00:00:00"/>
        <d v="2025-08-30T00:00:00"/>
        <d v="2025-06-09T00:00:00"/>
        <d v="2025-08-06T00:00:00"/>
        <d v="2025-02-07T00:00:00"/>
        <d v="2025-03-30T00:00:00"/>
        <d v="2025-07-24T00:00:00"/>
        <d v="2025-06-17T00:00:00"/>
        <d v="2025-02-19T00:00:00"/>
        <d v="2025-06-15T00:00:00"/>
        <d v="2025-05-27T00:00:00"/>
        <d v="2025-04-11T00:00:00"/>
        <d v="2025-03-06T00:00:00"/>
        <d v="2025-04-23T00:00:00"/>
        <d v="2025-07-27T00:00:00"/>
        <d v="2025-03-03T00:00:00"/>
        <d v="2025-05-16T00:00:00"/>
        <d v="2025-03-08T00:00:00"/>
        <d v="2025-01-03T00:00:00"/>
        <d v="2025-03-11T00:00:00"/>
        <d v="2025-08-05T00:00:00"/>
        <d v="2025-07-22T00:00:00"/>
        <d v="2025-01-13T00:00:00"/>
        <d v="2025-04-07T00:00:00"/>
        <d v="2025-01-29T00:00:00"/>
        <d v="2025-06-14T00:00:00"/>
        <d v="2025-07-14T00:00:00"/>
        <d v="2025-09-14T00:00:00"/>
        <d v="2025-06-25T00:00:00"/>
        <d v="2025-04-12T00:00:00"/>
        <d v="2025-03-15T00:00:00"/>
        <d v="2025-07-21T00:00:00"/>
        <d v="2025-01-07T00:00:00"/>
        <d v="2025-08-02T00:00:00"/>
        <d v="2025-01-17T00:00:00"/>
        <d v="2025-07-19T00:00:00"/>
        <d v="2025-02-12T00:00:00"/>
        <d v="2025-07-03T00:00:00"/>
        <d v="2025-08-21T00:00:00"/>
        <d v="2025-01-11T00:00:00"/>
        <d v="2025-02-04T00:00:00"/>
        <d v="2025-03-31T00:00:00"/>
        <d v="2025-09-15T00:00:00"/>
        <d v="2025-05-07T00:00:00"/>
        <d v="2025-07-16T00:00:00"/>
        <d v="2025-03-10T00:00:00"/>
        <d v="2025-08-13T00:00:00"/>
        <d v="2025-06-03T00:00:00"/>
        <d v="2025-05-21T00:00:00"/>
        <d v="2025-07-23T00:00:00"/>
        <d v="2025-02-17T00:00:00"/>
        <d v="2025-09-10T00:00:00"/>
        <d v="2025-02-28T00:00:00"/>
        <d v="2025-04-24T00:00:00"/>
        <d v="2025-08-25T00:00:00"/>
        <d v="2025-05-02T00:00:00"/>
        <d v="2025-04-06T00:00:00"/>
        <d v="2025-04-22T00:00:00"/>
        <d v="2025-05-19T00:00:00"/>
        <d v="2025-08-28T00:00:00"/>
        <d v="2025-05-29T00:00:00"/>
        <d v="2025-08-07T00:00:00"/>
        <d v="2025-05-17T00:00:00"/>
        <d v="2025-09-01T00:00:00"/>
        <d v="2025-07-20T00:00:00"/>
        <d v="2025-04-14T00:00:00"/>
        <d v="2025-04-01T00:00:00"/>
        <d v="2025-05-12T00:00:00"/>
        <d v="2025-02-21T00:00:00"/>
        <d v="2025-09-02T00:00:00"/>
        <d v="2025-02-02T00:00:00"/>
        <d v="2025-06-21T00:00:00"/>
        <d v="2025-01-20T00:00:00"/>
        <d v="2025-02-06T00:00:00"/>
        <d v="2025-06-26T00:00:00"/>
        <d v="2025-02-09T00:00:00"/>
        <d v="2025-03-23T00:00:00"/>
        <d v="2025-08-14T00:00:00"/>
        <d v="2025-07-09T00:00:00"/>
        <d v="2025-08-20T00:00:00"/>
        <m/>
      </sharedItems>
      <fieldGroup par="35"/>
    </cacheField>
    <cacheField name="StarndardizedDate" numFmtId="0">
      <sharedItems containsNonDate="0" containsDate="1" containsString="0" containsBlank="1" minDate="2023-01-02T00:00:00" maxDate="2025-09-16T00:00:00" count="469">
        <d v="2023-04-22T00:00:00"/>
        <d v="2023-07-22T00:00:00"/>
        <d v="2023-01-15T00:00:00"/>
        <d v="2023-05-01T00:00:00"/>
        <d v="2023-12-19T00:00:00"/>
        <d v="2023-06-23T00:00:00"/>
        <d v="2023-09-25T00:00:00"/>
        <d v="2023-08-15T00:00:00"/>
        <d v="2023-03-03T00:00:00"/>
        <d v="2023-05-07T00:00:00"/>
        <d v="2023-02-21T00:00:00"/>
        <d v="2023-04-18T00:00:00"/>
        <d v="2023-02-08T00:00:00"/>
        <d v="2023-07-01T00:00:00"/>
        <d v="2023-10-22T00:00:00"/>
        <d v="2023-10-05T00:00:00"/>
        <d v="2023-05-24T00:00:00"/>
        <d v="2023-06-15T00:00:00"/>
        <d v="2023-05-04T00:00:00"/>
        <d v="2023-12-29T00:00:00"/>
        <d v="2023-11-15T00:00:00"/>
        <d v="2023-05-17T00:00:00"/>
        <d v="2023-11-30T00:00:00"/>
        <d v="2023-09-14T00:00:00"/>
        <d v="2023-08-08T00:00:00"/>
        <d v="2023-12-21T00:00:00"/>
        <d v="2023-10-30T00:00:00"/>
        <d v="2023-12-02T00:00:00"/>
        <d v="2023-08-30T00:00:00"/>
        <d v="2023-12-03T00:00:00"/>
        <d v="2023-03-25T00:00:00"/>
        <d v="2023-08-29T00:00:00"/>
        <d v="2023-06-03T00:00:00"/>
        <d v="2023-12-22T00:00:00"/>
        <d v="2023-05-11T00:00:00"/>
        <d v="2023-08-03T00:00:00"/>
        <d v="2023-04-19T00:00:00"/>
        <d v="2023-06-29T00:00:00"/>
        <d v="2023-07-24T00:00:00"/>
        <d v="2023-02-07T00:00:00"/>
        <d v="2023-03-04T00:00:00"/>
        <d v="2023-03-13T00:00:00"/>
        <d v="2023-07-08T00:00:00"/>
        <d v="2023-02-24T00:00:00"/>
        <d v="2023-07-30T00:00:00"/>
        <d v="2023-06-14T00:00:00"/>
        <d v="2023-07-10T00:00:00"/>
        <d v="2023-04-10T00:00:00"/>
        <d v="2023-10-04T00:00:00"/>
        <d v="2023-10-07T00:00:00"/>
        <d v="2023-07-05T00:00:00"/>
        <d v="2023-08-19T00:00:00"/>
        <d v="2023-04-26T00:00:00"/>
        <d v="2023-06-01T00:00:00"/>
        <d v="2023-04-13T00:00:00"/>
        <d v="2023-05-06T00:00:00"/>
        <d v="2023-10-09T00:00:00"/>
        <d v="2023-07-18T00:00:00"/>
        <d v="2023-02-28T00:00:00"/>
        <d v="2023-06-24T00:00:00"/>
        <d v="2023-08-23T00:00:00"/>
        <d v="2023-10-18T00:00:00"/>
        <d v="2023-05-03T00:00:00"/>
        <d v="2023-01-13T00:00:00"/>
        <d v="2023-05-20T00:00:00"/>
        <d v="2023-06-05T00:00:00"/>
        <d v="2023-06-22T00:00:00"/>
        <d v="2023-10-25T00:00:00"/>
        <d v="2023-03-31T00:00:00"/>
        <d v="2023-06-09T00:00:00"/>
        <d v="2023-01-27T00:00:00"/>
        <d v="2023-12-20T00:00:00"/>
        <d v="2023-06-20T00:00:00"/>
        <d v="2023-09-21T00:00:00"/>
        <d v="2023-11-19T00:00:00"/>
        <d v="2023-05-10T00:00:00"/>
        <d v="2023-07-14T00:00:00"/>
        <d v="2023-02-15T00:00:00"/>
        <d v="2023-09-08T00:00:00"/>
        <d v="2023-07-03T00:00:00"/>
        <d v="2023-09-19T00:00:00"/>
        <d v="2023-05-27T00:00:00"/>
        <d v="2023-01-22T00:00:00"/>
        <d v="2023-01-29T00:00:00"/>
        <d v="2023-08-17T00:00:00"/>
        <d v="2023-06-10T00:00:00"/>
        <d v="2023-07-09T00:00:00"/>
        <d v="2023-04-06T00:00:00"/>
        <d v="2023-03-19T00:00:00"/>
        <d v="2023-09-17T00:00:00"/>
        <d v="2023-02-23T00:00:00"/>
        <d v="2023-09-30T00:00:00"/>
        <d v="2023-07-16T00:00:00"/>
        <d v="2023-12-01T00:00:00"/>
        <d v="2023-05-02T00:00:00"/>
        <d v="2023-01-30T00:00:00"/>
        <d v="2023-12-24T00:00:00"/>
        <d v="2023-12-05T00:00:00"/>
        <d v="2023-01-20T00:00:00"/>
        <d v="2023-05-23T00:00:00"/>
        <d v="2023-12-07T00:00:00"/>
        <d v="2023-08-21T00:00:00"/>
        <d v="2023-04-16T00:00:00"/>
        <d v="2023-02-27T00:00:00"/>
        <d v="2023-11-14T00:00:00"/>
        <d v="2023-07-07T00:00:00"/>
        <d v="2023-10-12T00:00:00"/>
        <d v="2023-08-04T00:00:00"/>
        <d v="2023-08-24T00:00:00"/>
        <d v="2023-06-17T00:00:00"/>
        <d v="2023-11-10T00:00:00"/>
        <d v="2023-10-21T00:00:00"/>
        <d v="2023-07-25T00:00:00"/>
        <d v="2023-08-27T00:00:00"/>
        <d v="2023-12-16T00:00:00"/>
        <d v="2023-01-07T00:00:00"/>
        <d v="2023-01-12T00:00:00"/>
        <d v="2023-04-14T00:00:00"/>
        <d v="2023-08-26T00:00:00"/>
        <d v="2023-08-02T00:00:00"/>
        <d v="2023-09-18T00:00:00"/>
        <d v="2023-01-02T00:00:00"/>
        <d v="2023-04-03T00:00:00"/>
        <d v="2023-12-18T00:00:00"/>
        <d v="2023-08-25T00:00:00"/>
        <d v="2023-04-21T00:00:00"/>
        <d v="2023-06-13T00:00:00"/>
        <d v="2023-01-19T00:00:00"/>
        <d v="2023-03-14T00:00:00"/>
        <d v="2023-12-30T00:00:00"/>
        <d v="2023-01-26T00:00:00"/>
        <d v="2023-12-26T00:00:00"/>
        <d v="2023-12-06T00:00:00"/>
        <d v="2023-07-19T00:00:00"/>
        <d v="2023-03-23T00:00:00"/>
        <d v="2023-10-26T00:00:00"/>
        <d v="2023-10-31T00:00:00"/>
        <d v="2023-09-20T00:00:00"/>
        <d v="2023-02-20T00:00:00"/>
        <d v="2023-03-06T00:00:00"/>
        <d v="2023-02-05T00:00:00"/>
        <d v="2023-03-27T00:00:00"/>
        <d v="2023-08-10T00:00:00"/>
        <d v="2023-04-12T00:00:00"/>
        <d v="2023-03-02T00:00:00"/>
        <d v="2023-08-12T00:00:00"/>
        <d v="2023-01-10T00:00:00"/>
        <d v="2023-02-19T00:00:00"/>
        <d v="2023-10-11T00:00:00"/>
        <d v="2023-07-26T00:00:00"/>
        <d v="2023-07-02T00:00:00"/>
        <d v="2023-10-15T00:00:00"/>
        <d v="2023-05-29T00:00:00"/>
        <d v="2023-05-14T00:00:00"/>
        <d v="2023-03-17T00:00:00"/>
        <d v="2023-04-23T00:00:00"/>
        <d v="2023-03-07T00:00:00"/>
        <d v="2023-02-11T00:00:00"/>
        <d v="2023-11-28T00:00:00"/>
        <d v="2023-12-28T00:00:00"/>
        <d v="2023-11-20T00:00:00"/>
        <d v="2023-04-05T00:00:00"/>
        <d v="2024-12-12T00:00:00"/>
        <d v="2024-01-02T00:00:00"/>
        <d v="2024-02-18T00:00:00"/>
        <d v="2024-06-04T00:00:00"/>
        <d v="2024-08-07T00:00:00"/>
        <d v="2024-12-07T00:00:00"/>
        <d v="2024-01-12T00:00:00"/>
        <d v="2024-05-21T00:00:00"/>
        <d v="2024-12-21T00:00:00"/>
        <d v="2024-12-29T00:00:00"/>
        <d v="2024-06-02T00:00:00"/>
        <d v="2024-08-23T00:00:00"/>
        <d v="2024-11-05T00:00:00"/>
        <d v="2024-12-27T00:00:00"/>
        <d v="2024-11-21T00:00:00"/>
        <d v="2024-02-29T00:00:00"/>
        <d v="2024-05-05T00:00:00"/>
        <d v="2024-07-13T00:00:00"/>
        <d v="2024-12-10T00:00:00"/>
        <d v="2024-01-13T00:00:00"/>
        <d v="2024-03-26T00:00:00"/>
        <d v="2024-01-24T00:00:00"/>
        <d v="2024-09-03T00:00:00"/>
        <d v="2024-01-28T00:00:00"/>
        <d v="2024-04-04T00:00:00"/>
        <d v="2024-08-12T00:00:00"/>
        <d v="2024-06-30T00:00:00"/>
        <d v="2024-04-03T00:00:00"/>
        <d v="2024-03-15T00:00:00"/>
        <d v="2024-06-10T00:00:00"/>
        <d v="2024-11-07T00:00:00"/>
        <d v="2024-02-14T00:00:00"/>
        <d v="2024-10-03T00:00:00"/>
        <d v="2024-03-13T00:00:00"/>
        <d v="2024-04-21T00:00:00"/>
        <d v="2024-11-02T00:00:00"/>
        <d v="2024-10-25T00:00:00"/>
        <d v="2024-03-09T00:00:00"/>
        <d v="2024-10-17T00:00:00"/>
        <d v="2024-11-27T00:00:00"/>
        <d v="2024-03-11T00:00:00"/>
        <d v="2024-01-11T00:00:00"/>
        <d v="2024-08-14T00:00:00"/>
        <d v="2024-03-18T00:00:00"/>
        <d v="2024-12-17T00:00:00"/>
        <d v="2024-07-29T00:00:00"/>
        <d v="2024-08-10T00:00:00"/>
        <d v="2024-04-05T00:00:00"/>
        <d v="2024-11-08T00:00:00"/>
        <d v="2024-05-23T00:00:00"/>
        <d v="2024-11-30T00:00:00"/>
        <d v="2024-02-01T00:00:00"/>
        <d v="2024-04-09T00:00:00"/>
        <d v="2024-10-29T00:00:00"/>
        <d v="2024-06-25T00:00:00"/>
        <d v="2024-05-22T00:00:00"/>
        <d v="2024-10-27T00:00:00"/>
        <d v="2024-08-16T00:00:00"/>
        <d v="2024-03-07T00:00:00"/>
        <d v="2024-10-30T00:00:00"/>
        <d v="2024-10-23T00:00:00"/>
        <d v="2024-04-16T00:00:00"/>
        <d v="2024-11-17T00:00:00"/>
        <d v="2024-05-18T00:00:00"/>
        <d v="2024-11-01T00:00:00"/>
        <d v="2024-12-08T00:00:00"/>
        <d v="2024-06-15T00:00:00"/>
        <d v="2024-05-20T00:00:00"/>
        <d v="2024-12-20T00:00:00"/>
        <d v="2024-07-18T00:00:00"/>
        <d v="2024-05-01T00:00:00"/>
        <d v="2024-03-04T00:00:00"/>
        <d v="2024-06-08T00:00:00"/>
        <d v="2024-08-04T00:00:00"/>
        <d v="2024-02-20T00:00:00"/>
        <d v="2024-09-23T00:00:00"/>
        <d v="2024-09-22T00:00:00"/>
        <d v="2024-03-23T00:00:00"/>
        <d v="2024-08-28T00:00:00"/>
        <d v="2024-06-06T00:00:00"/>
        <d v="2024-11-06T00:00:00"/>
        <d v="2024-07-09T00:00:00"/>
        <d v="2024-02-19T00:00:00"/>
        <d v="2024-12-05T00:00:00"/>
        <d v="2024-11-11T00:00:00"/>
        <d v="2024-01-25T00:00:00"/>
        <d v="2024-10-08T00:00:00"/>
        <d v="2024-09-09T00:00:00"/>
        <d v="2024-05-19T00:00:00"/>
        <d v="2024-11-22T00:00:00"/>
        <d v="2024-09-25T00:00:00"/>
        <d v="2024-02-27T00:00:00"/>
        <d v="2024-03-01T00:00:00"/>
        <d v="2024-05-07T00:00:00"/>
        <d v="2024-08-31T00:00:00"/>
        <d v="2024-08-30T00:00:00"/>
        <d v="2024-02-16T00:00:00"/>
        <d v="2024-05-14T00:00:00"/>
        <d v="2024-08-19T00:00:00"/>
        <d v="2024-08-27T00:00:00"/>
        <d v="2024-06-11T00:00:00"/>
        <d v="2024-04-26T00:00:00"/>
        <d v="2024-09-05T00:00:00"/>
        <d v="2024-07-11T00:00:00"/>
        <d v="2024-06-16T00:00:00"/>
        <d v="2024-05-27T00:00:00"/>
        <d v="2024-09-07T00:00:00"/>
        <d v="2024-06-07T00:00:00"/>
        <d v="2024-08-17T00:00:00"/>
        <d v="2024-05-04T00:00:00"/>
        <d v="2024-09-06T00:00:00"/>
        <d v="2024-04-06T00:00:00"/>
        <d v="2024-04-19T00:00:00"/>
        <d v="2024-01-21T00:00:00"/>
        <d v="2024-05-30T00:00:00"/>
        <d v="2024-07-15T00:00:00"/>
        <d v="2024-04-18T00:00:00"/>
        <d v="2024-05-28T00:00:00"/>
        <d v="2024-10-22T00:00:00"/>
        <d v="2024-05-10T00:00:00"/>
        <d v="2024-02-17T00:00:00"/>
        <d v="2024-02-06T00:00:00"/>
        <d v="2024-12-28T00:00:00"/>
        <d v="2024-09-02T00:00:00"/>
        <d v="2024-07-24T00:00:00"/>
        <d v="2024-10-02T00:00:00"/>
        <d v="2024-09-10T00:00:00"/>
        <d v="2024-08-03T00:00:00"/>
        <d v="2024-05-17T00:00:00"/>
        <d v="2024-06-23T00:00:00"/>
        <d v="2024-06-05T00:00:00"/>
        <d v="2024-10-11T00:00:00"/>
        <d v="2024-10-24T00:00:00"/>
        <d v="2024-10-19T00:00:00"/>
        <d v="2024-08-22T00:00:00"/>
        <d v="2024-03-31T00:00:00"/>
        <d v="2024-01-16T00:00:00"/>
        <d v="2024-10-13T00:00:00"/>
        <d v="2024-02-03T00:00:00"/>
        <d v="2024-11-04T00:00:00"/>
        <d v="2024-09-14T00:00:00"/>
        <d v="2024-11-12T00:00:00"/>
        <d v="2024-09-19T00:00:00"/>
        <d v="2024-11-20T00:00:00"/>
        <d v="2024-03-02T00:00:00"/>
        <d v="2024-10-16T00:00:00"/>
        <d v="2024-07-25T00:00:00"/>
        <d v="2024-12-15T00:00:00"/>
        <d v="2024-09-13T00:00:00"/>
        <d v="2024-02-25T00:00:00"/>
        <d v="2024-07-28T00:00:00"/>
        <d v="2024-04-24T00:00:00"/>
        <d v="2024-03-16T00:00:00"/>
        <d v="2024-12-14T00:00:00"/>
        <d v="2024-03-06T00:00:00"/>
        <d v="2024-07-19T00:00:00"/>
        <d v="2024-04-29T00:00:00"/>
        <d v="2024-12-04T00:00:00"/>
        <d v="2024-03-03T00:00:00"/>
        <d v="2024-01-08T00:00:00"/>
        <d v="2024-06-19T00:00:00"/>
        <d v="2024-01-10T00:00:00"/>
        <d v="2024-06-03T00:00:00"/>
        <d v="2024-01-20T00:00:00"/>
        <d v="2024-01-18T00:00:00"/>
        <d v="2024-03-30T00:00:00"/>
        <d v="2024-12-23T00:00:00"/>
        <d v="2024-03-10T00:00:00"/>
        <d v="2024-06-09T00:00:00"/>
        <d v="2024-08-08T00:00:00"/>
        <d v="2024-06-29T00:00:00"/>
        <d v="2024-01-01T00:00:00"/>
        <d v="2024-04-12T00:00:00"/>
        <d v="2024-10-09T00:00:00"/>
        <d v="2024-07-31T00:00:00"/>
        <d v="2024-03-27T00:00:00"/>
        <d v="2024-11-25T00:00:00"/>
        <d v="2024-10-10T00:00:00"/>
        <d v="2024-10-14T00:00:00"/>
        <d v="2024-02-11T00:00:00"/>
        <d v="2024-12-24T00:00:00"/>
        <d v="2024-05-12T00:00:00"/>
        <d v="2024-02-08T00:00:00"/>
        <d v="2024-08-18T00:00:00"/>
        <d v="2024-10-04T00:00:00"/>
        <d v="2025-05-14T00:00:00"/>
        <d v="2025-03-21T00:00:00"/>
        <d v="2025-07-17T00:00:00"/>
        <d v="2025-01-04T00:00:00"/>
        <d v="2025-04-09T00:00:00"/>
        <d v="2025-01-21T00:00:00"/>
        <d v="2025-01-10T00:00:00"/>
        <d v="2025-07-11T00:00:00"/>
        <d v="2025-03-29T00:00:00"/>
        <d v="2025-04-13T00:00:00"/>
        <d v="2025-03-24T00:00:00"/>
        <d v="2025-06-19T00:00:00"/>
        <d v="2025-06-27T00:00:00"/>
        <d v="2025-08-11T00:00:00"/>
        <d v="2025-05-10T00:00:00"/>
        <d v="2025-01-31T00:00:00"/>
        <d v="2025-03-14T00:00:00"/>
        <d v="2025-06-01T00:00:00"/>
        <d v="2025-09-08T00:00:00"/>
        <d v="2025-09-11T00:00:00"/>
        <d v="2025-04-16T00:00:00"/>
        <d v="2025-04-17T00:00:00"/>
        <d v="2025-09-12T00:00:00"/>
        <d v="2025-04-28T00:00:00"/>
        <d v="2025-05-15T00:00:00"/>
        <d v="2025-08-01T00:00:00"/>
        <d v="2025-04-04T00:00:00"/>
        <d v="2025-02-25T00:00:00"/>
        <d v="2025-06-22T00:00:00"/>
        <d v="2025-02-15T00:00:00"/>
        <d v="2025-08-03T00:00:00"/>
        <d v="2025-08-10T00:00:00"/>
        <d v="2025-04-10T00:00:00"/>
        <d v="2025-06-24T00:00:00"/>
        <d v="2025-04-27T00:00:00"/>
        <d v="2025-01-27T00:00:00"/>
        <d v="2025-03-25T00:00:00"/>
        <d v="2025-02-16T00:00:00"/>
        <d v="2025-01-09T00:00:00"/>
        <d v="2025-05-18T00:00:00"/>
        <d v="2025-06-05T00:00:00"/>
        <d v="2025-01-22T00:00:00"/>
        <d v="2025-08-30T00:00:00"/>
        <d v="2025-06-09T00:00:00"/>
        <d v="2025-08-06T00:00:00"/>
        <d v="2025-02-07T00:00:00"/>
        <d v="2025-03-30T00:00:00"/>
        <d v="2025-07-24T00:00:00"/>
        <d v="2025-06-17T00:00:00"/>
        <d v="2025-02-19T00:00:00"/>
        <d v="2025-06-15T00:00:00"/>
        <d v="2025-05-27T00:00:00"/>
        <d v="2025-04-11T00:00:00"/>
        <d v="2025-03-06T00:00:00"/>
        <d v="2025-04-23T00:00:00"/>
        <d v="2025-07-27T00:00:00"/>
        <d v="2025-03-03T00:00:00"/>
        <d v="2025-05-16T00:00:00"/>
        <d v="2025-03-08T00:00:00"/>
        <d v="2025-01-03T00:00:00"/>
        <d v="2025-03-11T00:00:00"/>
        <d v="2025-08-05T00:00:00"/>
        <d v="2025-07-22T00:00:00"/>
        <d v="2025-01-13T00:00:00"/>
        <d v="2025-04-07T00:00:00"/>
        <d v="2025-01-29T00:00:00"/>
        <d v="2025-06-14T00:00:00"/>
        <d v="2025-07-14T00:00:00"/>
        <d v="2025-09-14T00:00:00"/>
        <d v="2025-06-25T00:00:00"/>
        <d v="2025-04-12T00:00:00"/>
        <d v="2025-03-15T00:00:00"/>
        <d v="2025-07-21T00:00:00"/>
        <d v="2025-01-07T00:00:00"/>
        <d v="2025-08-02T00:00:00"/>
        <d v="2025-01-17T00:00:00"/>
        <d v="2025-07-19T00:00:00"/>
        <d v="2025-02-12T00:00:00"/>
        <d v="2025-07-03T00:00:00"/>
        <d v="2025-08-21T00:00:00"/>
        <d v="2025-01-11T00:00:00"/>
        <d v="2025-02-04T00:00:00"/>
        <d v="2025-03-31T00:00:00"/>
        <d v="2025-09-15T00:00:00"/>
        <d v="2025-05-07T00:00:00"/>
        <d v="2025-07-16T00:00:00"/>
        <d v="2025-03-10T00:00:00"/>
        <d v="2025-08-13T00:00:00"/>
        <d v="2025-06-03T00:00:00"/>
        <d v="2025-05-21T00:00:00"/>
        <d v="2025-07-23T00:00:00"/>
        <d v="2025-02-17T00:00:00"/>
        <d v="2025-09-10T00:00:00"/>
        <d v="2025-02-28T00:00:00"/>
        <d v="2025-04-24T00:00:00"/>
        <d v="2025-08-25T00:00:00"/>
        <d v="2025-05-02T00:00:00"/>
        <d v="2025-04-06T00:00:00"/>
        <d v="2025-04-22T00:00:00"/>
        <d v="2025-05-19T00:00:00"/>
        <d v="2025-08-28T00:00:00"/>
        <d v="2025-05-29T00:00:00"/>
        <d v="2025-08-07T00:00:00"/>
        <d v="2025-05-17T00:00:00"/>
        <d v="2025-09-01T00:00:00"/>
        <d v="2025-07-20T00:00:00"/>
        <d v="2025-04-14T00:00:00"/>
        <d v="2025-04-01T00:00:00"/>
        <d v="2025-05-12T00:00:00"/>
        <d v="2025-02-21T00:00:00"/>
        <d v="2025-09-02T00:00:00"/>
        <d v="2025-02-02T00:00:00"/>
        <d v="2025-06-21T00:00:00"/>
        <d v="2025-01-20T00:00:00"/>
        <d v="2025-02-06T00:00:00"/>
        <d v="2025-06-26T00:00:00"/>
        <d v="2025-02-09T00:00:00"/>
        <d v="2025-03-23T00:00:00"/>
        <d v="2025-08-14T00:00:00"/>
        <d v="2025-07-09T00:00:00"/>
        <d v="2025-08-20T00:00:00"/>
        <m/>
      </sharedItems>
      <fieldGroup par="32"/>
    </cacheField>
    <cacheField name="Quarter" numFmtId="0">
      <sharedItems containsBlank="1"/>
    </cacheField>
    <cacheField name="RequiredDate" numFmtId="165">
      <sharedItems containsNonDate="0" containsDate="1" containsString="0" containsBlank="1" minDate="2023-01-05T00:00:00" maxDate="2025-10-06T00:00:00"/>
    </cacheField>
    <cacheField name="CorrectedRequiredDate" numFmtId="165">
      <sharedItems containsNonDate="0" containsDate="1" containsString="0" containsBlank="1" minDate="2023-01-05T00:00:00" maxDate="2025-10-06T00:00:00"/>
    </cacheField>
    <cacheField name="LeadTimeDays" numFmtId="0">
      <sharedItems containsString="0" containsBlank="1" containsNumber="1" containsInteger="1" minValue="0" maxValue="30"/>
    </cacheField>
    <cacheField name="LeadTimeDays2" numFmtId="0">
      <sharedItems containsString="0" containsBlank="1" containsNumber="1" containsInteger="1" minValue="0" maxValue="1"/>
    </cacheField>
    <cacheField name="Region" numFmtId="49">
      <sharedItems containsBlank="1"/>
    </cacheField>
    <cacheField name="Country" numFmtId="49">
      <sharedItems containsBlank="1"/>
    </cacheField>
    <cacheField name="City" numFmtId="49">
      <sharedItems containsBlank="1"/>
    </cacheField>
    <cacheField name="RegionHierachy" numFmtId="0">
      <sharedItems containsBlank="1"/>
    </cacheField>
    <cacheField name="CustomerSegment" numFmtId="49">
      <sharedItems containsBlank="1"/>
    </cacheField>
    <cacheField name="Channel" numFmtId="49">
      <sharedItems containsBlank="1"/>
    </cacheField>
    <cacheField name="Salesperson" numFmtId="49">
      <sharedItems containsBlank="1"/>
    </cacheField>
    <cacheField name="ProductCategory" numFmtId="49">
      <sharedItems containsBlank="1"/>
    </cacheField>
    <cacheField name="SKU" numFmtId="49">
      <sharedItems containsBlank="1"/>
    </cacheField>
    <cacheField name="UnitCost" numFmtId="166">
      <sharedItems containsString="0" containsBlank="1" containsNumber="1" minValue="5.34" maxValue="1495.79"/>
    </cacheField>
    <cacheField name="UnitPrice" numFmtId="166">
      <sharedItems containsString="0" containsBlank="1" containsNumber="1" minValue="-33.659999999999997" maxValue="3661.07"/>
    </cacheField>
    <cacheField name="CorrectedUnitPrice" numFmtId="166">
      <sharedItems containsString="0" containsBlank="1" containsNumber="1" minValue="4.22" maxValue="3661.07"/>
    </cacheField>
    <cacheField name="PriceBand" numFmtId="166">
      <sharedItems containsBlank="1"/>
    </cacheField>
    <cacheField name="DiscountPct" numFmtId="10">
      <sharedItems containsString="0" containsBlank="1" containsNumber="1" minValue="0" maxValue="0.56499999999999995"/>
    </cacheField>
    <cacheField name="CorrectedDiscount" numFmtId="10">
      <sharedItems containsString="0" containsBlank="1" containsNumber="1" minValue="0" maxValue="0.3"/>
    </cacheField>
    <cacheField name="Quantity" numFmtId="2">
      <sharedItems containsString="0" containsBlank="1" containsNumber="1" containsInteger="1" minValue="2" maxValue="61"/>
    </cacheField>
    <cacheField name="Grossrevenue" numFmtId="166">
      <sharedItems containsSemiMixedTypes="0" containsString="0" containsNumber="1" minValue="18.659839999999999" maxValue="10945767.912949994"/>
    </cacheField>
    <cacheField name="CostOfGoods" numFmtId="0">
      <sharedItems containsString="0" containsBlank="1" containsNumber="1" minValue="22" maxValue="83258.290000000008"/>
    </cacheField>
    <cacheField name="GrossProfit" numFmtId="166">
      <sharedItems containsSemiMixedTypes="0" containsString="0" containsNumber="1" minValue="-68355.013999999996" maxValue="3418020.2029499956"/>
    </cacheField>
    <cacheField name="MarginPct" numFmtId="10">
      <sharedItems containsSemiMixedTypes="0" containsString="0" containsNumber="1" minValue="-250.39750756449047" maxValue="0.59672531214528945"/>
    </cacheField>
    <cacheField name="FirstMonthSale" numFmtId="0">
      <sharedItems containsNonDate="0" containsDate="1" containsString="0" containsBlank="1" minDate="2023-01-02T00:00:00" maxDate="2023-03-04T00:00:00"/>
    </cacheField>
    <cacheField name="MonthIndex" numFmtId="0">
      <sharedItems containsString="0" containsBlank="1" containsNumber="1" containsInteger="1" minValue="0" maxValue="32"/>
    </cacheField>
    <cacheField name="Months (StarndardizedDate)" numFmtId="0" databaseField="0">
      <fieldGroup base="2">
        <rangePr groupBy="months" startDate="2023-01-02T00:00:00" endDate="2025-09-16T00:00:00"/>
        <groupItems count="14">
          <s v="&lt;02-01-23"/>
          <s v="Jan"/>
          <s v="Feb"/>
          <s v="Mar"/>
          <s v="Apr"/>
          <s v="May"/>
          <s v="Jun"/>
          <s v="Jul"/>
          <s v="Aug"/>
          <s v="Sep"/>
          <s v="Oct"/>
          <s v="Nov"/>
          <s v="Dec"/>
          <s v="&gt;16-09-25"/>
        </groupItems>
      </fieldGroup>
    </cacheField>
    <cacheField name="Quarters (StarndardizedDate)" numFmtId="0" databaseField="0">
      <fieldGroup base="2">
        <rangePr groupBy="quarters" startDate="2023-01-02T00:00:00" endDate="2025-09-16T00:00:00"/>
        <groupItems count="6">
          <s v="&lt;02-01-23"/>
          <s v="Qtr1"/>
          <s v="Qtr2"/>
          <s v="Qtr3"/>
          <s v="Qtr4"/>
          <s v="&gt;16-09-25"/>
        </groupItems>
      </fieldGroup>
    </cacheField>
    <cacheField name="Years (StarndardizedDate)" numFmtId="0" databaseField="0">
      <fieldGroup base="2">
        <rangePr groupBy="years" startDate="2023-01-02T00:00:00" endDate="2025-09-16T00:00:00"/>
        <groupItems count="5">
          <s v="&lt;02-01-23"/>
          <s v="2023"/>
          <s v="2024"/>
          <s v="2025"/>
          <s v="&gt;16-09-25"/>
        </groupItems>
      </fieldGroup>
    </cacheField>
    <cacheField name="Months (OrderDate)" numFmtId="0" databaseField="0">
      <fieldGroup base="1">
        <rangePr groupBy="months" startDate="2023-01-02T00:00:00" endDate="2025-09-16T00:00:00"/>
        <groupItems count="14">
          <s v="&lt;02-01-23"/>
          <s v="Jan"/>
          <s v="Feb"/>
          <s v="Mar"/>
          <s v="Apr"/>
          <s v="May"/>
          <s v="Jun"/>
          <s v="Jul"/>
          <s v="Aug"/>
          <s v="Sep"/>
          <s v="Oct"/>
          <s v="Nov"/>
          <s v="Dec"/>
          <s v="&gt;16-09-25"/>
        </groupItems>
      </fieldGroup>
    </cacheField>
    <cacheField name="Quarters (OrderDate)" numFmtId="0" databaseField="0">
      <fieldGroup base="1">
        <rangePr groupBy="quarters" startDate="2023-01-02T00:00:00" endDate="2025-09-16T00:00:00"/>
        <groupItems count="6">
          <s v="&lt;02-01-23"/>
          <s v="Qtr1"/>
          <s v="Qtr2"/>
          <s v="Qtr3"/>
          <s v="Qtr4"/>
          <s v="&gt;16-09-25"/>
        </groupItems>
      </fieldGroup>
    </cacheField>
    <cacheField name="Years (OrderDate)" numFmtId="0" databaseField="0">
      <fieldGroup base="1">
        <rangePr groupBy="years" startDate="2023-01-02T00:00:00" endDate="2025-09-16T00:00:00"/>
        <groupItems count="5">
          <s v="&lt;02-01-23"/>
          <s v="2023"/>
          <s v="2024"/>
          <s v="2025"/>
          <s v="&gt;16-09-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x v="0"/>
    <x v="0"/>
    <s v="Q2 -2023"/>
    <d v="2023-05-14T00:00:00"/>
    <d v="2023-05-14T00:00:00"/>
    <x v="0"/>
    <x v="0"/>
    <x v="0"/>
    <s v="Nagoya"/>
    <s v="Asia&gt;Japan&gt;Nagoya"/>
    <s v="Enterprise"/>
    <x v="0"/>
    <x v="0"/>
    <x v="0"/>
    <x v="0"/>
    <n v="1209.22"/>
    <n v="1404.33"/>
    <n v="1404.33"/>
    <s v="Medium"/>
    <n v="0.10299999999999999"/>
    <x v="0"/>
    <n v="11"/>
    <x v="0"/>
    <n v="13301.42"/>
    <n v="555.10411000000022"/>
    <n v="4.0060848275751328E-2"/>
    <d v="2023-03-03T00:00:00"/>
    <x v="0"/>
  </r>
  <r>
    <x v="1"/>
    <x v="1"/>
    <x v="1"/>
    <s v="Q3 -2023"/>
    <d v="2023-07-21T00:00:00"/>
    <d v="2023-07-28T00:00:00"/>
    <x v="1"/>
    <x v="0"/>
    <x v="1"/>
    <s v="Delhi"/>
    <s v="Asia&gt;India&gt;Delhi"/>
    <s v="Small Business"/>
    <x v="1"/>
    <x v="1"/>
    <x v="1"/>
    <x v="1"/>
    <n v="946.99"/>
    <n v="2132.19"/>
    <n v="2132.19"/>
    <s v="High"/>
    <n v="0.16500000000000001"/>
    <x v="1"/>
    <n v="7"/>
    <x v="1"/>
    <n v="6628.93"/>
    <n v="5833.72055"/>
    <n v="0.46809629513362228"/>
    <d v="2023-01-29T00:00:00"/>
    <x v="1"/>
  </r>
  <r>
    <x v="2"/>
    <x v="2"/>
    <x v="2"/>
    <s v="Q1 -2023"/>
    <d v="2023-01-13T00:00:00"/>
    <d v="2023-01-20T00:00:00"/>
    <x v="2"/>
    <x v="1"/>
    <x v="2"/>
    <s v="Abuja"/>
    <s v="Africa&gt;Nigeria&gt;Abuja"/>
    <s v="Education"/>
    <x v="2"/>
    <x v="2"/>
    <x v="1"/>
    <x v="2"/>
    <n v="28.38"/>
    <n v="47.22"/>
    <n v="47.22"/>
    <s v="Low"/>
    <n v="0.19400000000000001"/>
    <x v="2"/>
    <n v="18"/>
    <x v="2"/>
    <n v="510.84"/>
    <n v="174.22776000000005"/>
    <n v="0.25432193743871417"/>
    <d v="2023-01-15T00:00:00"/>
    <x v="2"/>
  </r>
  <r>
    <x v="3"/>
    <x v="3"/>
    <x v="3"/>
    <s v="Q2 -2023"/>
    <d v="2023-05-18T00:00:00"/>
    <d v="2023-05-18T00:00:00"/>
    <x v="3"/>
    <x v="1"/>
    <x v="2"/>
    <s v="Port Harcourt"/>
    <s v="Africa&gt;Nigeria&gt;Port Harcourt"/>
    <s v="Corporate"/>
    <x v="3"/>
    <x v="3"/>
    <x v="2"/>
    <x v="3"/>
    <n v="327.97"/>
    <n v="299.94"/>
    <n v="299.94"/>
    <s v="Low"/>
    <n v="4.9000000000000002E-2"/>
    <x v="3"/>
    <n v="3"/>
    <x v="3"/>
    <n v="983.91000000000008"/>
    <n v="-128.18118000000015"/>
    <n v="-0.14979182306843442"/>
    <d v="2023-01-15T00:00:00"/>
    <x v="3"/>
  </r>
  <r>
    <x v="4"/>
    <x v="4"/>
    <x v="4"/>
    <s v="Q4 -2023"/>
    <d v="2024-01-01T00:00:00"/>
    <d v="2024-01-01T00:00:00"/>
    <x v="4"/>
    <x v="2"/>
    <x v="3"/>
    <s v="Toronto"/>
    <s v="Americas&gt;Canada&gt;Toronto"/>
    <s v="Enterprise"/>
    <x v="0"/>
    <x v="4"/>
    <x v="3"/>
    <x v="4"/>
    <n v="856.1"/>
    <n v="901.48"/>
    <n v="901.48"/>
    <s v="Medium"/>
    <n v="5.6000000000000001E-2"/>
    <x v="4"/>
    <n v="17"/>
    <x v="4"/>
    <n v="14553.7"/>
    <n v="-86.748960000000807"/>
    <n v="-5.9963540182134192E-3"/>
    <d v="2023-01-02T00:00:00"/>
    <x v="4"/>
  </r>
  <r>
    <x v="5"/>
    <x v="5"/>
    <x v="5"/>
    <s v="Q2 -2023"/>
    <d v="2023-07-03T00:00:00"/>
    <d v="2023-07-03T00:00:00"/>
    <x v="5"/>
    <x v="1"/>
    <x v="2"/>
    <s v="Abuja"/>
    <s v="Africa&gt;Nigeria&gt;Abuja"/>
    <s v="Consumer"/>
    <x v="2"/>
    <x v="5"/>
    <x v="1"/>
    <x v="5"/>
    <n v="337.75"/>
    <n v="548.89"/>
    <n v="548.89"/>
    <s v="Low"/>
    <n v="0"/>
    <x v="5"/>
    <n v="13"/>
    <x v="5"/>
    <n v="4390.75"/>
    <n v="2744.8199999999997"/>
    <n v="0.38466723751571352"/>
    <d v="2023-01-15T00:00:00"/>
    <x v="1"/>
  </r>
  <r>
    <x v="6"/>
    <x v="6"/>
    <x v="6"/>
    <s v="Q3 -2023"/>
    <d v="2023-10-09T00:00:00"/>
    <d v="2023-10-09T00:00:00"/>
    <x v="6"/>
    <x v="2"/>
    <x v="4"/>
    <s v="New York"/>
    <s v="Americas&gt;USA&gt;New York"/>
    <s v="Small Business"/>
    <x v="4"/>
    <x v="5"/>
    <x v="4"/>
    <x v="6"/>
    <n v="1279.56"/>
    <n v="3083.8"/>
    <n v="3083.8"/>
    <s v="High"/>
    <n v="0.106"/>
    <x v="6"/>
    <n v="5"/>
    <x v="6"/>
    <n v="6397.7999999999993"/>
    <n v="7386.7860000000019"/>
    <n v="0.53587289455047848"/>
    <d v="2023-01-13T00:00:00"/>
    <x v="5"/>
  </r>
  <r>
    <x v="7"/>
    <x v="7"/>
    <x v="7"/>
    <s v="Q3 -2023"/>
    <d v="2023-09-07T00:00:00"/>
    <d v="2023-09-07T00:00:00"/>
    <x v="7"/>
    <x v="2"/>
    <x v="4"/>
    <s v="New York"/>
    <s v="Americas&gt;USA&gt;New York"/>
    <s v="Enterprise"/>
    <x v="2"/>
    <x v="4"/>
    <x v="5"/>
    <x v="7"/>
    <n v="590.33000000000004"/>
    <n v="973.04"/>
    <n v="973.04"/>
    <s v="Medium"/>
    <n v="0"/>
    <x v="5"/>
    <n v="26"/>
    <x v="7"/>
    <n v="15348.580000000002"/>
    <n v="9950.4599999999991"/>
    <n v="0.39331373838691108"/>
    <d v="2023-01-13T00:00:00"/>
    <x v="6"/>
  </r>
  <r>
    <x v="8"/>
    <x v="8"/>
    <x v="8"/>
    <s v="Q1 -2023"/>
    <d v="2023-03-20T00:00:00"/>
    <d v="2023-03-20T00:00:00"/>
    <x v="3"/>
    <x v="0"/>
    <x v="0"/>
    <s v="Nagoya"/>
    <s v="Asia&gt;Japan&gt;Nagoya"/>
    <s v="Small Business"/>
    <x v="2"/>
    <x v="6"/>
    <x v="6"/>
    <x v="8"/>
    <n v="1171.17"/>
    <n v="2030.64"/>
    <n v="2030.64"/>
    <s v="High"/>
    <n v="0.157"/>
    <x v="7"/>
    <n v="11"/>
    <x v="8"/>
    <n v="12882.87"/>
    <n v="5947.254719999999"/>
    <n v="0.31583724528830415"/>
    <d v="2023-03-03T00:00:00"/>
    <x v="2"/>
  </r>
  <r>
    <x v="9"/>
    <x v="9"/>
    <x v="9"/>
    <s v="Q2 -2023"/>
    <d v="2023-05-29T00:00:00"/>
    <d v="2023-05-29T00:00:00"/>
    <x v="0"/>
    <x v="1"/>
    <x v="5"/>
    <s v="Durban"/>
    <s v="Africa&gt;South Africa&gt;Durban"/>
    <s v="Education"/>
    <x v="1"/>
    <x v="4"/>
    <x v="0"/>
    <x v="9"/>
    <n v="653.86"/>
    <n v="931.84"/>
    <n v="931.84"/>
    <s v="Medium"/>
    <n v="0.121"/>
    <x v="8"/>
    <n v="12"/>
    <x v="9"/>
    <n v="7846.32"/>
    <n v="1982.7283200000002"/>
    <n v="0.20172129136506273"/>
    <d v="2023-01-07T00:00:00"/>
    <x v="7"/>
  </r>
  <r>
    <x v="10"/>
    <x v="10"/>
    <x v="10"/>
    <s v="Q1 -2023"/>
    <d v="2023-03-12T00:00:00"/>
    <d v="2023-03-12T00:00:00"/>
    <x v="8"/>
    <x v="1"/>
    <x v="6"/>
    <s v="Nakuru"/>
    <s v="Africa&gt;Kenya&gt;Nakuru"/>
    <s v="Corporate"/>
    <x v="2"/>
    <x v="3"/>
    <x v="6"/>
    <x v="10"/>
    <n v="352.65"/>
    <n v="485.86"/>
    <n v="485.86"/>
    <s v="Low"/>
    <n v="4.1000000000000002E-2"/>
    <x v="9"/>
    <n v="6"/>
    <x v="10"/>
    <n v="2115.8999999999996"/>
    <n v="679.73844000000008"/>
    <n v="0.24314247159943908"/>
    <d v="2023-01-20T00:00:00"/>
    <x v="0"/>
  </r>
  <r>
    <x v="11"/>
    <x v="11"/>
    <x v="11"/>
    <s v="Q2 -2023"/>
    <d v="2023-05-18T00:00:00"/>
    <d v="2023-05-18T00:00:00"/>
    <x v="9"/>
    <x v="0"/>
    <x v="7"/>
    <s v="Shenzhen"/>
    <s v="Asia&gt;China&gt;Shenzhen"/>
    <s v="Non-Profit"/>
    <x v="0"/>
    <x v="7"/>
    <x v="4"/>
    <x v="11"/>
    <n v="329.03"/>
    <n v="391.15"/>
    <n v="391.15"/>
    <s v="Low"/>
    <n v="0.19700000000000001"/>
    <x v="10"/>
    <n v="46"/>
    <x v="11"/>
    <n v="15135.38"/>
    <n v="-687.08130000000165"/>
    <n v="-4.7554477815440081E-2"/>
    <d v="2023-01-12T00:00:00"/>
    <x v="3"/>
  </r>
  <r>
    <x v="12"/>
    <x v="12"/>
    <x v="12"/>
    <s v="Q1 -2023"/>
    <d v="2023-02-11T00:00:00"/>
    <d v="2023-02-11T00:00:00"/>
    <x v="10"/>
    <x v="1"/>
    <x v="5"/>
    <s v="Cape Town"/>
    <s v="Africa&gt;South Africa&gt;Cape Town"/>
    <s v="Corporate"/>
    <x v="3"/>
    <x v="8"/>
    <x v="6"/>
    <x v="12"/>
    <n v="1410.05"/>
    <n v="2763.95"/>
    <n v="2763.95"/>
    <s v="High"/>
    <n v="0.161"/>
    <x v="11"/>
    <n v="26"/>
    <x v="12"/>
    <n v="36661.299999999996"/>
    <n v="23631.505299999997"/>
    <n v="0.39194569206750779"/>
    <d v="2023-01-07T00:00:00"/>
    <x v="0"/>
  </r>
  <r>
    <x v="13"/>
    <x v="13"/>
    <x v="13"/>
    <s v="Q3 -2023"/>
    <d v="2023-07-08T00:00:00"/>
    <d v="2023-07-08T00:00:00"/>
    <x v="11"/>
    <x v="1"/>
    <x v="2"/>
    <s v="Port Harcourt"/>
    <s v="Africa&gt;Nigeria&gt;Port Harcourt"/>
    <s v="Corporate"/>
    <x v="0"/>
    <x v="0"/>
    <x v="4"/>
    <x v="13"/>
    <n v="834.26"/>
    <n v="1780.56"/>
    <n v="1780.56"/>
    <s v="High"/>
    <n v="1.4E-2"/>
    <x v="12"/>
    <n v="47"/>
    <x v="13"/>
    <n v="39210.22"/>
    <n v="43304.491519999996"/>
    <n v="0.5248093427497933"/>
    <d v="2023-01-15T00:00:00"/>
    <x v="1"/>
  </r>
  <r>
    <x v="14"/>
    <x v="14"/>
    <x v="14"/>
    <s v="Q4 -2023"/>
    <d v="2023-11-16T00:00:00"/>
    <d v="2023-11-16T00:00:00"/>
    <x v="12"/>
    <x v="2"/>
    <x v="3"/>
    <s v="Toronto"/>
    <s v="Americas&gt;Canada&gt;Toronto"/>
    <s v="Small Business"/>
    <x v="4"/>
    <x v="9"/>
    <x v="4"/>
    <x v="14"/>
    <n v="1373.31"/>
    <n v="3154.14"/>
    <n v="3154.14"/>
    <s v="High"/>
    <n v="0.2"/>
    <x v="13"/>
    <n v="11"/>
    <x v="14"/>
    <n v="15106.41"/>
    <n v="12650.022000000001"/>
    <n v="0.45575101295440279"/>
    <d v="2023-01-02T00:00:00"/>
    <x v="8"/>
  </r>
  <r>
    <x v="15"/>
    <x v="15"/>
    <x v="15"/>
    <s v="Q4 -2023"/>
    <d v="2023-10-31T00:00:00"/>
    <d v="2023-10-31T00:00:00"/>
    <x v="13"/>
    <x v="0"/>
    <x v="7"/>
    <s v="Shanghai"/>
    <s v="Asia&gt;China&gt;Shanghai"/>
    <s v="Consumer"/>
    <x v="5"/>
    <x v="5"/>
    <x v="1"/>
    <x v="15"/>
    <n v="649.91"/>
    <n v="1360.12"/>
    <n v="1360.12"/>
    <s v="Medium"/>
    <n v="0.19400000000000001"/>
    <x v="2"/>
    <n v="9"/>
    <x v="15"/>
    <n v="5849.19"/>
    <n v="4017.1204799999987"/>
    <n v="0.40715528749506769"/>
    <d v="2023-01-12T00:00:00"/>
    <x v="5"/>
  </r>
  <r>
    <x v="16"/>
    <x v="16"/>
    <x v="16"/>
    <s v="Q2 -2023"/>
    <d v="2023-06-21T00:00:00"/>
    <d v="2023-06-21T00:00:00"/>
    <x v="14"/>
    <x v="2"/>
    <x v="4"/>
    <s v="Austin"/>
    <s v="Americas&gt;USA&gt;Austin"/>
    <s v="Small Business"/>
    <x v="4"/>
    <x v="10"/>
    <x v="3"/>
    <x v="16"/>
    <n v="813.97"/>
    <n v="1568.83"/>
    <n v="1568.83"/>
    <s v="Medium"/>
    <n v="1.7000000000000001E-2"/>
    <x v="14"/>
    <n v="15"/>
    <x v="16"/>
    <n v="12209.550000000001"/>
    <n v="10922.848349999995"/>
    <n v="0.4721883215364911"/>
    <d v="2023-01-13T00:00:00"/>
    <x v="7"/>
  </r>
  <r>
    <x v="17"/>
    <x v="17"/>
    <x v="17"/>
    <s v="Q2 -2023"/>
    <d v="2023-07-12T00:00:00"/>
    <d v="2023-07-12T00:00:00"/>
    <x v="15"/>
    <x v="3"/>
    <x v="8"/>
    <s v="Manchester"/>
    <s v="Europe&gt;United Kingdom&gt;Manchester"/>
    <s v="Consumer"/>
    <x v="3"/>
    <x v="9"/>
    <x v="0"/>
    <x v="17"/>
    <n v="751.28"/>
    <n v="1111.8800000000001"/>
    <n v="1111.8800000000001"/>
    <s v="Medium"/>
    <n v="0.13500000000000001"/>
    <x v="15"/>
    <n v="7"/>
    <x v="17"/>
    <n v="5258.96"/>
    <n v="1473.4734000000008"/>
    <n v="0.21886193482433863"/>
    <d v="2023-01-19T00:00:00"/>
    <x v="7"/>
  </r>
  <r>
    <x v="18"/>
    <x v="18"/>
    <x v="18"/>
    <s v="Q2 -2023"/>
    <d v="2023-05-26T00:00:00"/>
    <d v="2023-05-26T00:00:00"/>
    <x v="0"/>
    <x v="2"/>
    <x v="4"/>
    <s v="San Francisco"/>
    <s v="Americas&gt;USA&gt;San Francisco"/>
    <s v="Enterprise"/>
    <x v="2"/>
    <x v="5"/>
    <x v="6"/>
    <x v="18"/>
    <n v="249.71"/>
    <n v="361.33"/>
    <n v="361.33"/>
    <s v="Low"/>
    <n v="9.4E-2"/>
    <x v="16"/>
    <n v="12"/>
    <x v="18"/>
    <n v="2996.52"/>
    <n v="931.85976000000028"/>
    <n v="0.23721223937881206"/>
    <d v="2023-01-13T00:00:00"/>
    <x v="3"/>
  </r>
  <r>
    <x v="19"/>
    <x v="19"/>
    <x v="19"/>
    <s v="Q4 -2023"/>
    <d v="2024-01-20T00:00:00"/>
    <d v="2024-01-20T00:00:00"/>
    <x v="0"/>
    <x v="1"/>
    <x v="6"/>
    <s v="Kisumu"/>
    <s v="Africa&gt;Kenya&gt;Kisumu"/>
    <s v="Corporate"/>
    <x v="3"/>
    <x v="11"/>
    <x v="5"/>
    <x v="19"/>
    <n v="1395.49"/>
    <n v="1679.42"/>
    <n v="1679.42"/>
    <s v="High"/>
    <n v="0.20300000000000001"/>
    <x v="17"/>
    <n v="12"/>
    <x v="19"/>
    <n v="16745.88"/>
    <n v="-683.90712000000167"/>
    <n v="-4.2579272490964493E-2"/>
    <d v="2023-01-20T00:00:00"/>
    <x v="4"/>
  </r>
  <r>
    <x v="20"/>
    <x v="20"/>
    <x v="20"/>
    <s v="Q4 -2023"/>
    <d v="2023-12-06T00:00:00"/>
    <d v="2023-12-06T00:00:00"/>
    <x v="16"/>
    <x v="3"/>
    <x v="8"/>
    <s v="Manchester"/>
    <s v="Europe&gt;United Kingdom&gt;Manchester"/>
    <s v="Education"/>
    <x v="3"/>
    <x v="7"/>
    <x v="0"/>
    <x v="20"/>
    <n v="1184.99"/>
    <n v="1154.3399999999999"/>
    <n v="1154.3399999999999"/>
    <s v="Medium"/>
    <n v="2.8000000000000001E-2"/>
    <x v="18"/>
    <n v="5"/>
    <x v="20"/>
    <n v="5924.95"/>
    <n v="-314.85760000000028"/>
    <n v="-5.6123424990290764E-2"/>
    <d v="2023-01-19T00:00:00"/>
    <x v="8"/>
  </r>
  <r>
    <x v="21"/>
    <x v="21"/>
    <x v="21"/>
    <s v="Q2 -2023"/>
    <d v="2023-06-03T00:00:00"/>
    <d v="2023-06-03T00:00:00"/>
    <x v="3"/>
    <x v="0"/>
    <x v="7"/>
    <s v="Beijing"/>
    <s v="Asia&gt;China&gt;Beijing"/>
    <s v="Non-Profit"/>
    <x v="1"/>
    <x v="8"/>
    <x v="1"/>
    <x v="21"/>
    <n v="979.59"/>
    <n v="2210.94"/>
    <n v="2210.94"/>
    <s v="High"/>
    <n v="0.15"/>
    <x v="19"/>
    <n v="11"/>
    <x v="21"/>
    <n v="10775.49"/>
    <n v="9896.7990000000009"/>
    <n v="0.47874712858358359"/>
    <d v="2023-01-12T00:00:00"/>
    <x v="7"/>
  </r>
  <r>
    <x v="22"/>
    <x v="22"/>
    <x v="22"/>
    <s v="Q4 -2023"/>
    <d v="2023-12-10T00:00:00"/>
    <d v="2023-12-10T00:00:00"/>
    <x v="5"/>
    <x v="3"/>
    <x v="9"/>
    <s v="Munich"/>
    <s v="Europe&gt;Germany&gt;Munich"/>
    <s v="Small Business"/>
    <x v="3"/>
    <x v="3"/>
    <x v="4"/>
    <x v="22"/>
    <n v="174.74"/>
    <n v="415.96"/>
    <n v="415.96"/>
    <s v="Low"/>
    <n v="0.125"/>
    <x v="20"/>
    <n v="21"/>
    <x v="22"/>
    <n v="3669.54"/>
    <n v="3973.7249999999995"/>
    <n v="0.51989889137691803"/>
    <d v="2023-01-22T00:00:00"/>
    <x v="9"/>
  </r>
  <r>
    <x v="23"/>
    <x v="23"/>
    <x v="23"/>
    <s v="Q3 -2023"/>
    <d v="2023-09-16T00:00:00"/>
    <d v="2023-09-16T00:00:00"/>
    <x v="17"/>
    <x v="3"/>
    <x v="10"/>
    <s v="Lyon"/>
    <s v="Europe&gt;France&gt;Lyon"/>
    <s v="Non-Profit"/>
    <x v="3"/>
    <x v="12"/>
    <x v="1"/>
    <x v="23"/>
    <n v="376.83"/>
    <n v="732.88"/>
    <n v="732.88"/>
    <s v="Low"/>
    <n v="0.188"/>
    <x v="21"/>
    <n v="25"/>
    <x v="23"/>
    <n v="9420.75"/>
    <n v="5456.7140000000018"/>
    <n v="0.36677716040852132"/>
    <d v="2023-01-10T00:00:00"/>
    <x v="5"/>
  </r>
  <r>
    <x v="24"/>
    <x v="4"/>
    <x v="4"/>
    <s v="Q4 -2023"/>
    <d v="2023-12-20T00:00:00"/>
    <d v="2023-12-20T00:00:00"/>
    <x v="18"/>
    <x v="2"/>
    <x v="11"/>
    <s v="Rio de Janeiro"/>
    <s v="Americas&gt;Brazil&gt;Rio de Janeiro"/>
    <s v="Consumer"/>
    <x v="1"/>
    <x v="5"/>
    <x v="5"/>
    <x v="24"/>
    <n v="1080.43"/>
    <n v="2529.15"/>
    <n v="2529.15"/>
    <s v="High"/>
    <n v="0.14699999999999999"/>
    <x v="22"/>
    <n v="10"/>
    <x v="24"/>
    <n v="10804.300000000001"/>
    <n v="10769.349499999998"/>
    <n v="0.49918997247081437"/>
    <d v="2023-01-29T00:00:00"/>
    <x v="9"/>
  </r>
  <r>
    <x v="25"/>
    <x v="24"/>
    <x v="24"/>
    <s v="Q3 -2023"/>
    <d v="2023-08-22T00:00:00"/>
    <d v="2023-08-22T00:00:00"/>
    <x v="6"/>
    <x v="3"/>
    <x v="8"/>
    <s v="Birmingham"/>
    <s v="Europe&gt;United Kingdom&gt;Birmingham"/>
    <s v="Non-Profit"/>
    <x v="3"/>
    <x v="13"/>
    <x v="3"/>
    <x v="25"/>
    <n v="446.69"/>
    <n v="967.25"/>
    <n v="967.25"/>
    <s v="Medium"/>
    <n v="9.4E-2"/>
    <x v="16"/>
    <n v="10"/>
    <x v="25"/>
    <n v="4466.8999999999996"/>
    <n v="4296.3850000000002"/>
    <n v="0.49027105702941309"/>
    <d v="2023-01-19T00:00:00"/>
    <x v="10"/>
  </r>
  <r>
    <x v="26"/>
    <x v="25"/>
    <x v="25"/>
    <s v="Q4 -2023"/>
    <d v="2024-01-06T00:00:00"/>
    <d v="2024-01-06T00:00:00"/>
    <x v="19"/>
    <x v="1"/>
    <x v="2"/>
    <s v="Unknown"/>
    <s v="Africa&gt;Nigeria&gt;Unknown"/>
    <s v="Corporate"/>
    <x v="4"/>
    <x v="4"/>
    <x v="2"/>
    <x v="26"/>
    <n v="932.61"/>
    <n v="1982.98"/>
    <n v="1982.98"/>
    <s v="High"/>
    <n v="0.14399999999999999"/>
    <x v="23"/>
    <n v="16"/>
    <x v="26"/>
    <n v="14921.76"/>
    <n v="12237.134079999998"/>
    <n v="0.45057556629345635"/>
    <d v="2023-01-15T00:00:00"/>
    <x v="4"/>
  </r>
  <r>
    <x v="27"/>
    <x v="26"/>
    <x v="26"/>
    <s v="Q4 -2023"/>
    <d v="2023-11-14T00:00:00"/>
    <d v="2023-11-14T00:00:00"/>
    <x v="20"/>
    <x v="0"/>
    <x v="1"/>
    <s v="Bengaluru"/>
    <s v="Asia&gt;India&gt;Bengaluru"/>
    <s v="Corporate"/>
    <x v="2"/>
    <x v="3"/>
    <x v="4"/>
    <x v="27"/>
    <n v="953.46"/>
    <n v="2066.75"/>
    <n v="2066.75"/>
    <s v="High"/>
    <n v="0.13800000000000001"/>
    <x v="24"/>
    <n v="5"/>
    <x v="27"/>
    <n v="4767.3"/>
    <n v="4140.392499999999"/>
    <n v="0.46481089238318446"/>
    <d v="2023-01-29T00:00:00"/>
    <x v="8"/>
  </r>
  <r>
    <x v="28"/>
    <x v="27"/>
    <x v="27"/>
    <s v="Q4 -2023"/>
    <d v="2023-12-16T00:00:00"/>
    <d v="2023-12-16T00:00:00"/>
    <x v="6"/>
    <x v="3"/>
    <x v="9"/>
    <s v="Frankfurt"/>
    <s v="Europe&gt;Germany&gt;Frankfurt"/>
    <s v="Education"/>
    <x v="3"/>
    <x v="13"/>
    <x v="3"/>
    <x v="28"/>
    <n v="879.08"/>
    <n v="1093.3900000000001"/>
    <n v="1093.3900000000001"/>
    <s v="Medium"/>
    <n v="0.113"/>
    <x v="25"/>
    <n v="17"/>
    <x v="28"/>
    <n v="14944.36"/>
    <n v="1542.8678099999997"/>
    <n v="9.3579577341935186E-2"/>
    <d v="2023-01-22T00:00:00"/>
    <x v="9"/>
  </r>
  <r>
    <x v="29"/>
    <x v="13"/>
    <x v="13"/>
    <s v="Q3 -2023"/>
    <d v="2023-07-11T00:00:00"/>
    <d v="2023-07-11T00:00:00"/>
    <x v="5"/>
    <x v="3"/>
    <x v="10"/>
    <s v="Paris"/>
    <s v="Europe&gt;France&gt;Paris"/>
    <s v="Corporate"/>
    <x v="3"/>
    <x v="3"/>
    <x v="6"/>
    <x v="29"/>
    <n v="479.5"/>
    <n v="656.66"/>
    <n v="656.66"/>
    <s v="Low"/>
    <n v="0.14899999999999999"/>
    <x v="26"/>
    <n v="14"/>
    <x v="29"/>
    <n v="6713"/>
    <n v="1110.4472399999995"/>
    <n v="0.14193835606412289"/>
    <d v="2023-01-10T00:00:00"/>
    <x v="1"/>
  </r>
  <r>
    <x v="30"/>
    <x v="28"/>
    <x v="28"/>
    <s v="Q3 -2023"/>
    <d v="2023-09-01T00:00:00"/>
    <d v="2023-09-01T00:00:00"/>
    <x v="17"/>
    <x v="3"/>
    <x v="9"/>
    <s v="Munich"/>
    <s v="Europe&gt;Germany&gt;Munich"/>
    <s v="Corporate"/>
    <x v="3"/>
    <x v="13"/>
    <x v="6"/>
    <x v="30"/>
    <n v="44.42"/>
    <n v="41.9"/>
    <n v="41.9"/>
    <s v="Low"/>
    <n v="0.14399999999999999"/>
    <x v="23"/>
    <n v="6"/>
    <x v="30"/>
    <n v="266.52"/>
    <n v="-51.321600000000018"/>
    <n v="-0.23848504449847224"/>
    <d v="2023-01-22T00:00:00"/>
    <x v="6"/>
  </r>
  <r>
    <x v="31"/>
    <x v="29"/>
    <x v="29"/>
    <s v="Q4 -2023"/>
    <d v="2023-12-26T00:00:00"/>
    <d v="2023-12-26T00:00:00"/>
    <x v="7"/>
    <x v="2"/>
    <x v="11"/>
    <s v="Rio de Janeiro"/>
    <s v="Americas&gt;Brazil&gt;Rio de Janeiro"/>
    <s v="Education"/>
    <x v="0"/>
    <x v="2"/>
    <x v="5"/>
    <x v="31"/>
    <n v="1303.1099999999999"/>
    <n v="1145.67"/>
    <n v="1145.67"/>
    <s v="Medium"/>
    <n v="0.184"/>
    <x v="27"/>
    <n v="13"/>
    <x v="31"/>
    <n v="16940.43"/>
    <n v="-4787.1626399999986"/>
    <n v="-0.39389922875851208"/>
    <d v="2023-01-29T00:00:00"/>
    <x v="9"/>
  </r>
  <r>
    <x v="32"/>
    <x v="30"/>
    <x v="30"/>
    <s v="Q1 -2023"/>
    <d v="2023-03-26T00:00:00"/>
    <d v="2023-03-26T00:00:00"/>
    <x v="18"/>
    <x v="0"/>
    <x v="0"/>
    <s v="Osaka"/>
    <s v="Asia&gt;Japan&gt;Osaka"/>
    <s v="Small Business"/>
    <x v="1"/>
    <x v="9"/>
    <x v="3"/>
    <x v="32"/>
    <n v="135.12"/>
    <n v="301.7"/>
    <n v="301.7"/>
    <s v="Low"/>
    <n v="0.14000000000000001"/>
    <x v="28"/>
    <n v="47"/>
    <x v="32"/>
    <n v="6350.64"/>
    <n v="5844.0739999999996"/>
    <n v="0.47923009920527859"/>
    <d v="2023-03-03T00:00:00"/>
    <x v="2"/>
  </r>
  <r>
    <x v="33"/>
    <x v="31"/>
    <x v="31"/>
    <s v="Q3 -2023"/>
    <d v="2023-09-19T00:00:00"/>
    <d v="2023-09-19T00:00:00"/>
    <x v="16"/>
    <x v="3"/>
    <x v="10"/>
    <s v="Lyon"/>
    <s v="Europe&gt;France&gt;Lyon"/>
    <s v="Small Business"/>
    <x v="3"/>
    <x v="12"/>
    <x v="1"/>
    <x v="33"/>
    <n v="784.46"/>
    <n v="1843.51"/>
    <n v="1843.51"/>
    <s v="High"/>
    <n v="0.13800000000000001"/>
    <x v="24"/>
    <n v="23"/>
    <x v="33"/>
    <n v="18042.580000000002"/>
    <n v="18506.849260000003"/>
    <n v="0.50635125184441798"/>
    <d v="2023-01-10T00:00:00"/>
    <x v="6"/>
  </r>
  <r>
    <x v="34"/>
    <x v="32"/>
    <x v="32"/>
    <s v="Q2 -2023"/>
    <d v="2023-07-01T00:00:00"/>
    <d v="2023-07-01T00:00:00"/>
    <x v="14"/>
    <x v="2"/>
    <x v="11"/>
    <s v="Brasília"/>
    <s v="Americas&gt;Brazil&gt;Brasília"/>
    <s v="Small Business"/>
    <x v="4"/>
    <x v="0"/>
    <x v="2"/>
    <x v="34"/>
    <n v="860.4"/>
    <n v="2066.6"/>
    <n v="2066.6"/>
    <s v="High"/>
    <n v="0.01"/>
    <x v="29"/>
    <n v="3"/>
    <x v="34"/>
    <n v="2581.1999999999998"/>
    <n v="3556.601999999999"/>
    <n v="0.57945857491004105"/>
    <d v="2023-01-29T00:00:00"/>
    <x v="7"/>
  </r>
  <r>
    <x v="35"/>
    <x v="33"/>
    <x v="33"/>
    <s v="Q4 -2023"/>
    <d v="2024-01-16T00:00:00"/>
    <d v="2024-01-16T00:00:00"/>
    <x v="12"/>
    <x v="0"/>
    <x v="1"/>
    <s v="Hyderabad"/>
    <s v="Asia&gt;India&gt;Hyderabad"/>
    <s v="Small Business"/>
    <x v="0"/>
    <x v="0"/>
    <x v="2"/>
    <x v="35"/>
    <n v="1346.81"/>
    <n v="978.09"/>
    <n v="978.09"/>
    <s v="Medium"/>
    <n v="0.159"/>
    <x v="30"/>
    <n v="17"/>
    <x v="35"/>
    <n v="22895.77"/>
    <n v="-8912.0172700000021"/>
    <n v="-0.6373122753293996"/>
    <d v="2023-01-29T00:00:00"/>
    <x v="9"/>
  </r>
  <r>
    <x v="36"/>
    <x v="34"/>
    <x v="34"/>
    <s v="Q2 -2023"/>
    <d v="2023-06-07T00:00:00"/>
    <d v="2023-06-07T00:00:00"/>
    <x v="15"/>
    <x v="1"/>
    <x v="6"/>
    <s v="Mombasa"/>
    <s v="Africa&gt;Kenya&gt;Mombasa"/>
    <s v="Corporate"/>
    <x v="2"/>
    <x v="5"/>
    <x v="5"/>
    <x v="36"/>
    <n v="12.85"/>
    <n v="15.41"/>
    <n v="15.41"/>
    <s v="Low"/>
    <n v="0.13700000000000001"/>
    <x v="31"/>
    <n v="39"/>
    <x v="36"/>
    <n v="501.15"/>
    <n v="17.504369999999994"/>
    <n v="3.3749585489851353E-2"/>
    <d v="2023-01-20T00:00:00"/>
    <x v="3"/>
  </r>
  <r>
    <x v="37"/>
    <x v="35"/>
    <x v="35"/>
    <s v="Q3 -2023"/>
    <d v="2023-08-14T00:00:00"/>
    <d v="2023-08-14T00:00:00"/>
    <x v="21"/>
    <x v="2"/>
    <x v="11"/>
    <s v="Brasília"/>
    <s v="Americas&gt;Brazil&gt;Brasília"/>
    <s v="Corporate"/>
    <x v="3"/>
    <x v="5"/>
    <x v="0"/>
    <x v="37"/>
    <n v="232.73"/>
    <n v="334.19"/>
    <n v="334.19"/>
    <s v="Low"/>
    <n v="0.13400000000000001"/>
    <x v="32"/>
    <n v="25"/>
    <x v="37"/>
    <n v="5818.25"/>
    <n v="1416.9634999999998"/>
    <n v="0.1958426658729559"/>
    <d v="2023-01-29T00:00:00"/>
    <x v="10"/>
  </r>
  <r>
    <x v="38"/>
    <x v="36"/>
    <x v="36"/>
    <s v="Q2 -2023"/>
    <d v="2023-05-07T00:00:00"/>
    <d v="2023-05-07T00:00:00"/>
    <x v="22"/>
    <x v="3"/>
    <x v="8"/>
    <s v="London"/>
    <s v="Europe&gt;United Kingdom&gt;London"/>
    <s v="Non-Profit"/>
    <x v="3"/>
    <x v="7"/>
    <x v="6"/>
    <x v="38"/>
    <n v="516.96"/>
    <n v="745.38"/>
    <n v="745.38"/>
    <s v="Low"/>
    <n v="0.19700000000000001"/>
    <x v="10"/>
    <n v="4"/>
    <x v="38"/>
    <n v="2067.84"/>
    <n v="326.32055999999966"/>
    <n v="0.13629852794835101"/>
    <d v="2023-01-19T00:00:00"/>
    <x v="3"/>
  </r>
  <r>
    <x v="39"/>
    <x v="37"/>
    <x v="37"/>
    <s v="Q2 -2023"/>
    <d v="2023-07-02T00:00:00"/>
    <d v="2023-07-02T00:00:00"/>
    <x v="10"/>
    <x v="0"/>
    <x v="0"/>
    <s v="Nagoya"/>
    <s v="Asia&gt;Japan&gt;Nagoya"/>
    <s v="Education"/>
    <x v="4"/>
    <x v="3"/>
    <x v="3"/>
    <x v="39"/>
    <n v="55.65"/>
    <n v="83.57"/>
    <n v="83.57"/>
    <s v="Low"/>
    <n v="6.6000000000000003E-2"/>
    <x v="33"/>
    <n v="8"/>
    <x v="39"/>
    <n v="445.2"/>
    <n v="179.23503999999997"/>
    <n v="0.2870355257449998"/>
    <d v="2023-03-03T00:00:00"/>
    <x v="3"/>
  </r>
  <r>
    <x v="40"/>
    <x v="38"/>
    <x v="38"/>
    <s v="Q3 -2023"/>
    <d v="2023-08-19T00:00:00"/>
    <d v="2023-08-19T00:00:00"/>
    <x v="13"/>
    <x v="1"/>
    <x v="6"/>
    <s v="Nairobi"/>
    <s v="Africa&gt;Kenya&gt;Nairobi"/>
    <s v="Enterprise"/>
    <x v="1"/>
    <x v="8"/>
    <x v="0"/>
    <x v="40"/>
    <n v="661.45"/>
    <n v="1634.86"/>
    <n v="1634.86"/>
    <s v="High"/>
    <n v="0.56499999999999995"/>
    <x v="34"/>
    <n v="24"/>
    <x v="40"/>
    <n v="15874.800000000001"/>
    <n v="11590.847999999996"/>
    <n v="0.42201254454291404"/>
    <d v="2023-01-20T00:00:00"/>
    <x v="10"/>
  </r>
  <r>
    <x v="41"/>
    <x v="39"/>
    <x v="39"/>
    <s v="Q1 -2023"/>
    <d v="2023-02-12T00:00:00"/>
    <d v="2023-02-12T00:00:00"/>
    <x v="2"/>
    <x v="2"/>
    <x v="11"/>
    <s v="São Paulo"/>
    <s v="Americas&gt;Brazil&gt;São Paulo"/>
    <s v="Education"/>
    <x v="2"/>
    <x v="13"/>
    <x v="2"/>
    <x v="41"/>
    <n v="948.55"/>
    <n v="2089.16"/>
    <n v="2089.16"/>
    <s v="High"/>
    <n v="7.0000000000000001E-3"/>
    <x v="35"/>
    <n v="12"/>
    <x v="41"/>
    <n v="11382.599999999999"/>
    <n v="13511.830559999999"/>
    <n v="0.54276519912492427"/>
    <d v="2023-01-29T00:00:00"/>
    <x v="2"/>
  </r>
  <r>
    <x v="42"/>
    <x v="6"/>
    <x v="6"/>
    <s v="Q3 -2023"/>
    <d v="2023-10-02T00:00:00"/>
    <d v="2023-10-02T00:00:00"/>
    <x v="11"/>
    <x v="2"/>
    <x v="4"/>
    <s v="New York"/>
    <s v="Americas&gt;USA&gt;New York"/>
    <s v="Education"/>
    <x v="4"/>
    <x v="9"/>
    <x v="0"/>
    <x v="42"/>
    <n v="145.58000000000001"/>
    <n v="228.15"/>
    <n v="228.15"/>
    <s v="Low"/>
    <n v="0.20399999999999999"/>
    <x v="36"/>
    <n v="5"/>
    <x v="42"/>
    <n v="727.90000000000009"/>
    <n v="180.13699999999994"/>
    <n v="0.19838068272548359"/>
    <d v="2023-01-13T00:00:00"/>
    <x v="5"/>
  </r>
  <r>
    <x v="43"/>
    <x v="7"/>
    <x v="7"/>
    <s v="Q3 -2023"/>
    <d v="2023-08-25T00:00:00"/>
    <d v="2023-08-25T00:00:00"/>
    <x v="5"/>
    <x v="1"/>
    <x v="6"/>
    <s v="Nairobi"/>
    <s v="Africa&gt;Kenya&gt;Nairobi"/>
    <s v="Small Business"/>
    <x v="0"/>
    <x v="13"/>
    <x v="5"/>
    <x v="43"/>
    <n v="91.85"/>
    <n v="111.29"/>
    <n v="111.29"/>
    <s v="Low"/>
    <n v="0"/>
    <x v="5"/>
    <n v="6"/>
    <x v="43"/>
    <n v="551.09999999999991"/>
    <n v="116.6400000000001"/>
    <n v="0.17467876718483258"/>
    <d v="2023-01-20T00:00:00"/>
    <x v="10"/>
  </r>
  <r>
    <x v="44"/>
    <x v="40"/>
    <x v="40"/>
    <s v="Q1 -2023"/>
    <d v="2023-03-24T00:00:00"/>
    <d v="2023-03-24T00:00:00"/>
    <x v="23"/>
    <x v="2"/>
    <x v="3"/>
    <s v="Montreal"/>
    <s v="Americas&gt;Canada&gt;Montreal"/>
    <s v="Consumer"/>
    <x v="1"/>
    <x v="9"/>
    <x v="4"/>
    <x v="44"/>
    <n v="481.71"/>
    <n v="912.45"/>
    <n v="912.45"/>
    <s v="Medium"/>
    <n v="0.20300000000000001"/>
    <x v="17"/>
    <n v="24"/>
    <x v="44"/>
    <n v="11561.039999999999"/>
    <n v="5892.3036000000011"/>
    <n v="0.33760313983619739"/>
    <d v="2023-01-02T00:00:00"/>
    <x v="11"/>
  </r>
  <r>
    <x v="45"/>
    <x v="41"/>
    <x v="41"/>
    <s v="Q1 -2023"/>
    <d v="2023-04-04T00:00:00"/>
    <d v="2023-04-04T00:00:00"/>
    <x v="0"/>
    <x v="1"/>
    <x v="5"/>
    <s v="Durban"/>
    <s v="Africa&gt;South Africa&gt;Durban"/>
    <s v="Small Business"/>
    <x v="0"/>
    <x v="0"/>
    <x v="2"/>
    <x v="45"/>
    <n v="1113.7"/>
    <n v="1620.6"/>
    <n v="1620.6"/>
    <s v="High"/>
    <n v="0.13900000000000001"/>
    <x v="37"/>
    <n v="11"/>
    <x v="45"/>
    <n v="12250.7"/>
    <n v="3098.002599999998"/>
    <n v="0.20184133348182787"/>
    <d v="2023-01-07T00:00:00"/>
    <x v="11"/>
  </r>
  <r>
    <x v="46"/>
    <x v="42"/>
    <x v="42"/>
    <s v="Q3 -2023"/>
    <d v="2023-07-09T00:00:00"/>
    <d v="2023-07-09T00:00:00"/>
    <x v="18"/>
    <x v="1"/>
    <x v="6"/>
    <s v="Nairobi"/>
    <s v="Africa&gt;Kenya&gt;Nairobi"/>
    <s v="Consumer"/>
    <x v="2"/>
    <x v="6"/>
    <x v="4"/>
    <x v="46"/>
    <n v="1258.72"/>
    <n v="2797.41"/>
    <n v="2797.41"/>
    <s v="High"/>
    <n v="0"/>
    <x v="5"/>
    <n v="7"/>
    <x v="46"/>
    <n v="8811.0400000000009"/>
    <n v="10770.829999999998"/>
    <n v="0.55004093071805704"/>
    <d v="2023-01-20T00:00:00"/>
    <x v="1"/>
  </r>
  <r>
    <x v="47"/>
    <x v="43"/>
    <x v="43"/>
    <s v="Q1 -2023"/>
    <d v="2023-03-09T00:00:00"/>
    <d v="2023-03-09T00:00:00"/>
    <x v="4"/>
    <x v="2"/>
    <x v="4"/>
    <s v="New York"/>
    <s v="Americas&gt;USA&gt;New York"/>
    <s v="Enterprise"/>
    <x v="2"/>
    <x v="8"/>
    <x v="2"/>
    <x v="47"/>
    <n v="6.85"/>
    <n v="10.18"/>
    <n v="10.18"/>
    <s v="Low"/>
    <n v="4.7E-2"/>
    <x v="38"/>
    <n v="10"/>
    <x v="47"/>
    <n v="68.5"/>
    <n v="28.5154"/>
    <n v="0.2939265312517394"/>
    <d v="2023-01-13T00:00:00"/>
    <x v="0"/>
  </r>
  <r>
    <x v="48"/>
    <x v="44"/>
    <x v="44"/>
    <s v="Q3 -2023"/>
    <d v="2023-08-07T00:00:00"/>
    <d v="2023-08-07T00:00:00"/>
    <x v="24"/>
    <x v="0"/>
    <x v="0"/>
    <s v="Nagoya"/>
    <s v="Asia&gt;Japan&gt;Nagoya"/>
    <s v="Education"/>
    <x v="4"/>
    <x v="0"/>
    <x v="6"/>
    <x v="48"/>
    <n v="1352.44"/>
    <n v="2698.01"/>
    <n v="2698.01"/>
    <s v="High"/>
    <n v="0.13100000000000001"/>
    <x v="39"/>
    <n v="13"/>
    <x v="48"/>
    <n v="17581.72"/>
    <n v="12897.698970000001"/>
    <n v="0.42316091992090887"/>
    <d v="2023-03-03T00:00:00"/>
    <x v="7"/>
  </r>
  <r>
    <x v="49"/>
    <x v="45"/>
    <x v="45"/>
    <s v="Q2 -2023"/>
    <d v="2023-06-16T00:00:00"/>
    <d v="2023-06-16T00:00:00"/>
    <x v="17"/>
    <x v="3"/>
    <x v="8"/>
    <s v="Manchester"/>
    <s v="Europe&gt;United Kingdom&gt;Manchester"/>
    <s v="Non-Profit"/>
    <x v="3"/>
    <x v="4"/>
    <x v="2"/>
    <x v="49"/>
    <n v="357.36"/>
    <n v="703.62"/>
    <n v="703.62"/>
    <s v="Low"/>
    <n v="0.25700000000000001"/>
    <x v="40"/>
    <n v="20"/>
    <x v="49"/>
    <n v="7147.2000000000007"/>
    <n v="3308.5931999999993"/>
    <n v="0.31643636563125593"/>
    <d v="2023-01-19T00:00:00"/>
    <x v="7"/>
  </r>
  <r>
    <x v="50"/>
    <x v="46"/>
    <x v="46"/>
    <s v="Q3 -2023"/>
    <d v="2023-08-01T00:00:00"/>
    <d v="2023-08-01T00:00:00"/>
    <x v="0"/>
    <x v="3"/>
    <x v="10"/>
    <s v="Marseille"/>
    <s v="Europe&gt;France&gt;Marseille"/>
    <s v="Consumer"/>
    <x v="4"/>
    <x v="12"/>
    <x v="1"/>
    <x v="50"/>
    <n v="1303.56"/>
    <n v="1791.37"/>
    <n v="1791.37"/>
    <s v="High"/>
    <n v="0.126"/>
    <x v="41"/>
    <n v="22"/>
    <x v="50"/>
    <n v="28678.32"/>
    <n v="5766.142359999998"/>
    <n v="0.16740404596055358"/>
    <d v="2023-01-10T00:00:00"/>
    <x v="10"/>
  </r>
  <r>
    <x v="51"/>
    <x v="47"/>
    <x v="47"/>
    <s v="Q2 -2023"/>
    <d v="2023-04-25T00:00:00"/>
    <d v="2023-04-25T00:00:00"/>
    <x v="20"/>
    <x v="3"/>
    <x v="8"/>
    <s v="London"/>
    <s v="Europe&gt;United Kingdom&gt;London"/>
    <s v="Small Business"/>
    <x v="0"/>
    <x v="6"/>
    <x v="1"/>
    <x v="51"/>
    <n v="405.66"/>
    <n v="962.51"/>
    <n v="962.51"/>
    <s v="Medium"/>
    <n v="0.19"/>
    <x v="42"/>
    <n v="7"/>
    <x v="51"/>
    <n v="2839.6200000000003"/>
    <n v="2617.8116999999997"/>
    <n v="0.47967832561239376"/>
    <d v="2023-01-19T00:00:00"/>
    <x v="11"/>
  </r>
  <r>
    <x v="52"/>
    <x v="48"/>
    <x v="48"/>
    <s v="Q4 -2023"/>
    <d v="2023-10-29T00:00:00"/>
    <d v="2023-10-29T00:00:00"/>
    <x v="12"/>
    <x v="2"/>
    <x v="4"/>
    <s v="San Francisco"/>
    <s v="Americas&gt;USA&gt;San Francisco"/>
    <s v="Small Business"/>
    <x v="1"/>
    <x v="2"/>
    <x v="0"/>
    <x v="52"/>
    <n v="1239.8399999999999"/>
    <n v="1482.75"/>
    <n v="1482.75"/>
    <s v="Medium"/>
    <n v="6.7000000000000004E-2"/>
    <x v="43"/>
    <n v="4"/>
    <x v="52"/>
    <n v="4959.3599999999997"/>
    <n v="574.26300000000083"/>
    <n v="0.10377703721413634"/>
    <d v="2023-01-13T00:00:00"/>
    <x v="5"/>
  </r>
  <r>
    <x v="53"/>
    <x v="49"/>
    <x v="49"/>
    <s v="Q4 -2023"/>
    <d v="2023-10-23T00:00:00"/>
    <d v="2023-10-23T00:00:00"/>
    <x v="19"/>
    <x v="0"/>
    <x v="1"/>
    <s v="Hyderabad"/>
    <s v="Asia&gt;India&gt;Hyderabad"/>
    <s v="Consumer"/>
    <x v="0"/>
    <x v="10"/>
    <x v="3"/>
    <x v="53"/>
    <n v="906.81"/>
    <n v="1395.56"/>
    <n v="1395.56"/>
    <s v="Medium"/>
    <n v="0.185"/>
    <x v="44"/>
    <n v="6"/>
    <x v="53"/>
    <n v="5440.86"/>
    <n v="1383.4284000000007"/>
    <n v="0.20272126834498974"/>
    <d v="2023-01-29T00:00:00"/>
    <x v="5"/>
  </r>
  <r>
    <x v="54"/>
    <x v="36"/>
    <x v="36"/>
    <s v="Q2 -2023"/>
    <d v="2023-04-30T00:00:00"/>
    <d v="2023-04-30T00:00:00"/>
    <x v="21"/>
    <x v="0"/>
    <x v="1"/>
    <s v="Delhi"/>
    <s v="Asia&gt;India&gt;Delhi"/>
    <s v="Small Business"/>
    <x v="0"/>
    <x v="0"/>
    <x v="6"/>
    <x v="54"/>
    <n v="826.55"/>
    <n v="1397.05"/>
    <n v="1397.05"/>
    <s v="Medium"/>
    <n v="0.16900000000000001"/>
    <x v="45"/>
    <n v="28"/>
    <x v="54"/>
    <n v="23143.399999999998"/>
    <n v="9363.1594000000005"/>
    <n v="0.28803907804527601"/>
    <d v="2023-01-29T00:00:00"/>
    <x v="11"/>
  </r>
  <r>
    <x v="55"/>
    <x v="50"/>
    <x v="50"/>
    <s v="Q3 -2023"/>
    <d v="2023-07-14T00:00:00"/>
    <d v="2023-07-14T00:00:00"/>
    <x v="25"/>
    <x v="2"/>
    <x v="11"/>
    <s v="Brasília"/>
    <s v="Americas&gt;Brazil&gt;Brasília"/>
    <s v="Enterprise"/>
    <x v="3"/>
    <x v="12"/>
    <x v="6"/>
    <x v="55"/>
    <n v="578.85"/>
    <n v="998.76"/>
    <n v="998.76"/>
    <s v="Medium"/>
    <n v="8.2000000000000003E-2"/>
    <x v="46"/>
    <n v="28"/>
    <x v="55"/>
    <n v="16207.800000000001"/>
    <n v="9464.3270399999983"/>
    <n v="0.36866158480960831"/>
    <d v="2023-01-29T00:00:00"/>
    <x v="1"/>
  </r>
  <r>
    <x v="56"/>
    <x v="51"/>
    <x v="51"/>
    <s v="Q3 -2023"/>
    <d v="2023-08-23T00:00:00"/>
    <d v="2023-08-23T00:00:00"/>
    <x v="26"/>
    <x v="1"/>
    <x v="2"/>
    <s v="Abuja"/>
    <s v="Africa&gt;Nigeria&gt;Abuja"/>
    <s v="Small Business"/>
    <x v="2"/>
    <x v="5"/>
    <x v="3"/>
    <x v="56"/>
    <n v="790.63"/>
    <n v="1382.31"/>
    <n v="1382.31"/>
    <s v="Medium"/>
    <n v="0.10100000000000001"/>
    <x v="47"/>
    <n v="7"/>
    <x v="56"/>
    <n v="5534.41"/>
    <n v="3164.4668300000012"/>
    <n v="0.36377878338116448"/>
    <d v="2023-01-15T00:00:00"/>
    <x v="6"/>
  </r>
  <r>
    <x v="57"/>
    <x v="52"/>
    <x v="52"/>
    <s v="Q2 -2023"/>
    <d v="2023-04-26T00:00:00"/>
    <d v="2023-04-26T00:00:00"/>
    <x v="27"/>
    <x v="3"/>
    <x v="10"/>
    <s v="Marseille"/>
    <s v="Europe&gt;France&gt;Marseille"/>
    <s v="Consumer"/>
    <x v="3"/>
    <x v="8"/>
    <x v="2"/>
    <x v="57"/>
    <n v="81.489999999999995"/>
    <n v="113.08"/>
    <n v="113.08"/>
    <s v="Low"/>
    <n v="0.121"/>
    <x v="8"/>
    <n v="5"/>
    <x v="57"/>
    <n v="407.45"/>
    <n v="89.536600000000021"/>
    <n v="0.18015898215364362"/>
    <d v="2023-01-10T00:00:00"/>
    <x v="3"/>
  </r>
  <r>
    <x v="58"/>
    <x v="51"/>
    <x v="51"/>
    <s v="Q3 -2023"/>
    <d v="2023-09-12T00:00:00"/>
    <d v="2023-09-12T00:00:00"/>
    <x v="28"/>
    <x v="2"/>
    <x v="3"/>
    <s v="Vancouver"/>
    <s v="Americas&gt;Canada&gt;Vancouver"/>
    <s v="Enterprise"/>
    <x v="0"/>
    <x v="9"/>
    <x v="1"/>
    <x v="58"/>
    <n v="1183.95"/>
    <n v="1503.53"/>
    <n v="1503.53"/>
    <s v="Medium"/>
    <n v="0.24099999999999999"/>
    <x v="48"/>
    <n v="16"/>
    <x v="58"/>
    <n v="18943.2"/>
    <n v="-684.33167999999932"/>
    <n v="-3.7479413729623705E-2"/>
    <d v="2023-01-02T00:00:00"/>
    <x v="6"/>
  </r>
  <r>
    <x v="59"/>
    <x v="53"/>
    <x v="53"/>
    <s v="Q2 -2023"/>
    <d v="2023-06-08T00:00:00"/>
    <d v="2023-06-08T00:00:00"/>
    <x v="11"/>
    <x v="3"/>
    <x v="9"/>
    <s v="Frankfurt"/>
    <s v="Europe&gt;Germany&gt;Frankfurt"/>
    <s v="Consumer"/>
    <x v="2"/>
    <x v="0"/>
    <x v="5"/>
    <x v="59"/>
    <n v="804.17"/>
    <n v="1072.29"/>
    <n v="1072.29"/>
    <s v="Medium"/>
    <n v="3.2000000000000001E-2"/>
    <x v="49"/>
    <n v="5"/>
    <x v="59"/>
    <n v="4020.85"/>
    <n v="1169.0336000000002"/>
    <n v="0.2252523736755869"/>
    <d v="2023-01-22T00:00:00"/>
    <x v="7"/>
  </r>
  <r>
    <x v="60"/>
    <x v="54"/>
    <x v="54"/>
    <s v="Q2 -2023"/>
    <d v="2023-05-02T00:00:00"/>
    <d v="2023-05-02T00:00:00"/>
    <x v="8"/>
    <x v="2"/>
    <x v="3"/>
    <s v="Montreal"/>
    <s v="Americas&gt;Canada&gt;Montreal"/>
    <s v="Consumer"/>
    <x v="1"/>
    <x v="1"/>
    <x v="3"/>
    <x v="60"/>
    <n v="671.05"/>
    <n v="1645.48"/>
    <n v="1645.48"/>
    <s v="High"/>
    <n v="0.13700000000000001"/>
    <x v="31"/>
    <n v="6"/>
    <x v="60"/>
    <n v="4026.2999999999997"/>
    <n v="4493.9954400000006"/>
    <n v="0.52744596377517172"/>
    <d v="2023-01-02T00:00:00"/>
    <x v="3"/>
  </r>
  <r>
    <x v="61"/>
    <x v="55"/>
    <x v="55"/>
    <s v="Q2 -2023"/>
    <d v="2023-05-14T00:00:00"/>
    <d v="2023-05-14T00:00:00"/>
    <x v="24"/>
    <x v="0"/>
    <x v="0"/>
    <s v="Osaka"/>
    <s v="Asia&gt;Japan&gt;Osaka"/>
    <s v="Enterprise"/>
    <x v="4"/>
    <x v="12"/>
    <x v="5"/>
    <x v="61"/>
    <n v="291.18"/>
    <n v="479.54"/>
    <n v="479.54"/>
    <s v="Low"/>
    <n v="0.14099999999999999"/>
    <x v="50"/>
    <n v="22"/>
    <x v="61"/>
    <n v="6405.96"/>
    <n v="2656.3869199999999"/>
    <n v="0.29312350801066001"/>
    <d v="2023-03-03T00:00:00"/>
    <x v="11"/>
  </r>
  <r>
    <x v="62"/>
    <x v="56"/>
    <x v="56"/>
    <s v="Q4 -2023"/>
    <d v="2023-10-26T00:00:00"/>
    <d v="2023-10-26T00:00:00"/>
    <x v="3"/>
    <x v="0"/>
    <x v="7"/>
    <s v="Shanghai"/>
    <s v="Asia&gt;China&gt;Shanghai"/>
    <s v="Consumer"/>
    <x v="4"/>
    <x v="14"/>
    <x v="2"/>
    <x v="62"/>
    <n v="1132.03"/>
    <n v="2137.21"/>
    <n v="2137.21"/>
    <s v="High"/>
    <n v="0.35699999999999998"/>
    <x v="34"/>
    <n v="35"/>
    <x v="62"/>
    <n v="39621.049999999996"/>
    <n v="12740.595000000008"/>
    <n v="0.24331922727026639"/>
    <d v="2023-01-12T00:00:00"/>
    <x v="5"/>
  </r>
  <r>
    <x v="63"/>
    <x v="57"/>
    <x v="57"/>
    <s v="Q3 -2023"/>
    <d v="2023-08-10T00:00:00"/>
    <d v="2023-08-10T00:00:00"/>
    <x v="7"/>
    <x v="1"/>
    <x v="5"/>
    <s v="Johannesburg"/>
    <s v="Africa&gt;South Africa&gt;Johannesburg"/>
    <s v="Small Business"/>
    <x v="0"/>
    <x v="11"/>
    <x v="2"/>
    <x v="63"/>
    <n v="1271.56"/>
    <n v="995.47"/>
    <n v="995.47"/>
    <s v="Medium"/>
    <n v="0.192"/>
    <x v="51"/>
    <n v="13"/>
    <x v="63"/>
    <n v="16530.28"/>
    <n v="-6073.8631199999982"/>
    <n v="-0.58087423155607754"/>
    <d v="2023-01-07T00:00:00"/>
    <x v="10"/>
  </r>
  <r>
    <x v="64"/>
    <x v="38"/>
    <x v="38"/>
    <s v="Q3 -2023"/>
    <d v="2023-08-13T00:00:00"/>
    <d v="2023-08-13T00:00:00"/>
    <x v="23"/>
    <x v="2"/>
    <x v="3"/>
    <s v="Montreal"/>
    <s v="Americas&gt;Canada&gt;Montreal"/>
    <s v="Education"/>
    <x v="3"/>
    <x v="14"/>
    <x v="3"/>
    <x v="64"/>
    <n v="1082.3800000000001"/>
    <n v="1766.55"/>
    <n v="1766.55"/>
    <s v="High"/>
    <n v="0.16400000000000001"/>
    <x v="52"/>
    <n v="20"/>
    <x v="64"/>
    <n v="21647.600000000002"/>
    <n v="7889.1159999999982"/>
    <n v="0.26709523157550752"/>
    <d v="2023-01-02T00:00:00"/>
    <x v="10"/>
  </r>
  <r>
    <x v="65"/>
    <x v="58"/>
    <x v="58"/>
    <s v="Q1 -2023"/>
    <d v="2023-03-25T00:00:00"/>
    <d v="2023-03-25T00:00:00"/>
    <x v="12"/>
    <x v="1"/>
    <x v="6"/>
    <s v="Nairobi"/>
    <s v="Africa&gt;Kenya&gt;Nairobi"/>
    <s v="Corporate"/>
    <x v="0"/>
    <x v="9"/>
    <x v="6"/>
    <x v="65"/>
    <n v="1460.76"/>
    <n v="-30.66"/>
    <n v="30.66"/>
    <s v="Low"/>
    <n v="0.13100000000000001"/>
    <x v="39"/>
    <n v="12"/>
    <x v="65"/>
    <n v="17529.12"/>
    <n v="-17209.397519999999"/>
    <n v="-53.826047890032626"/>
    <d v="2023-01-20T00:00:00"/>
    <x v="0"/>
  </r>
  <r>
    <x v="66"/>
    <x v="59"/>
    <x v="59"/>
    <s v="Q2 -2023"/>
    <d v="2023-06-23T00:00:00"/>
    <d v="2023-06-30T00:00:00"/>
    <x v="1"/>
    <x v="2"/>
    <x v="11"/>
    <s v="Rio de Janeiro"/>
    <s v="Americas&gt;Brazil&gt;Rio de Janeiro"/>
    <s v="Non-Profit"/>
    <x v="0"/>
    <x v="1"/>
    <x v="1"/>
    <x v="66"/>
    <n v="804.01"/>
    <n v="1405.07"/>
    <n v="1405.07"/>
    <s v="Medium"/>
    <n v="9.6000000000000002E-2"/>
    <x v="53"/>
    <n v="8"/>
    <x v="66"/>
    <n v="6432.08"/>
    <n v="3729.3862399999998"/>
    <n v="0.36701260939287439"/>
    <d v="2023-01-29T00:00:00"/>
    <x v="7"/>
  </r>
  <r>
    <x v="67"/>
    <x v="60"/>
    <x v="60"/>
    <s v="Q3 -2023"/>
    <d v="2023-09-22T00:00:00"/>
    <d v="2023-09-22T00:00:00"/>
    <x v="9"/>
    <x v="3"/>
    <x v="8"/>
    <s v="London"/>
    <s v="Europe&gt;United Kingdom&gt;London"/>
    <s v="Consumer"/>
    <x v="1"/>
    <x v="2"/>
    <x v="0"/>
    <x v="67"/>
    <n v="209.81"/>
    <n v="523"/>
    <n v="523"/>
    <s v="Low"/>
    <n v="5.8999999999999997E-2"/>
    <x v="54"/>
    <n v="15"/>
    <x v="67"/>
    <n v="3147.15"/>
    <n v="4234.9950000000008"/>
    <n v="0.57368082041195356"/>
    <d v="2023-01-19T00:00:00"/>
    <x v="6"/>
  </r>
  <r>
    <x v="68"/>
    <x v="61"/>
    <x v="61"/>
    <s v="Q4 -2023"/>
    <d v="2023-10-20T00:00:00"/>
    <d v="2023-10-20T00:00:00"/>
    <x v="17"/>
    <x v="1"/>
    <x v="6"/>
    <s v="Kisumu"/>
    <s v="Africa&gt;Kenya&gt;Kisumu"/>
    <s v="Consumer"/>
    <x v="0"/>
    <x v="5"/>
    <x v="5"/>
    <x v="68"/>
    <n v="774.12"/>
    <n v="908.3"/>
    <n v="908.3"/>
    <s v="Medium"/>
    <n v="0"/>
    <x v="5"/>
    <n v="30"/>
    <x v="68"/>
    <n v="23223.599999999999"/>
    <n v="4025.4000000000015"/>
    <n v="0.14772652207420461"/>
    <d v="2023-01-20T00:00:00"/>
    <x v="5"/>
  </r>
  <r>
    <x v="69"/>
    <x v="62"/>
    <x v="62"/>
    <s v="Q2 -2023"/>
    <d v="2023-05-16T00:00:00"/>
    <d v="2023-05-16T00:00:00"/>
    <x v="4"/>
    <x v="2"/>
    <x v="4"/>
    <s v="New York"/>
    <s v="Americas&gt;USA&gt;New York"/>
    <s v="Corporate"/>
    <x v="4"/>
    <x v="11"/>
    <x v="5"/>
    <x v="69"/>
    <n v="64.5"/>
    <n v="123.62"/>
    <n v="123.62"/>
    <s v="Low"/>
    <n v="0"/>
    <x v="5"/>
    <n v="3"/>
    <x v="69"/>
    <n v="193.5"/>
    <n v="177.36"/>
    <n v="0.47823976702798904"/>
    <d v="2023-01-13T00:00:00"/>
    <x v="3"/>
  </r>
  <r>
    <x v="70"/>
    <x v="63"/>
    <x v="63"/>
    <s v="Q1 -2023"/>
    <d v="2023-01-19T00:00:00"/>
    <d v="2023-01-19T00:00:00"/>
    <x v="1"/>
    <x v="2"/>
    <x v="4"/>
    <s v="Chicago"/>
    <s v="Americas&gt;USA&gt;Chicago"/>
    <s v="Corporate"/>
    <x v="3"/>
    <x v="7"/>
    <x v="5"/>
    <x v="70"/>
    <n v="833.57"/>
    <n v="881.57"/>
    <n v="881.57"/>
    <s v="Medium"/>
    <n v="5.7000000000000002E-2"/>
    <x v="55"/>
    <n v="18"/>
    <x v="70"/>
    <n v="15004.26"/>
    <n v="-40.490820000000895"/>
    <n v="-2.7059238560107821E-3"/>
    <d v="2023-01-13T00:00:00"/>
    <x v="2"/>
  </r>
  <r>
    <x v="71"/>
    <x v="64"/>
    <x v="64"/>
    <s v="Q2 -2023"/>
    <d v="2023-05-18T00:00:00"/>
    <d v="2023-05-25T00:00:00"/>
    <x v="2"/>
    <x v="1"/>
    <x v="5"/>
    <s v="Durban"/>
    <s v="Africa&gt;South Africa&gt;Durban"/>
    <s v="Corporate"/>
    <x v="1"/>
    <x v="0"/>
    <x v="2"/>
    <x v="71"/>
    <n v="917.88"/>
    <n v="1347.92"/>
    <n v="1347.92"/>
    <s v="Medium"/>
    <n v="0.34300000000000003"/>
    <x v="34"/>
    <n v="5"/>
    <x v="71"/>
    <n v="4589.3999999999996"/>
    <n v="128.32000000000062"/>
    <n v="2.7199579457873848E-2"/>
    <d v="2023-01-07T00:00:00"/>
    <x v="7"/>
  </r>
  <r>
    <x v="72"/>
    <x v="65"/>
    <x v="65"/>
    <s v="Q2 -2023"/>
    <d v="2023-06-28T00:00:00"/>
    <d v="2023-06-28T00:00:00"/>
    <x v="7"/>
    <x v="3"/>
    <x v="8"/>
    <s v="Birmingham"/>
    <s v="Europe&gt;United Kingdom&gt;Birmingham"/>
    <s v="Corporate"/>
    <x v="3"/>
    <x v="4"/>
    <x v="1"/>
    <x v="72"/>
    <n v="605.82000000000005"/>
    <n v="771.12"/>
    <n v="771.12"/>
    <s v="Low"/>
    <n v="0.13200000000000001"/>
    <x v="56"/>
    <n v="19"/>
    <x v="72"/>
    <n v="11510.580000000002"/>
    <n v="1206.7310399999988"/>
    <n v="9.4888851597986767E-2"/>
    <d v="2023-01-19T00:00:00"/>
    <x v="7"/>
  </r>
  <r>
    <x v="73"/>
    <x v="36"/>
    <x v="36"/>
    <s v="Q2 -2023"/>
    <d v="2023-04-28T00:00:00"/>
    <d v="2023-04-28T00:00:00"/>
    <x v="25"/>
    <x v="3"/>
    <x v="9"/>
    <s v="Berlin"/>
    <s v="Europe&gt;Germany&gt;Berlin"/>
    <s v="Education"/>
    <x v="2"/>
    <x v="1"/>
    <x v="3"/>
    <x v="73"/>
    <n v="1178.42"/>
    <n v="2446.56"/>
    <n v="2446.56"/>
    <s v="High"/>
    <n v="2.9000000000000001E-2"/>
    <x v="57"/>
    <n v="11"/>
    <x v="73"/>
    <n v="12962.62"/>
    <n v="13169.08736"/>
    <n v="0.5039505141618883"/>
    <d v="2023-01-22T00:00:00"/>
    <x v="11"/>
  </r>
  <r>
    <x v="74"/>
    <x v="66"/>
    <x v="66"/>
    <s v="Q2 -2023"/>
    <d v="2023-07-21T00:00:00"/>
    <d v="2023-07-21T00:00:00"/>
    <x v="29"/>
    <x v="3"/>
    <x v="10"/>
    <s v="Lyon"/>
    <s v="Europe&gt;France&gt;Lyon"/>
    <s v="Corporate"/>
    <x v="0"/>
    <x v="5"/>
    <x v="0"/>
    <x v="74"/>
    <n v="734.34"/>
    <n v="887.9"/>
    <n v="887.9"/>
    <s v="Medium"/>
    <n v="2.5000000000000001E-2"/>
    <x v="58"/>
    <n v="12"/>
    <x v="74"/>
    <n v="8812.08"/>
    <n v="1576.3499999999985"/>
    <n v="0.15174092716608753"/>
    <d v="2023-01-10T00:00:00"/>
    <x v="1"/>
  </r>
  <r>
    <x v="75"/>
    <x v="67"/>
    <x v="67"/>
    <s v="Q4 -2023"/>
    <d v="2023-10-28T00:00:00"/>
    <d v="2023-10-28T00:00:00"/>
    <x v="10"/>
    <x v="2"/>
    <x v="11"/>
    <s v="Brasília"/>
    <s v="Americas&gt;Brazil&gt;Brasília"/>
    <s v="Corporate"/>
    <x v="1"/>
    <x v="11"/>
    <x v="0"/>
    <x v="75"/>
    <n v="509.31"/>
    <n v="1145.9000000000001"/>
    <n v="1145.9000000000001"/>
    <s v="Medium"/>
    <n v="5.7000000000000002E-2"/>
    <x v="55"/>
    <n v="8"/>
    <x v="75"/>
    <n v="4074.48"/>
    <n v="4570.1896000000015"/>
    <n v="0.52867140231709964"/>
    <d v="2023-01-29T00:00:00"/>
    <x v="5"/>
  </r>
  <r>
    <x v="76"/>
    <x v="68"/>
    <x v="68"/>
    <s v="Q1 -2023"/>
    <d v="2023-04-05T00:00:00"/>
    <d v="2023-04-05T00:00:00"/>
    <x v="2"/>
    <x v="1"/>
    <x v="6"/>
    <s v="Nakuru"/>
    <s v="Africa&gt;Kenya&gt;Nakuru"/>
    <s v="Education"/>
    <x v="4"/>
    <x v="12"/>
    <x v="4"/>
    <x v="76"/>
    <n v="533.26"/>
    <n v="385.72"/>
    <n v="385.72"/>
    <s v="Low"/>
    <n v="0"/>
    <x v="5"/>
    <n v="15"/>
    <x v="76"/>
    <n v="7998.9"/>
    <n v="-2213.0999999999995"/>
    <n v="-0.38250544436378708"/>
    <d v="2023-01-20T00:00:00"/>
    <x v="11"/>
  </r>
  <r>
    <x v="77"/>
    <x v="58"/>
    <x v="58"/>
    <s v="Q1 -2023"/>
    <d v="2023-03-20T00:00:00"/>
    <d v="2023-03-20T00:00:00"/>
    <x v="23"/>
    <x v="3"/>
    <x v="9"/>
    <s v="Berlin"/>
    <s v="Europe&gt;Germany&gt;Berlin"/>
    <s v="Small Business"/>
    <x v="3"/>
    <x v="7"/>
    <x v="4"/>
    <x v="77"/>
    <n v="1200.78"/>
    <n v="2001.17"/>
    <n v="2001.17"/>
    <s v="High"/>
    <n v="0.29199999999999998"/>
    <x v="59"/>
    <n v="18"/>
    <x v="77"/>
    <n v="21614.04"/>
    <n v="3888.8704799999978"/>
    <n v="0.15248732034132906"/>
    <d v="2023-01-22T00:00:00"/>
    <x v="0"/>
  </r>
  <r>
    <x v="78"/>
    <x v="69"/>
    <x v="69"/>
    <s v="Q2 -2023"/>
    <d v="2023-06-19T00:00:00"/>
    <d v="2023-06-19T00:00:00"/>
    <x v="5"/>
    <x v="0"/>
    <x v="7"/>
    <s v="Beijing"/>
    <s v="Asia&gt;China&gt;Beijing"/>
    <s v="Enterprise"/>
    <x v="0"/>
    <x v="3"/>
    <x v="3"/>
    <x v="78"/>
    <n v="339.61"/>
    <n v="621.02"/>
    <n v="621.02"/>
    <s v="Low"/>
    <n v="7.0999999999999994E-2"/>
    <x v="60"/>
    <n v="10"/>
    <x v="78"/>
    <n v="3396.1000000000004"/>
    <n v="2373.1758"/>
    <n v="0.41134726129750981"/>
    <d v="2023-01-12T00:00:00"/>
    <x v="7"/>
  </r>
  <r>
    <x v="79"/>
    <x v="70"/>
    <x v="70"/>
    <s v="Q1 -2023"/>
    <d v="2023-01-31T00:00:00"/>
    <d v="2023-01-31T00:00:00"/>
    <x v="26"/>
    <x v="3"/>
    <x v="8"/>
    <s v="Manchester"/>
    <s v="Europe&gt;United Kingdom&gt;Manchester"/>
    <s v="Enterprise"/>
    <x v="2"/>
    <x v="13"/>
    <x v="4"/>
    <x v="79"/>
    <n v="941.2"/>
    <n v="668.02"/>
    <n v="668.02"/>
    <s v="Low"/>
    <n v="0.22"/>
    <x v="61"/>
    <n v="16"/>
    <x v="79"/>
    <n v="15059.2"/>
    <n v="-6722.3104000000003"/>
    <n v="-0.80633314371825193"/>
    <d v="2023-01-19T00:00:00"/>
    <x v="2"/>
  </r>
  <r>
    <x v="80"/>
    <x v="71"/>
    <x v="71"/>
    <s v="Q4 -2023"/>
    <d v="2024-01-14T00:00:00"/>
    <d v="2024-01-14T00:00:00"/>
    <x v="12"/>
    <x v="0"/>
    <x v="1"/>
    <s v="Mumbai"/>
    <s v="Asia&gt;India&gt;Mumbai"/>
    <s v="Non-Profit"/>
    <x v="4"/>
    <x v="11"/>
    <x v="3"/>
    <x v="80"/>
    <n v="1085.6099999999999"/>
    <n v="1246.4100000000001"/>
    <n v="1246.4100000000001"/>
    <s v="Medium"/>
    <n v="0.113"/>
    <x v="25"/>
    <n v="7"/>
    <x v="80"/>
    <n v="7599.2699999999995"/>
    <n v="139.68969000000106"/>
    <n v="1.8050189637310417E-2"/>
    <d v="2023-01-29T00:00:00"/>
    <x v="9"/>
  </r>
  <r>
    <x v="81"/>
    <x v="72"/>
    <x v="72"/>
    <s v="Q2 -2023"/>
    <d v="2023-07-04T00:00:00"/>
    <d v="2023-07-04T00:00:00"/>
    <x v="6"/>
    <x v="2"/>
    <x v="11"/>
    <s v="Brasília"/>
    <s v="Americas&gt;Brazil&gt;Brasília"/>
    <s v="Non-Profit"/>
    <x v="3"/>
    <x v="14"/>
    <x v="6"/>
    <x v="81"/>
    <n v="1292.8599999999999"/>
    <n v="2981.01"/>
    <n v="2981.01"/>
    <s v="High"/>
    <n v="0.14199999999999999"/>
    <x v="62"/>
    <n v="12"/>
    <x v="81"/>
    <n v="15514.32"/>
    <n v="15178.158960000001"/>
    <n v="0.49452372288927687"/>
    <d v="2023-01-29T00:00:00"/>
    <x v="7"/>
  </r>
  <r>
    <x v="82"/>
    <x v="73"/>
    <x v="73"/>
    <s v="Q3 -2023"/>
    <d v="2023-10-10T00:00:00"/>
    <d v="2023-10-10T00:00:00"/>
    <x v="8"/>
    <x v="0"/>
    <x v="0"/>
    <s v="Tokyo"/>
    <s v="Asia&gt;Japan&gt;Tokyo"/>
    <s v="Education"/>
    <x v="2"/>
    <x v="6"/>
    <x v="2"/>
    <x v="82"/>
    <n v="845.63"/>
    <n v="2062.12"/>
    <n v="2062.12"/>
    <s v="High"/>
    <n v="0.13400000000000001"/>
    <x v="32"/>
    <n v="5"/>
    <x v="82"/>
    <n v="4228.1499999999996"/>
    <n v="4700.8295999999991"/>
    <n v="0.52646884757133949"/>
    <d v="2023-03-03T00:00:00"/>
    <x v="10"/>
  </r>
  <r>
    <x v="83"/>
    <x v="44"/>
    <x v="44"/>
    <s v="Q3 -2023"/>
    <d v="2023-08-19T00:00:00"/>
    <d v="2023-08-19T00:00:00"/>
    <x v="23"/>
    <x v="3"/>
    <x v="10"/>
    <s v="Paris"/>
    <s v="Europe&gt;France&gt;Paris"/>
    <s v="Enterprise"/>
    <x v="4"/>
    <x v="10"/>
    <x v="6"/>
    <x v="83"/>
    <n v="1418.51"/>
    <n v="2789.61"/>
    <n v="2789.61"/>
    <s v="High"/>
    <n v="0.17100000000000001"/>
    <x v="63"/>
    <n v="8"/>
    <x v="83"/>
    <n v="11348.08"/>
    <n v="7152.6135200000008"/>
    <n v="0.38661326464695689"/>
    <d v="2023-01-10T00:00:00"/>
    <x v="10"/>
  </r>
  <r>
    <x v="84"/>
    <x v="13"/>
    <x v="13"/>
    <s v="Q3 -2023"/>
    <d v="2023-07-08T00:00:00"/>
    <d v="2023-07-08T00:00:00"/>
    <x v="11"/>
    <x v="3"/>
    <x v="9"/>
    <s v="Frankfurt"/>
    <s v="Europe&gt;Germany&gt;Frankfurt"/>
    <s v="Small Business"/>
    <x v="1"/>
    <x v="13"/>
    <x v="4"/>
    <x v="84"/>
    <n v="460.21"/>
    <n v="1139.1500000000001"/>
    <n v="1139.1500000000001"/>
    <s v="Medium"/>
    <n v="0.115"/>
    <x v="64"/>
    <n v="14"/>
    <x v="84"/>
    <n v="6442.94"/>
    <n v="7671.1285000000016"/>
    <n v="0.54350937151821255"/>
    <d v="2023-01-22T00:00:00"/>
    <x v="1"/>
  </r>
  <r>
    <x v="85"/>
    <x v="74"/>
    <x v="74"/>
    <s v="Q4 -2023"/>
    <d v="2023-12-19T00:00:00"/>
    <d v="2023-12-19T00:00:00"/>
    <x v="9"/>
    <x v="0"/>
    <x v="0"/>
    <s v="Nagoya"/>
    <s v="Asia&gt;Japan&gt;Nagoya"/>
    <s v="Consumer"/>
    <x v="0"/>
    <x v="15"/>
    <x v="5"/>
    <x v="85"/>
    <n v="807.11"/>
    <n v="1853.86"/>
    <n v="1853.86"/>
    <s v="High"/>
    <n v="0.13900000000000001"/>
    <x v="37"/>
    <n v="8"/>
    <x v="85"/>
    <n v="6456.88"/>
    <n v="6312.5076799999997"/>
    <n v="0.49434693645388639"/>
    <d v="2023-03-03T00:00:00"/>
    <x v="5"/>
  </r>
  <r>
    <x v="86"/>
    <x v="75"/>
    <x v="75"/>
    <s v="Q2 -2023"/>
    <d v="2023-05-27T00:00:00"/>
    <d v="2023-05-27T00:00:00"/>
    <x v="3"/>
    <x v="0"/>
    <x v="1"/>
    <s v="Mumbai"/>
    <s v="Asia&gt;India&gt;Mumbai"/>
    <s v="Consumer"/>
    <x v="0"/>
    <x v="8"/>
    <x v="4"/>
    <x v="86"/>
    <n v="1286.1600000000001"/>
    <n v="3101.11"/>
    <n v="3101.11"/>
    <s v="High"/>
    <n v="0.1"/>
    <x v="65"/>
    <n v="23"/>
    <x v="86"/>
    <n v="29581.68"/>
    <n v="34611.296999999999"/>
    <n v="0.53917575749758417"/>
    <d v="2023-01-29T00:00:00"/>
    <x v="3"/>
  </r>
  <r>
    <x v="87"/>
    <x v="58"/>
    <x v="58"/>
    <s v="Q1 -2023"/>
    <d v="2023-03-06T00:00:00"/>
    <d v="2023-03-06T00:00:00"/>
    <x v="1"/>
    <x v="3"/>
    <x v="9"/>
    <s v="Frankfurt"/>
    <s v="Europe&gt;Germany&gt;Frankfurt"/>
    <s v="Small Business"/>
    <x v="4"/>
    <x v="6"/>
    <x v="1"/>
    <x v="87"/>
    <n v="880.02"/>
    <n v="1251.21"/>
    <n v="1251.21"/>
    <s v="Medium"/>
    <n v="0.123"/>
    <x v="66"/>
    <n v="29"/>
    <x v="87"/>
    <n v="25520.579999999998"/>
    <n v="6301.4439300000049"/>
    <n v="0.19802146915172672"/>
    <d v="2023-01-22T00:00:00"/>
    <x v="0"/>
  </r>
  <r>
    <x v="88"/>
    <x v="15"/>
    <x v="15"/>
    <s v="Q4 -2023"/>
    <d v="2023-10-06T00:00:00"/>
    <d v="2023-10-06T00:00:00"/>
    <x v="18"/>
    <x v="0"/>
    <x v="1"/>
    <s v="Bengaluru"/>
    <s v="Asia&gt;India&gt;Bengaluru"/>
    <s v="Non-Profit"/>
    <x v="2"/>
    <x v="9"/>
    <x v="2"/>
    <x v="88"/>
    <n v="1470.26"/>
    <n v="2562.5500000000002"/>
    <n v="2562.5500000000002"/>
    <s v="High"/>
    <n v="0.17299999999999999"/>
    <x v="67"/>
    <n v="9"/>
    <x v="88"/>
    <n v="13232.34"/>
    <n v="5840.7196499999991"/>
    <n v="0.30622877279157462"/>
    <d v="2023-01-29T00:00:00"/>
    <x v="5"/>
  </r>
  <r>
    <x v="89"/>
    <x v="76"/>
    <x v="76"/>
    <s v="Q3 -2023"/>
    <d v="2023-07-14T00:00:00"/>
    <d v="2023-07-14T00:00:00"/>
    <x v="27"/>
    <x v="1"/>
    <x v="2"/>
    <s v="Lagos"/>
    <s v="Africa&gt;Nigeria&gt;Lagos"/>
    <s v="Education"/>
    <x v="0"/>
    <x v="9"/>
    <x v="0"/>
    <x v="89"/>
    <n v="956.38"/>
    <n v="1454.22"/>
    <n v="1454.22"/>
    <s v="Medium"/>
    <n v="3.9E-2"/>
    <x v="68"/>
    <n v="19"/>
    <x v="89"/>
    <n v="18171.22"/>
    <n v="8381.3829799999985"/>
    <n v="0.31565202802576603"/>
    <d v="2023-01-15T00:00:00"/>
    <x v="1"/>
  </r>
  <r>
    <x v="90"/>
    <x v="77"/>
    <x v="77"/>
    <s v="Q1 -2023"/>
    <d v="2023-02-26T00:00:00"/>
    <d v="2023-02-26T00:00:00"/>
    <x v="21"/>
    <x v="1"/>
    <x v="5"/>
    <s v="Johannesburg"/>
    <s v="Africa&gt;South Africa&gt;Johannesburg"/>
    <s v="Non-Profit"/>
    <x v="0"/>
    <x v="4"/>
    <x v="4"/>
    <x v="90"/>
    <n v="498.5"/>
    <n v="755.87"/>
    <n v="755.87"/>
    <s v="Low"/>
    <n v="0.13"/>
    <x v="69"/>
    <n v="40"/>
    <x v="90"/>
    <n v="19940"/>
    <n v="6364.275999999998"/>
    <n v="0.24194834330357537"/>
    <d v="2023-01-07T00:00:00"/>
    <x v="0"/>
  </r>
  <r>
    <x v="91"/>
    <x v="78"/>
    <x v="78"/>
    <s v="Q3 -2023"/>
    <d v="2023-10-02T00:00:00"/>
    <d v="2023-10-02T00:00:00"/>
    <x v="28"/>
    <x v="2"/>
    <x v="3"/>
    <s v="Toronto"/>
    <s v="Americas&gt;Canada&gt;Toronto"/>
    <s v="Education"/>
    <x v="3"/>
    <x v="0"/>
    <x v="0"/>
    <x v="91"/>
    <n v="1299.03"/>
    <n v="2451.2199999999998"/>
    <n v="2451.2199999999998"/>
    <s v="High"/>
    <n v="0.20799999999999999"/>
    <x v="70"/>
    <n v="8"/>
    <x v="91"/>
    <n v="10392.24"/>
    <n v="5138.6899199999989"/>
    <n v="0.3308681416032041"/>
    <d v="2023-01-02T00:00:00"/>
    <x v="5"/>
  </r>
  <r>
    <x v="92"/>
    <x v="79"/>
    <x v="79"/>
    <s v="Q3 -2023"/>
    <d v="2023-07-23T00:00:00"/>
    <d v="2023-07-23T00:00:00"/>
    <x v="23"/>
    <x v="1"/>
    <x v="5"/>
    <s v="Johannesburg"/>
    <s v="Africa&gt;South Africa&gt;Johannesburg"/>
    <s v="Small Business"/>
    <x v="1"/>
    <x v="3"/>
    <x v="4"/>
    <x v="92"/>
    <n v="1001.96"/>
    <n v="1254.95"/>
    <n v="1254.95"/>
    <s v="Medium"/>
    <n v="4.4999999999999998E-2"/>
    <x v="71"/>
    <n v="18"/>
    <x v="92"/>
    <n v="18035.28"/>
    <n v="3537.3105000000032"/>
    <n v="0.16397244920585699"/>
    <d v="2023-01-07T00:00:00"/>
    <x v="1"/>
  </r>
  <r>
    <x v="93"/>
    <x v="36"/>
    <x v="36"/>
    <s v="Q2 -2023"/>
    <d v="2023-05-07T00:00:00"/>
    <d v="2023-05-07T00:00:00"/>
    <x v="22"/>
    <x v="3"/>
    <x v="8"/>
    <s v="Birmingham"/>
    <s v="Europe&gt;United Kingdom&gt;Birmingham"/>
    <s v="Enterprise"/>
    <x v="0"/>
    <x v="13"/>
    <x v="4"/>
    <x v="93"/>
    <n v="1089.1500000000001"/>
    <n v="1088.2"/>
    <n v="1088.2"/>
    <s v="Medium"/>
    <n v="5.0999999999999997E-2"/>
    <x v="72"/>
    <n v="15"/>
    <x v="93"/>
    <n v="16337.250000000002"/>
    <n v="-846.72300000000178"/>
    <n v="-5.4660696824582002E-2"/>
    <d v="2023-01-19T00:00:00"/>
    <x v="3"/>
  </r>
  <r>
    <x v="94"/>
    <x v="56"/>
    <x v="56"/>
    <s v="Q4 -2023"/>
    <d v="2023-10-11T00:00:00"/>
    <d v="2023-10-11T00:00:00"/>
    <x v="17"/>
    <x v="1"/>
    <x v="2"/>
    <s v="Port Harcourt"/>
    <s v="Africa&gt;Nigeria&gt;Port Harcourt"/>
    <s v="Education"/>
    <x v="4"/>
    <x v="4"/>
    <x v="6"/>
    <x v="94"/>
    <n v="391.16"/>
    <n v="902.47"/>
    <n v="902.47"/>
    <s v="Medium"/>
    <n v="4.0000000000000001E-3"/>
    <x v="73"/>
    <n v="12"/>
    <x v="94"/>
    <n v="4693.92"/>
    <n v="6092.4014399999996"/>
    <n v="0.56482661618139207"/>
    <d v="2023-01-15T00:00:00"/>
    <x v="5"/>
  </r>
  <r>
    <x v="95"/>
    <x v="80"/>
    <x v="80"/>
    <s v="Q3 -2023"/>
    <d v="2023-10-08T00:00:00"/>
    <d v="2023-10-08T00:00:00"/>
    <x v="8"/>
    <x v="0"/>
    <x v="1"/>
    <s v="Bengaluru"/>
    <s v="Asia&gt;India&gt;Bengaluru"/>
    <s v="Education"/>
    <x v="3"/>
    <x v="5"/>
    <x v="1"/>
    <x v="95"/>
    <n v="385.32"/>
    <n v="606.76"/>
    <n v="606.76"/>
    <s v="Low"/>
    <n v="8.5999999999999993E-2"/>
    <x v="74"/>
    <n v="8"/>
    <x v="95"/>
    <n v="3082.56"/>
    <n v="1354.0691200000006"/>
    <n v="0.30520223425842735"/>
    <d v="2023-01-29T00:00:00"/>
    <x v="6"/>
  </r>
  <r>
    <x v="96"/>
    <x v="81"/>
    <x v="81"/>
    <s v="Q2 -2023"/>
    <d v="2023-06-19T00:00:00"/>
    <d v="2023-06-19T00:00:00"/>
    <x v="7"/>
    <x v="3"/>
    <x v="9"/>
    <s v="Berlin"/>
    <s v="Europe&gt;Germany&gt;Berlin"/>
    <s v="Education"/>
    <x v="0"/>
    <x v="2"/>
    <x v="0"/>
    <x v="96"/>
    <n v="1471.58"/>
    <n v="2576.65"/>
    <n v="2576.65"/>
    <s v="High"/>
    <n v="4.0000000000000001E-3"/>
    <x v="73"/>
    <n v="7"/>
    <x v="96"/>
    <n v="10301.06"/>
    <n v="7663.3438000000006"/>
    <n v="0.4265849223451546"/>
    <d v="2023-01-22T00:00:00"/>
    <x v="7"/>
  </r>
  <r>
    <x v="97"/>
    <x v="82"/>
    <x v="82"/>
    <s v="Q1 -2023"/>
    <d v="2023-01-30T00:00:00"/>
    <d v="2023-01-30T00:00:00"/>
    <x v="24"/>
    <x v="2"/>
    <x v="4"/>
    <s v="San Francisco"/>
    <s v="Americas&gt;USA&gt;San Francisco"/>
    <s v="Small Business"/>
    <x v="2"/>
    <x v="0"/>
    <x v="6"/>
    <x v="97"/>
    <n v="413.52"/>
    <n v="1004.34"/>
    <n v="1004.34"/>
    <s v="Medium"/>
    <n v="0.111"/>
    <x v="75"/>
    <n v="18"/>
    <x v="97"/>
    <n v="7443.36"/>
    <n v="8628.0886800000007"/>
    <n v="0.53685817948304593"/>
    <d v="2023-01-13T00:00:00"/>
    <x v="2"/>
  </r>
  <r>
    <x v="97"/>
    <x v="83"/>
    <x v="83"/>
    <s v="Q1 -2023"/>
    <d v="2023-02-28T00:00:00"/>
    <d v="2023-02-28T00:00:00"/>
    <x v="9"/>
    <x v="0"/>
    <x v="1"/>
    <s v="Bengaluru"/>
    <s v="Asia&gt;India&gt;Bengaluru"/>
    <s v="Non-Profit"/>
    <x v="0"/>
    <x v="12"/>
    <x v="0"/>
    <x v="98"/>
    <n v="1262.0999999999999"/>
    <n v="1395.53"/>
    <n v="1395.53"/>
    <s v="Medium"/>
    <n v="0.23300000000000001"/>
    <x v="76"/>
    <n v="25"/>
    <x v="98"/>
    <n v="31552.499999999996"/>
    <n v="-4793.2122499999969"/>
    <n v="-0.17912331205452198"/>
    <d v="2023-01-29T00:00:00"/>
    <x v="2"/>
  </r>
  <r>
    <x v="98"/>
    <x v="84"/>
    <x v="84"/>
    <s v="Q3 -2023"/>
    <d v="2023-09-03T00:00:00"/>
    <d v="2023-09-03T00:00:00"/>
    <x v="3"/>
    <x v="1"/>
    <x v="5"/>
    <s v="Durban"/>
    <s v="Africa&gt;South Africa&gt;Durban"/>
    <s v="Enterprise"/>
    <x v="0"/>
    <x v="0"/>
    <x v="5"/>
    <x v="99"/>
    <n v="676.37"/>
    <n v="1276.67"/>
    <n v="1276.67"/>
    <s v="Medium"/>
    <n v="6.6000000000000003E-2"/>
    <x v="33"/>
    <n v="10"/>
    <x v="99"/>
    <n v="6763.7"/>
    <n v="5160.3977999999997"/>
    <n v="0.4327705027712872"/>
    <d v="2023-01-07T00:00:00"/>
    <x v="6"/>
  </r>
  <r>
    <x v="99"/>
    <x v="85"/>
    <x v="85"/>
    <s v="Q2 -2023"/>
    <d v="2023-06-18T00:00:00"/>
    <d v="2023-06-18T00:00:00"/>
    <x v="24"/>
    <x v="1"/>
    <x v="6"/>
    <s v="Nakuru"/>
    <s v="Africa&gt;Kenya&gt;Nakuru"/>
    <s v="Enterprise"/>
    <x v="3"/>
    <x v="7"/>
    <x v="5"/>
    <x v="100"/>
    <n v="894.23"/>
    <n v="1421.55"/>
    <n v="1421.55"/>
    <s v="Medium"/>
    <n v="0.109"/>
    <x v="77"/>
    <n v="3"/>
    <x v="100"/>
    <n v="2682.69"/>
    <n v="1117.1131499999997"/>
    <n v="0.29399237431549574"/>
    <d v="2023-01-20T00:00:00"/>
    <x v="7"/>
  </r>
  <r>
    <x v="100"/>
    <x v="86"/>
    <x v="86"/>
    <s v="Q3 -2023"/>
    <d v="2023-07-19T00:00:00"/>
    <d v="2023-07-19T00:00:00"/>
    <x v="5"/>
    <x v="0"/>
    <x v="0"/>
    <s v="Tokyo"/>
    <s v="Asia&gt;Japan&gt;Tokyo"/>
    <s v="Enterprise"/>
    <x v="1"/>
    <x v="13"/>
    <x v="2"/>
    <x v="101"/>
    <n v="141.26"/>
    <n v="206.88"/>
    <n v="206.88"/>
    <s v="Low"/>
    <n v="0.107"/>
    <x v="78"/>
    <n v="9"/>
    <x v="101"/>
    <n v="1271.3399999999999"/>
    <n v="391.35456000000022"/>
    <n v="0.23537369365062469"/>
    <d v="2023-03-03T00:00:00"/>
    <x v="7"/>
  </r>
  <r>
    <x v="101"/>
    <x v="87"/>
    <x v="87"/>
    <s v="Q2 -2023"/>
    <d v="2023-04-08T00:00:00"/>
    <d v="2023-04-08T00:00:00"/>
    <x v="17"/>
    <x v="1"/>
    <x v="2"/>
    <s v="Abuja"/>
    <s v="Africa&gt;Nigeria&gt;Abuja"/>
    <s v="Small Business"/>
    <x v="4"/>
    <x v="4"/>
    <x v="3"/>
    <x v="102"/>
    <n v="720.35"/>
    <n v="1571.66"/>
    <n v="1571.66"/>
    <s v="Medium"/>
    <n v="0.107"/>
    <x v="78"/>
    <n v="23"/>
    <x v="102"/>
    <n v="16568.05"/>
    <n v="15712.274740000001"/>
    <n v="0.4867446305622265"/>
    <d v="2023-01-15T00:00:00"/>
    <x v="11"/>
  </r>
  <r>
    <x v="102"/>
    <x v="88"/>
    <x v="88"/>
    <s v="Q1 -2023"/>
    <d v="2023-04-09T00:00:00"/>
    <d v="2023-04-09T00:00:00"/>
    <x v="16"/>
    <x v="3"/>
    <x v="8"/>
    <s v="Manchester"/>
    <s v="Europe&gt;United Kingdom&gt;Manchester"/>
    <s v="Consumer"/>
    <x v="0"/>
    <x v="11"/>
    <x v="0"/>
    <x v="103"/>
    <n v="1082.17"/>
    <n v="1234.0999999999999"/>
    <n v="1234.0999999999999"/>
    <s v="Medium"/>
    <n v="0.189"/>
    <x v="79"/>
    <n v="16"/>
    <x v="103"/>
    <n v="17314.72"/>
    <n v="-1301.0384000000031"/>
    <n v="-8.124542703534228E-2"/>
    <d v="2023-01-19T00:00:00"/>
    <x v="11"/>
  </r>
  <r>
    <x v="103"/>
    <x v="35"/>
    <x v="35"/>
    <s v="Q3 -2023"/>
    <d v="2023-08-30T00:00:00"/>
    <d v="2023-08-30T00:00:00"/>
    <x v="15"/>
    <x v="0"/>
    <x v="7"/>
    <s v="Shanghai"/>
    <s v="Asia&gt;China&gt;Shanghai"/>
    <s v="Consumer"/>
    <x v="1"/>
    <x v="13"/>
    <x v="3"/>
    <x v="104"/>
    <n v="226.04"/>
    <n v="545.72"/>
    <n v="545.72"/>
    <s v="Low"/>
    <n v="0.151"/>
    <x v="80"/>
    <n v="11"/>
    <x v="104"/>
    <n v="2486.44"/>
    <n v="2610.03908"/>
    <n v="0.51212592831834014"/>
    <d v="2023-01-12T00:00:00"/>
    <x v="10"/>
  </r>
  <r>
    <x v="104"/>
    <x v="89"/>
    <x v="89"/>
    <s v="Q3 -2023"/>
    <d v="2023-10-02T00:00:00"/>
    <d v="2023-10-02T00:00:00"/>
    <x v="20"/>
    <x v="2"/>
    <x v="11"/>
    <s v="Rio de Janeiro"/>
    <s v="Americas&gt;Brazil&gt;Rio de Janeiro"/>
    <s v="Small Business"/>
    <x v="0"/>
    <x v="12"/>
    <x v="4"/>
    <x v="105"/>
    <n v="689.33"/>
    <n v="668.27"/>
    <n v="668.27"/>
    <s v="Low"/>
    <n v="0.186"/>
    <x v="81"/>
    <n v="13"/>
    <x v="105"/>
    <n v="8961.2900000000009"/>
    <n v="-1889.6568600000001"/>
    <n v="-0.26721647214861033"/>
    <d v="2023-01-29T00:00:00"/>
    <x v="6"/>
  </r>
  <r>
    <x v="105"/>
    <x v="74"/>
    <x v="74"/>
    <s v="Q4 -2023"/>
    <d v="2023-12-12T00:00:00"/>
    <d v="2023-12-12T00:00:00"/>
    <x v="7"/>
    <x v="0"/>
    <x v="1"/>
    <s v="Delhi"/>
    <s v="Asia&gt;India&gt;Delhi"/>
    <s v="Small Business"/>
    <x v="3"/>
    <x v="14"/>
    <x v="6"/>
    <x v="106"/>
    <n v="1349.04"/>
    <n v="2636.6"/>
    <n v="2636.6"/>
    <s v="High"/>
    <n v="0.114"/>
    <x v="82"/>
    <n v="14"/>
    <x v="106"/>
    <n v="18886.559999999998"/>
    <n v="13817.826400000005"/>
    <n v="0.42250682312143928"/>
    <d v="2023-01-29T00:00:00"/>
    <x v="8"/>
  </r>
  <r>
    <x v="106"/>
    <x v="90"/>
    <x v="90"/>
    <s v="Q1 -2023"/>
    <d v="2023-03-25T00:00:00"/>
    <d v="2023-03-25T00:00:00"/>
    <x v="9"/>
    <x v="2"/>
    <x v="3"/>
    <s v="Montreal"/>
    <s v="Americas&gt;Canada&gt;Montreal"/>
    <s v="Enterprise"/>
    <x v="2"/>
    <x v="6"/>
    <x v="5"/>
    <x v="107"/>
    <n v="1242.6600000000001"/>
    <n v="1794.07"/>
    <n v="1794.07"/>
    <s v="High"/>
    <n v="8.8999999999999996E-2"/>
    <x v="83"/>
    <n v="16"/>
    <x v="107"/>
    <n v="19882.560000000001"/>
    <n v="6267.8043199999993"/>
    <n v="0.23968325042440553"/>
    <d v="2023-01-02T00:00:00"/>
    <x v="0"/>
  </r>
  <r>
    <x v="107"/>
    <x v="91"/>
    <x v="91"/>
    <s v="Q3 -2023"/>
    <d v="2023-10-30T00:00:00"/>
    <d v="2023-10-30T00:00:00"/>
    <x v="9"/>
    <x v="0"/>
    <x v="0"/>
    <s v="Tokyo"/>
    <s v="Asia&gt;Japan&gt;Tokyo"/>
    <s v="Enterprise"/>
    <x v="2"/>
    <x v="6"/>
    <x v="1"/>
    <x v="108"/>
    <n v="649.13"/>
    <n v="975.43"/>
    <n v="975.43"/>
    <s v="Medium"/>
    <n v="0.157"/>
    <x v="7"/>
    <n v="27"/>
    <x v="108"/>
    <n v="17526.509999999998"/>
    <n v="4675.2522299999982"/>
    <n v="0.21058023149543473"/>
    <d v="2023-03-03T00:00:00"/>
    <x v="10"/>
  </r>
  <r>
    <x v="108"/>
    <x v="92"/>
    <x v="92"/>
    <s v="Q3 -2023"/>
    <d v="2023-08-13T00:00:00"/>
    <d v="2023-08-13T00:00:00"/>
    <x v="14"/>
    <x v="3"/>
    <x v="8"/>
    <s v="Manchester"/>
    <s v="Europe&gt;United Kingdom&gt;Manchester"/>
    <s v="Non-Profit"/>
    <x v="2"/>
    <x v="5"/>
    <x v="4"/>
    <x v="109"/>
    <n v="1039.03"/>
    <n v="2545.81"/>
    <n v="2545.81"/>
    <s v="High"/>
    <n v="0.216"/>
    <x v="84"/>
    <n v="21"/>
    <x v="109"/>
    <n v="21819.63"/>
    <n v="20094.585840000003"/>
    <n v="0.47942172929364774"/>
    <d v="2023-01-19T00:00:00"/>
    <x v="1"/>
  </r>
  <r>
    <x v="109"/>
    <x v="93"/>
    <x v="93"/>
    <s v="Q4 -2023"/>
    <d v="2023-12-18T00:00:00"/>
    <d v="2023-12-18T00:00:00"/>
    <x v="3"/>
    <x v="0"/>
    <x v="0"/>
    <s v="Nagoya"/>
    <s v="Asia&gt;Japan&gt;Nagoya"/>
    <s v="Small Business"/>
    <x v="3"/>
    <x v="13"/>
    <x v="4"/>
    <x v="110"/>
    <n v="1495.79"/>
    <n v="2783.12"/>
    <n v="2783.12"/>
    <s v="High"/>
    <n v="0.02"/>
    <x v="85"/>
    <n v="5"/>
    <x v="110"/>
    <n v="7478.95"/>
    <n v="6158.3379999999988"/>
    <n v="0.45158084217331185"/>
    <d v="2023-03-03T00:00:00"/>
    <x v="5"/>
  </r>
  <r>
    <x v="110"/>
    <x v="94"/>
    <x v="94"/>
    <s v="Q2 -2023"/>
    <d v="2023-05-16T00:00:00"/>
    <d v="2023-05-16T00:00:00"/>
    <x v="6"/>
    <x v="0"/>
    <x v="1"/>
    <s v="Bengaluru"/>
    <s v="Asia&gt;India&gt;Bengaluru"/>
    <s v="Non-Profit"/>
    <x v="0"/>
    <x v="11"/>
    <x v="3"/>
    <x v="111"/>
    <n v="475.37"/>
    <n v="963.73"/>
    <n v="963.73"/>
    <s v="Medium"/>
    <n v="4.1000000000000002E-2"/>
    <x v="9"/>
    <n v="22"/>
    <x v="111"/>
    <n v="10458.14"/>
    <n v="9874.6355399999993"/>
    <n v="0.48565113604750881"/>
    <d v="2023-01-29T00:00:00"/>
    <x v="3"/>
  </r>
  <r>
    <x v="111"/>
    <x v="95"/>
    <x v="95"/>
    <s v="Q1 -2023"/>
    <d v="2023-02-21T00:00:00"/>
    <d v="2023-02-21T00:00:00"/>
    <x v="0"/>
    <x v="3"/>
    <x v="9"/>
    <s v="Munich"/>
    <s v="Europe&gt;Germany&gt;Munich"/>
    <s v="Small Business"/>
    <x v="4"/>
    <x v="10"/>
    <x v="6"/>
    <x v="112"/>
    <n v="1142.8800000000001"/>
    <n v="1465.29"/>
    <n v="1465.29"/>
    <s v="Medium"/>
    <n v="0.186"/>
    <x v="81"/>
    <n v="7"/>
    <x v="112"/>
    <n v="8000.1600000000008"/>
    <n v="349.06241999999929"/>
    <n v="4.1807775915017401E-2"/>
    <d v="2023-01-22T00:00:00"/>
    <x v="2"/>
  </r>
  <r>
    <x v="112"/>
    <x v="74"/>
    <x v="74"/>
    <s v="Q4 -2023"/>
    <d v="2023-12-13T00:00:00"/>
    <d v="2023-12-13T00:00:00"/>
    <x v="28"/>
    <x v="3"/>
    <x v="10"/>
    <s v="Lyon"/>
    <s v="Europe&gt;France&gt;Lyon"/>
    <s v="Non-Profit"/>
    <x v="3"/>
    <x v="7"/>
    <x v="3"/>
    <x v="113"/>
    <n v="1297.42"/>
    <n v="2742.97"/>
    <n v="2742.97"/>
    <s v="High"/>
    <n v="6.9000000000000006E-2"/>
    <x v="86"/>
    <n v="9"/>
    <x v="113"/>
    <n v="11676.78"/>
    <n v="11306.565629999999"/>
    <n v="0.49194602961727291"/>
    <d v="2023-01-10T00:00:00"/>
    <x v="9"/>
  </r>
  <r>
    <x v="113"/>
    <x v="96"/>
    <x v="96"/>
    <s v="Q4 -2023"/>
    <d v="2024-01-13T00:00:00"/>
    <d v="2024-01-13T00:00:00"/>
    <x v="23"/>
    <x v="0"/>
    <x v="0"/>
    <s v="Nagoya"/>
    <s v="Asia&gt;Japan&gt;Nagoya"/>
    <s v="Education"/>
    <x v="3"/>
    <x v="12"/>
    <x v="4"/>
    <x v="114"/>
    <n v="625.37"/>
    <n v="1319.04"/>
    <n v="1319.04"/>
    <s v="Medium"/>
    <n v="7.3999999999999996E-2"/>
    <x v="87"/>
    <n v="8"/>
    <x v="114"/>
    <n v="5002.96"/>
    <n v="4768.4883199999995"/>
    <n v="0.48800220436513547"/>
    <d v="2023-03-03T00:00:00"/>
    <x v="8"/>
  </r>
  <r>
    <x v="114"/>
    <x v="97"/>
    <x v="97"/>
    <s v="Q4 -2023"/>
    <d v="2023-12-12T00:00:00"/>
    <d v="2023-12-12T00:00:00"/>
    <x v="11"/>
    <x v="2"/>
    <x v="11"/>
    <s v="Brasília"/>
    <s v="Americas&gt;Brazil&gt;Brasília"/>
    <s v="Corporate"/>
    <x v="3"/>
    <x v="3"/>
    <x v="5"/>
    <x v="115"/>
    <n v="307.43"/>
    <n v="495.19"/>
    <n v="495.19"/>
    <s v="Low"/>
    <n v="0"/>
    <x v="5"/>
    <n v="42"/>
    <x v="115"/>
    <n v="12912.06"/>
    <n v="7885.92"/>
    <n v="0.37916759223732305"/>
    <d v="2023-01-29T00:00:00"/>
    <x v="9"/>
  </r>
  <r>
    <x v="115"/>
    <x v="98"/>
    <x v="98"/>
    <s v="Q1 -2023"/>
    <d v="2023-02-03T00:00:00"/>
    <d v="2023-02-03T00:00:00"/>
    <x v="6"/>
    <x v="1"/>
    <x v="6"/>
    <s v="Kisumu"/>
    <s v="Africa&gt;Kenya&gt;Kisumu"/>
    <s v="Corporate"/>
    <x v="0"/>
    <x v="8"/>
    <x v="6"/>
    <x v="116"/>
    <n v="884.36"/>
    <n v="1545.34"/>
    <n v="1545.34"/>
    <s v="Medium"/>
    <n v="0.24299999999999999"/>
    <x v="88"/>
    <n v="41"/>
    <x v="116"/>
    <n v="36258.76"/>
    <n v="11703.957579999995"/>
    <n v="0.24402198562827965"/>
    <d v="2023-01-20T00:00:00"/>
    <x v="2"/>
  </r>
  <r>
    <x v="116"/>
    <x v="99"/>
    <x v="99"/>
    <s v="Q2 -2023"/>
    <d v="2023-05-25T00:00:00"/>
    <d v="2023-05-25T00:00:00"/>
    <x v="17"/>
    <x v="2"/>
    <x v="11"/>
    <s v="Rio de Janeiro"/>
    <s v="Americas&gt;Brazil&gt;Rio de Janeiro"/>
    <s v="Enterprise"/>
    <x v="0"/>
    <x v="8"/>
    <x v="1"/>
    <x v="117"/>
    <n v="690.49"/>
    <n v="1290.29"/>
    <n v="1290.29"/>
    <s v="Medium"/>
    <n v="4.2000000000000003E-2"/>
    <x v="89"/>
    <n v="22"/>
    <x v="117"/>
    <n v="15190.78"/>
    <n v="12003.372039999997"/>
    <n v="0.44139534199647718"/>
    <d v="2023-01-29T00:00:00"/>
    <x v="3"/>
  </r>
  <r>
    <x v="117"/>
    <x v="57"/>
    <x v="57"/>
    <s v="Q3 -2023"/>
    <d v="2023-07-22T00:00:00"/>
    <d v="2023-07-22T00:00:00"/>
    <x v="26"/>
    <x v="2"/>
    <x v="11"/>
    <s v="São Paulo"/>
    <s v="Americas&gt;Brazil&gt;São Paulo"/>
    <s v="Consumer"/>
    <x v="3"/>
    <x v="3"/>
    <x v="6"/>
    <x v="118"/>
    <n v="1269.55"/>
    <n v="2071.1"/>
    <n v="2071.1"/>
    <s v="High"/>
    <n v="0.129"/>
    <x v="90"/>
    <n v="22"/>
    <x v="118"/>
    <n v="27930.1"/>
    <n v="11756.318200000002"/>
    <n v="0.29623026549672354"/>
    <d v="2023-01-29T00:00:00"/>
    <x v="1"/>
  </r>
  <r>
    <x v="118"/>
    <x v="72"/>
    <x v="72"/>
    <s v="Q2 -2023"/>
    <d v="2023-07-08T00:00:00"/>
    <d v="2023-07-08T00:00:00"/>
    <x v="22"/>
    <x v="2"/>
    <x v="4"/>
    <s v="New York"/>
    <s v="Americas&gt;USA&gt;New York"/>
    <s v="Consumer"/>
    <x v="4"/>
    <x v="2"/>
    <x v="6"/>
    <x v="119"/>
    <n v="1145.53"/>
    <n v="1278.3"/>
    <n v="1278.3"/>
    <s v="Medium"/>
    <n v="0.09"/>
    <x v="91"/>
    <n v="41"/>
    <x v="119"/>
    <n v="46966.729999999996"/>
    <n v="726.64300000000367"/>
    <n v="1.5235722581416158E-2"/>
    <d v="2023-01-13T00:00:00"/>
    <x v="1"/>
  </r>
  <r>
    <x v="119"/>
    <x v="100"/>
    <x v="100"/>
    <s v="Q4 -2023"/>
    <d v="2023-12-05T00:00:00"/>
    <d v="2023-12-12T00:00:00"/>
    <x v="2"/>
    <x v="0"/>
    <x v="0"/>
    <s v="Tokyo"/>
    <s v="Asia&gt;Japan&gt;Tokyo"/>
    <s v="Non-Profit"/>
    <x v="4"/>
    <x v="7"/>
    <x v="1"/>
    <x v="120"/>
    <n v="1097.5899999999999"/>
    <n v="845.55"/>
    <n v="845.55"/>
    <s v="Medium"/>
    <n v="0.184"/>
    <x v="27"/>
    <n v="6"/>
    <x v="120"/>
    <n v="6585.5399999999991"/>
    <n v="-2445.7271999999994"/>
    <n v="-0.59078207594314402"/>
    <d v="2023-03-03T00:00:00"/>
    <x v="8"/>
  </r>
  <r>
    <x v="120"/>
    <x v="67"/>
    <x v="67"/>
    <s v="Q4 -2023"/>
    <d v="2023-11-24T00:00:00"/>
    <d v="2023-11-24T00:00:00"/>
    <x v="9"/>
    <x v="3"/>
    <x v="10"/>
    <s v="Paris"/>
    <s v="Europe&gt;France&gt;Paris"/>
    <s v="Enterprise"/>
    <x v="1"/>
    <x v="14"/>
    <x v="5"/>
    <x v="121"/>
    <n v="287.85000000000002"/>
    <n v="602.91999999999996"/>
    <n v="602.91999999999996"/>
    <s v="Low"/>
    <n v="0.222"/>
    <x v="92"/>
    <n v="11"/>
    <x v="121"/>
    <n v="3166.3500000000004"/>
    <n v="1993.4393599999994"/>
    <n v="0.38634122847216373"/>
    <d v="2023-01-10T00:00:00"/>
    <x v="8"/>
  </r>
  <r>
    <x v="121"/>
    <x v="72"/>
    <x v="72"/>
    <s v="Q2 -2023"/>
    <d v="2023-07-08T00:00:00"/>
    <d v="2023-07-08T00:00:00"/>
    <x v="22"/>
    <x v="2"/>
    <x v="4"/>
    <s v="Austin"/>
    <s v="Americas&gt;USA&gt;Austin"/>
    <s v="Non-Profit"/>
    <x v="3"/>
    <x v="3"/>
    <x v="3"/>
    <x v="122"/>
    <n v="337"/>
    <n v="511.03"/>
    <n v="511.03"/>
    <s v="Low"/>
    <n v="0.108"/>
    <x v="93"/>
    <n v="7"/>
    <x v="122"/>
    <n v="2359"/>
    <n v="831.8713200000002"/>
    <n v="0.26070349963219458"/>
    <d v="2023-01-13T00:00:00"/>
    <x v="1"/>
  </r>
  <r>
    <x v="122"/>
    <x v="101"/>
    <x v="101"/>
    <s v="Q3 -2023"/>
    <d v="2023-09-04T00:00:00"/>
    <d v="2023-09-04T00:00:00"/>
    <x v="6"/>
    <x v="2"/>
    <x v="3"/>
    <s v="Montreal"/>
    <s v="Americas&gt;Canada&gt;Montreal"/>
    <s v="Education"/>
    <x v="1"/>
    <x v="3"/>
    <x v="2"/>
    <x v="123"/>
    <n v="178.19"/>
    <n v="284.43"/>
    <n v="284.43"/>
    <s v="Low"/>
    <n v="8.8999999999999996E-2"/>
    <x v="83"/>
    <n v="8"/>
    <x v="123"/>
    <n v="1425.52"/>
    <n v="647.40584000000035"/>
    <n v="0.31231500302972742"/>
    <d v="2023-01-02T00:00:00"/>
    <x v="6"/>
  </r>
  <r>
    <x v="123"/>
    <x v="99"/>
    <x v="99"/>
    <s v="Q2 -2023"/>
    <d v="2023-06-10T00:00:00"/>
    <d v="2023-06-10T00:00:00"/>
    <x v="22"/>
    <x v="0"/>
    <x v="7"/>
    <s v="Shanghai"/>
    <s v="Asia&gt;China&gt;Shanghai"/>
    <s v="Corporate"/>
    <x v="1"/>
    <x v="1"/>
    <x v="2"/>
    <x v="124"/>
    <n v="54.62"/>
    <n v="48.94"/>
    <n v="48.94"/>
    <s v="Low"/>
    <n v="0.14799999999999999"/>
    <x v="94"/>
    <n v="16"/>
    <x v="124"/>
    <n v="873.92"/>
    <n v="-206.76991999999996"/>
    <n v="-0.3099301434543783"/>
    <d v="2023-01-12T00:00:00"/>
    <x v="7"/>
  </r>
  <r>
    <x v="124"/>
    <x v="102"/>
    <x v="102"/>
    <s v="Q2 -2023"/>
    <d v="2023-04-19T00:00:00"/>
    <d v="2023-04-19T00:00:00"/>
    <x v="10"/>
    <x v="3"/>
    <x v="9"/>
    <s v="Munich"/>
    <s v="Europe&gt;Germany&gt;Munich"/>
    <s v="Corporate"/>
    <x v="3"/>
    <x v="12"/>
    <x v="0"/>
    <x v="125"/>
    <n v="553.61"/>
    <n v="699.47"/>
    <n v="699.47"/>
    <s v="Low"/>
    <n v="0.02"/>
    <x v="85"/>
    <n v="33"/>
    <x v="125"/>
    <n v="18269.13"/>
    <n v="4351.729800000001"/>
    <n v="0.19237685209472014"/>
    <d v="2023-01-22T00:00:00"/>
    <x v="11"/>
  </r>
  <r>
    <x v="125"/>
    <x v="59"/>
    <x v="59"/>
    <s v="Q2 -2023"/>
    <d v="2023-07-21T00:00:00"/>
    <d v="2023-07-21T00:00:00"/>
    <x v="15"/>
    <x v="0"/>
    <x v="0"/>
    <s v="Nagoya"/>
    <s v="Asia&gt;Japan&gt;Nagoya"/>
    <s v="Consumer"/>
    <x v="4"/>
    <x v="5"/>
    <x v="5"/>
    <x v="126"/>
    <n v="554.76"/>
    <n v="728.69"/>
    <n v="728.69"/>
    <s v="Low"/>
    <n v="0.22"/>
    <x v="61"/>
    <n v="7"/>
    <x v="126"/>
    <n v="3883.3199999999997"/>
    <n v="95.32740000000058"/>
    <n v="2.395975074343119E-2"/>
    <d v="2023-03-03T00:00:00"/>
    <x v="3"/>
  </r>
  <r>
    <x v="126"/>
    <x v="68"/>
    <x v="68"/>
    <s v="Q1 -2023"/>
    <d v="2023-04-12T00:00:00"/>
    <d v="2023-04-12T00:00:00"/>
    <x v="30"/>
    <x v="1"/>
    <x v="6"/>
    <s v="Mombasa"/>
    <s v="Africa&gt;Kenya&gt;Mombasa"/>
    <s v="Small Business"/>
    <x v="2"/>
    <x v="14"/>
    <x v="5"/>
    <x v="127"/>
    <n v="304.22000000000003"/>
    <n v="393.31"/>
    <n v="393.31"/>
    <s v="Low"/>
    <n v="0.26500000000000001"/>
    <x v="95"/>
    <n v="15"/>
    <x v="127"/>
    <n v="4563.3"/>
    <n v="-227.05725000000075"/>
    <n v="-5.2362670424759034E-2"/>
    <d v="2023-01-20T00:00:00"/>
    <x v="11"/>
  </r>
  <r>
    <x v="127"/>
    <x v="82"/>
    <x v="82"/>
    <s v="Q1 -2023"/>
    <d v="2023-01-21T00:00:00"/>
    <d v="2023-01-28T00:00:00"/>
    <x v="1"/>
    <x v="3"/>
    <x v="9"/>
    <s v="Munich"/>
    <s v="Europe&gt;Germany&gt;Munich"/>
    <s v="Corporate"/>
    <x v="3"/>
    <x v="3"/>
    <x v="3"/>
    <x v="128"/>
    <n v="150.86000000000001"/>
    <n v="346.96"/>
    <n v="346.96"/>
    <s v="Low"/>
    <n v="0.19600000000000001"/>
    <x v="96"/>
    <n v="8"/>
    <x v="128"/>
    <n v="1206.8800000000001"/>
    <n v="1024.7667200000001"/>
    <n v="0.45919755614365343"/>
    <d v="2023-01-22T00:00:00"/>
    <x v="2"/>
  </r>
  <r>
    <x v="128"/>
    <x v="91"/>
    <x v="91"/>
    <s v="Q3 -2023"/>
    <d v="2023-10-03T00:00:00"/>
    <d v="2023-10-03T00:00:00"/>
    <x v="10"/>
    <x v="0"/>
    <x v="7"/>
    <s v="Beijing"/>
    <s v="Asia&gt;China&gt;Beijing"/>
    <s v="Non-Profit"/>
    <x v="0"/>
    <x v="5"/>
    <x v="4"/>
    <x v="129"/>
    <n v="1019.36"/>
    <n v="972.91"/>
    <n v="972.91"/>
    <s v="Medium"/>
    <n v="0.14699999999999999"/>
    <x v="22"/>
    <n v="17"/>
    <x v="129"/>
    <n v="17329.12"/>
    <n v="-3220.9520899999989"/>
    <n v="-0.22830406545678819"/>
    <d v="2023-01-12T00:00:00"/>
    <x v="5"/>
  </r>
  <r>
    <x v="129"/>
    <x v="103"/>
    <x v="103"/>
    <s v="Q1 -2023"/>
    <d v="2023-02-26T00:00:00"/>
    <d v="2023-03-05T00:00:00"/>
    <x v="1"/>
    <x v="2"/>
    <x v="4"/>
    <s v="San Francisco"/>
    <s v="Americas&gt;USA&gt;San Francisco"/>
    <s v="Non-Profit"/>
    <x v="2"/>
    <x v="11"/>
    <x v="6"/>
    <x v="130"/>
    <n v="1015.91"/>
    <n v="2331.48"/>
    <n v="2331.48"/>
    <s v="High"/>
    <n v="0.14599999999999999"/>
    <x v="97"/>
    <n v="26"/>
    <x v="130"/>
    <n v="26413.66"/>
    <n v="25354.521920000003"/>
    <n v="0.48977037592669626"/>
    <d v="2023-01-13T00:00:00"/>
    <x v="0"/>
  </r>
  <r>
    <x v="130"/>
    <x v="104"/>
    <x v="104"/>
    <s v="Q4 -2023"/>
    <d v="2023-11-30T00:00:00"/>
    <d v="2023-11-30T00:00:00"/>
    <x v="19"/>
    <x v="2"/>
    <x v="11"/>
    <s v="São Paulo"/>
    <s v="Americas&gt;Brazil&gt;São Paulo"/>
    <s v="Enterprise"/>
    <x v="3"/>
    <x v="4"/>
    <x v="6"/>
    <x v="131"/>
    <n v="1017.92"/>
    <n v="1175.25"/>
    <n v="1175.25"/>
    <s v="Medium"/>
    <n v="7.4999999999999997E-2"/>
    <x v="98"/>
    <n v="15"/>
    <x v="131"/>
    <n v="15268.8"/>
    <n v="1037.7937500000007"/>
    <n v="6.3642583234159542E-2"/>
    <d v="2023-01-29T00:00:00"/>
    <x v="8"/>
  </r>
  <r>
    <x v="131"/>
    <x v="105"/>
    <x v="105"/>
    <s v="Q3 -2023"/>
    <d v="2023-07-13T00:00:00"/>
    <d v="2023-07-13T00:00:00"/>
    <x v="1"/>
    <x v="1"/>
    <x v="5"/>
    <s v="Cape Town"/>
    <s v="Africa&gt;South Africa&gt;Cape Town"/>
    <s v="Small Business"/>
    <x v="4"/>
    <x v="12"/>
    <x v="0"/>
    <x v="132"/>
    <n v="612.59"/>
    <n v="1424.74"/>
    <n v="1424.74"/>
    <s v="Medium"/>
    <n v="4.3999999999999997E-2"/>
    <x v="99"/>
    <n v="15"/>
    <x v="132"/>
    <n v="9188.85"/>
    <n v="11241.921599999996"/>
    <n v="0.55024459281802152"/>
    <d v="2023-01-07T00:00:00"/>
    <x v="10"/>
  </r>
  <r>
    <x v="132"/>
    <x v="106"/>
    <x v="106"/>
    <s v="Q4 -2023"/>
    <d v="2023-10-29T00:00:00"/>
    <d v="2023-10-29T00:00:00"/>
    <x v="3"/>
    <x v="0"/>
    <x v="0"/>
    <s v="Nagoya"/>
    <s v="Asia&gt;Japan&gt;Nagoya"/>
    <s v="Non-Profit"/>
    <x v="3"/>
    <x v="7"/>
    <x v="5"/>
    <x v="133"/>
    <n v="1102.19"/>
    <n v="1711.16"/>
    <n v="1711.16"/>
    <s v="High"/>
    <n v="0.151"/>
    <x v="80"/>
    <n v="10"/>
    <x v="133"/>
    <n v="11021.900000000001"/>
    <n v="3505.8484000000008"/>
    <n v="0.24132083675127525"/>
    <d v="2023-03-03T00:00:00"/>
    <x v="6"/>
  </r>
  <r>
    <x v="133"/>
    <x v="107"/>
    <x v="107"/>
    <s v="Q3 -2023"/>
    <d v="2023-08-24T00:00:00"/>
    <d v="2023-08-24T00:00:00"/>
    <x v="23"/>
    <x v="2"/>
    <x v="11"/>
    <s v="Brasília"/>
    <s v="Americas&gt;Brazil&gt;Brasília"/>
    <s v="Non-Profit"/>
    <x v="3"/>
    <x v="15"/>
    <x v="6"/>
    <x v="134"/>
    <n v="582.88"/>
    <n v="1044.1400000000001"/>
    <n v="1044.1400000000001"/>
    <s v="Medium"/>
    <n v="0.216"/>
    <x v="84"/>
    <n v="10"/>
    <x v="134"/>
    <n v="5828.8"/>
    <n v="2357.2576000000008"/>
    <n v="0.28796005539956138"/>
    <d v="2023-01-29T00:00:00"/>
    <x v="10"/>
  </r>
  <r>
    <x v="134"/>
    <x v="9"/>
    <x v="9"/>
    <s v="Q2 -2023"/>
    <d v="2023-05-05T00:00:00"/>
    <d v="2023-05-12T00:00:00"/>
    <x v="2"/>
    <x v="1"/>
    <x v="2"/>
    <s v="Port Harcourt"/>
    <s v="Africa&gt;Nigeria&gt;Port Harcourt"/>
    <s v="Non-Profit"/>
    <x v="4"/>
    <x v="0"/>
    <x v="2"/>
    <x v="135"/>
    <n v="1269.6500000000001"/>
    <n v="2462.77"/>
    <n v="2462.77"/>
    <s v="High"/>
    <n v="0.107"/>
    <x v="78"/>
    <n v="8"/>
    <x v="135"/>
    <n v="10157.200000000001"/>
    <n v="7436.8288800000009"/>
    <n v="0.42269050089225502"/>
    <d v="2023-01-15T00:00:00"/>
    <x v="3"/>
  </r>
  <r>
    <x v="135"/>
    <x v="64"/>
    <x v="64"/>
    <s v="Q2 -2023"/>
    <d v="2023-06-07T00:00:00"/>
    <d v="2023-06-07T00:00:00"/>
    <x v="22"/>
    <x v="1"/>
    <x v="2"/>
    <s v="Port Harcourt"/>
    <s v="Africa&gt;Nigeria&gt;Port Harcourt"/>
    <s v="Enterprise"/>
    <x v="1"/>
    <x v="1"/>
    <x v="2"/>
    <x v="136"/>
    <n v="1120.06"/>
    <n v="2068.21"/>
    <n v="2068.21"/>
    <s v="High"/>
    <n v="7.8E-2"/>
    <x v="100"/>
    <n v="12"/>
    <x v="136"/>
    <n v="13440.72"/>
    <n v="9441.9554400000034"/>
    <n v="0.41262462795303284"/>
    <d v="2023-01-15T00:00:00"/>
    <x v="7"/>
  </r>
  <r>
    <x v="136"/>
    <x v="108"/>
    <x v="108"/>
    <s v="Q3 -2023"/>
    <d v="2023-09-20T00:00:00"/>
    <d v="2023-09-20T00:00:00"/>
    <x v="15"/>
    <x v="1"/>
    <x v="5"/>
    <s v="Durban"/>
    <s v="Africa&gt;South Africa&gt;Durban"/>
    <s v="Small Business"/>
    <x v="4"/>
    <x v="8"/>
    <x v="1"/>
    <x v="137"/>
    <n v="1399.64"/>
    <n v="3342.11"/>
    <n v="3342.11"/>
    <s v="High"/>
    <n v="0"/>
    <x v="5"/>
    <n v="10"/>
    <x v="137"/>
    <n v="13996.400000000001"/>
    <n v="19424.699999999997"/>
    <n v="0.58121067229983447"/>
    <d v="2023-01-07T00:00:00"/>
    <x v="6"/>
  </r>
  <r>
    <x v="137"/>
    <x v="109"/>
    <x v="109"/>
    <s v="Q2 -2023"/>
    <d v="2023-06-24T00:00:00"/>
    <d v="2023-06-24T00:00:00"/>
    <x v="11"/>
    <x v="2"/>
    <x v="4"/>
    <s v="San Francisco"/>
    <s v="Americas&gt;USA&gt;San Francisco"/>
    <s v="Corporate"/>
    <x v="0"/>
    <x v="9"/>
    <x v="1"/>
    <x v="138"/>
    <n v="313.99"/>
    <n v="454.42"/>
    <n v="454.42"/>
    <s v="Low"/>
    <n v="0.129"/>
    <x v="90"/>
    <n v="9"/>
    <x v="138"/>
    <n v="2825.91"/>
    <n v="736.28838000000042"/>
    <n v="0.20669493988147858"/>
    <d v="2023-01-13T00:00:00"/>
    <x v="1"/>
  </r>
  <r>
    <x v="138"/>
    <x v="110"/>
    <x v="110"/>
    <s v="Q4 -2023"/>
    <d v="2023-11-28T00:00:00"/>
    <d v="2023-11-28T00:00:00"/>
    <x v="22"/>
    <x v="2"/>
    <x v="11"/>
    <s v="Brasília"/>
    <s v="Americas&gt;Brazil&gt;Brasília"/>
    <s v="Education"/>
    <x v="4"/>
    <x v="11"/>
    <x v="0"/>
    <x v="139"/>
    <n v="388.51"/>
    <n v="776.46"/>
    <n v="776.46"/>
    <s v="Low"/>
    <n v="0.157"/>
    <x v="7"/>
    <n v="12"/>
    <x v="139"/>
    <n v="4662.12"/>
    <n v="3192.54936"/>
    <n v="0.40645241876864946"/>
    <d v="2023-01-29T00:00:00"/>
    <x v="8"/>
  </r>
  <r>
    <x v="139"/>
    <x v="111"/>
    <x v="111"/>
    <s v="Q4 -2023"/>
    <d v="2023-10-21T00:00:00"/>
    <d v="2023-10-21T00:00:00"/>
    <x v="27"/>
    <x v="3"/>
    <x v="8"/>
    <s v="Manchester"/>
    <s v="Europe&gt;United Kingdom&gt;Manchester"/>
    <s v="Enterprise"/>
    <x v="1"/>
    <x v="5"/>
    <x v="3"/>
    <x v="140"/>
    <n v="384.19"/>
    <n v="278.35000000000002"/>
    <n v="278.35000000000002"/>
    <s v="Low"/>
    <n v="5.6000000000000001E-2"/>
    <x v="4"/>
    <n v="10"/>
    <x v="140"/>
    <n v="3841.9"/>
    <n v="-1214.2760000000003"/>
    <n v="-0.46211938998882657"/>
    <d v="2023-01-19T00:00:00"/>
    <x v="8"/>
  </r>
  <r>
    <x v="140"/>
    <x v="112"/>
    <x v="112"/>
    <s v="Q3 -2023"/>
    <d v="2023-08-10T00:00:00"/>
    <d v="2023-08-10T00:00:00"/>
    <x v="19"/>
    <x v="1"/>
    <x v="2"/>
    <s v="Port Harcourt"/>
    <s v="Africa&gt;Nigeria&gt;Port Harcourt"/>
    <s v="Corporate"/>
    <x v="1"/>
    <x v="9"/>
    <x v="0"/>
    <x v="141"/>
    <n v="506.83"/>
    <n v="441.74"/>
    <n v="441.74"/>
    <s v="Low"/>
    <n v="0.24"/>
    <x v="101"/>
    <n v="9"/>
    <x v="141"/>
    <n v="4561.47"/>
    <n v="-1539.9684000000002"/>
    <n v="-0.50966989393618067"/>
    <d v="2023-01-15T00:00:00"/>
    <x v="10"/>
  </r>
  <r>
    <x v="141"/>
    <x v="113"/>
    <x v="113"/>
    <s v="Q3 -2023"/>
    <d v="2023-09-11T00:00:00"/>
    <d v="2023-09-11T00:00:00"/>
    <x v="20"/>
    <x v="3"/>
    <x v="8"/>
    <s v="London"/>
    <s v="Europe&gt;United Kingdom&gt;London"/>
    <s v="Consumer"/>
    <x v="4"/>
    <x v="13"/>
    <x v="1"/>
    <x v="142"/>
    <n v="943.79"/>
    <n v="1913.76"/>
    <n v="1913.76"/>
    <s v="High"/>
    <n v="9.0999999999999998E-2"/>
    <x v="102"/>
    <n v="9"/>
    <x v="142"/>
    <n v="8494.11"/>
    <n v="7162.3605599999992"/>
    <n v="0.45746967891338081"/>
    <d v="2023-01-19T00:00:00"/>
    <x v="6"/>
  </r>
  <r>
    <x v="142"/>
    <x v="102"/>
    <x v="102"/>
    <s v="Q2 -2023"/>
    <d v="2023-04-23T00:00:00"/>
    <d v="2023-04-23T00:00:00"/>
    <x v="11"/>
    <x v="2"/>
    <x v="4"/>
    <s v="Austin"/>
    <s v="Americas&gt;USA&gt;Austin"/>
    <s v="Corporate"/>
    <x v="1"/>
    <x v="2"/>
    <x v="1"/>
    <x v="143"/>
    <n v="1099.1500000000001"/>
    <n v="1431.37"/>
    <n v="1431.37"/>
    <s v="Medium"/>
    <n v="0.104"/>
    <x v="103"/>
    <n v="8"/>
    <x v="143"/>
    <n v="8793.2000000000007"/>
    <n v="1466.8601599999984"/>
    <n v="0.14296798821109433"/>
    <d v="2023-01-13T00:00:00"/>
    <x v="3"/>
  </r>
  <r>
    <x v="143"/>
    <x v="111"/>
    <x v="111"/>
    <s v="Q4 -2023"/>
    <d v="2023-11-09T00:00:00"/>
    <d v="2023-11-09T00:00:00"/>
    <x v="8"/>
    <x v="3"/>
    <x v="8"/>
    <s v="London"/>
    <s v="Europe&gt;United Kingdom&gt;London"/>
    <s v="Non-Profit"/>
    <x v="3"/>
    <x v="0"/>
    <x v="0"/>
    <x v="144"/>
    <n v="1142.48"/>
    <n v="2105.5300000000002"/>
    <n v="2105.5300000000002"/>
    <s v="High"/>
    <n v="0.20699999999999999"/>
    <x v="104"/>
    <n v="14"/>
    <x v="144"/>
    <n v="15994.720000000001"/>
    <n v="7380.8740600000019"/>
    <n v="0.31575129346680658"/>
    <d v="2023-01-19T00:00:00"/>
    <x v="8"/>
  </r>
  <r>
    <x v="144"/>
    <x v="114"/>
    <x v="114"/>
    <s v="Q4 -2023"/>
    <d v="2023-12-19T00:00:00"/>
    <d v="2023-12-19T00:00:00"/>
    <x v="10"/>
    <x v="0"/>
    <x v="7"/>
    <s v="Beijing"/>
    <s v="Asia&gt;China&gt;Beijing"/>
    <s v="Education"/>
    <x v="0"/>
    <x v="0"/>
    <x v="0"/>
    <x v="145"/>
    <n v="1415.05"/>
    <n v="1972.38"/>
    <n v="1972.38"/>
    <s v="High"/>
    <n v="0"/>
    <x v="5"/>
    <n v="12"/>
    <x v="145"/>
    <n v="16980.599999999999"/>
    <n v="6687.9600000000028"/>
    <n v="0.28256725377462771"/>
    <d v="2023-01-12T00:00:00"/>
    <x v="4"/>
  </r>
  <r>
    <x v="145"/>
    <x v="64"/>
    <x v="64"/>
    <s v="Q2 -2023"/>
    <d v="2023-06-19T00:00:00"/>
    <d v="2023-06-19T00:00:00"/>
    <x v="9"/>
    <x v="0"/>
    <x v="1"/>
    <s v="Delhi"/>
    <s v="Asia&gt;India&gt;Delhi"/>
    <s v="Non-Profit"/>
    <x v="4"/>
    <x v="7"/>
    <x v="4"/>
    <x v="146"/>
    <n v="1161.2"/>
    <n v="878.73"/>
    <n v="878.73"/>
    <s v="Medium"/>
    <n v="0.19"/>
    <x v="42"/>
    <n v="31"/>
    <x v="146"/>
    <n v="35997.200000000004"/>
    <n v="-13932.289700000001"/>
    <n v="-0.63142290227212028"/>
    <d v="2023-01-29T00:00:00"/>
    <x v="3"/>
  </r>
  <r>
    <x v="146"/>
    <x v="115"/>
    <x v="115"/>
    <s v="Q1 -2023"/>
    <d v="2023-01-30T00:00:00"/>
    <d v="2023-01-30T00:00:00"/>
    <x v="7"/>
    <x v="1"/>
    <x v="5"/>
    <s v="Cape Town"/>
    <s v="Africa&gt;South Africa&gt;Cape Town"/>
    <s v="Consumer"/>
    <x v="2"/>
    <x v="0"/>
    <x v="1"/>
    <x v="147"/>
    <n v="299.02"/>
    <n v="724.7"/>
    <n v="724.7"/>
    <s v="Low"/>
    <n v="0.14000000000000001"/>
    <x v="28"/>
    <n v="5"/>
    <x v="147"/>
    <n v="1495.1"/>
    <n v="1621.1100000000001"/>
    <n v="0.52021847051386139"/>
    <d v="2023-01-07T00:00:00"/>
    <x v="2"/>
  </r>
  <r>
    <x v="147"/>
    <x v="116"/>
    <x v="116"/>
    <s v="Q1 -2023"/>
    <d v="2023-01-26T00:00:00"/>
    <d v="2023-01-26T00:00:00"/>
    <x v="6"/>
    <x v="0"/>
    <x v="7"/>
    <s v="Shenzhen"/>
    <s v="Asia&gt;China&gt;Shenzhen"/>
    <s v="Non-Profit"/>
    <x v="0"/>
    <x v="8"/>
    <x v="1"/>
    <x v="148"/>
    <n v="1083.0899999999999"/>
    <n v="1425.87"/>
    <n v="1425.87"/>
    <s v="Medium"/>
    <n v="0"/>
    <x v="5"/>
    <n v="8"/>
    <x v="148"/>
    <n v="8664.7199999999993"/>
    <n v="2742.24"/>
    <n v="0.24040059752992909"/>
    <d v="2023-01-12T00:00:00"/>
    <x v="2"/>
  </r>
  <r>
    <x v="148"/>
    <x v="117"/>
    <x v="117"/>
    <s v="Q2 -2023"/>
    <d v="2023-05-13T00:00:00"/>
    <d v="2023-05-13T00:00:00"/>
    <x v="29"/>
    <x v="3"/>
    <x v="9"/>
    <s v="Frankfurt"/>
    <s v="Europe&gt;Germany&gt;Frankfurt"/>
    <s v="Consumer"/>
    <x v="3"/>
    <x v="5"/>
    <x v="1"/>
    <x v="149"/>
    <n v="1320.33"/>
    <n v="2645.23"/>
    <n v="2645.23"/>
    <s v="High"/>
    <n v="0.155"/>
    <x v="105"/>
    <n v="25"/>
    <x v="149"/>
    <n v="33008.25"/>
    <n v="22872.233749999999"/>
    <n v="0.40930629470436536"/>
    <d v="2023-01-22T00:00:00"/>
    <x v="11"/>
  </r>
  <r>
    <x v="149"/>
    <x v="21"/>
    <x v="21"/>
    <s v="Q2 -2023"/>
    <d v="2023-06-15T00:00:00"/>
    <d v="2023-06-15T00:00:00"/>
    <x v="29"/>
    <x v="1"/>
    <x v="5"/>
    <s v="Durban"/>
    <s v="Africa&gt;South Africa&gt;Durban"/>
    <s v="Enterprise"/>
    <x v="0"/>
    <x v="4"/>
    <x v="0"/>
    <x v="150"/>
    <n v="40.89"/>
    <n v="62.82"/>
    <n v="62.82"/>
    <s v="Low"/>
    <n v="0.129"/>
    <x v="90"/>
    <n v="17"/>
    <x v="150"/>
    <n v="695.13"/>
    <n v="235.04574000000002"/>
    <n v="0.25268960465470752"/>
    <d v="2023-01-07T00:00:00"/>
    <x v="7"/>
  </r>
  <r>
    <x v="150"/>
    <x v="118"/>
    <x v="118"/>
    <s v="Q3 -2023"/>
    <d v="2023-09-10T00:00:00"/>
    <d v="2023-09-10T00:00:00"/>
    <x v="20"/>
    <x v="1"/>
    <x v="5"/>
    <s v="Cape Town"/>
    <s v="Africa&gt;South Africa&gt;Cape Town"/>
    <s v="Non-Profit"/>
    <x v="3"/>
    <x v="13"/>
    <x v="2"/>
    <x v="151"/>
    <n v="241.14"/>
    <n v="496.52"/>
    <n v="496.52"/>
    <s v="Low"/>
    <n v="9.2999999999999999E-2"/>
    <x v="106"/>
    <n v="10"/>
    <x v="151"/>
    <n v="2411.3999999999996"/>
    <n v="2092.0364"/>
    <n v="0.46454223268257994"/>
    <d v="2023-01-07T00:00:00"/>
    <x v="6"/>
  </r>
  <r>
    <x v="151"/>
    <x v="119"/>
    <x v="119"/>
    <s v="Q3 -2023"/>
    <d v="2023-08-19T00:00:00"/>
    <d v="2023-08-19T00:00:00"/>
    <x v="3"/>
    <x v="2"/>
    <x v="3"/>
    <s v="Vancouver"/>
    <s v="Americas&gt;Canada&gt;Vancouver"/>
    <s v="Corporate"/>
    <x v="2"/>
    <x v="3"/>
    <x v="6"/>
    <x v="152"/>
    <n v="175.38"/>
    <n v="347.9"/>
    <n v="347.9"/>
    <s v="Low"/>
    <n v="7.1999999999999995E-2"/>
    <x v="107"/>
    <n v="43"/>
    <x v="152"/>
    <n v="7541.34"/>
    <n v="6341.2615999999998"/>
    <n v="0.45677761148169804"/>
    <d v="2023-01-02T00:00:00"/>
    <x v="6"/>
  </r>
  <r>
    <x v="152"/>
    <x v="17"/>
    <x v="17"/>
    <s v="Q2 -2023"/>
    <d v="2023-06-23T00:00:00"/>
    <d v="2023-06-23T00:00:00"/>
    <x v="24"/>
    <x v="2"/>
    <x v="4"/>
    <s v="San Francisco"/>
    <s v="Americas&gt;USA&gt;San Francisco"/>
    <s v="Consumer"/>
    <x v="1"/>
    <x v="2"/>
    <x v="3"/>
    <x v="153"/>
    <n v="1097.0899999999999"/>
    <n v="2182.31"/>
    <n v="2182.31"/>
    <s v="High"/>
    <n v="0.112"/>
    <x v="108"/>
    <n v="9"/>
    <x v="153"/>
    <n v="9873.81"/>
    <n v="7567.2115200000026"/>
    <n v="0.43387432962699546"/>
    <d v="2023-01-13T00:00:00"/>
    <x v="1"/>
  </r>
  <r>
    <x v="153"/>
    <x v="120"/>
    <x v="120"/>
    <s v="Q3 -2023"/>
    <d v="2023-10-08T00:00:00"/>
    <d v="2023-10-08T00:00:00"/>
    <x v="23"/>
    <x v="0"/>
    <x v="1"/>
    <s v="Delhi"/>
    <s v="Asia&gt;India&gt;Delhi"/>
    <s v="Small Business"/>
    <x v="3"/>
    <x v="12"/>
    <x v="2"/>
    <x v="154"/>
    <n v="825.64"/>
    <n v="1108.43"/>
    <n v="1108.43"/>
    <s v="Medium"/>
    <n v="0.114"/>
    <x v="82"/>
    <n v="7"/>
    <x v="154"/>
    <n v="5779.48"/>
    <n v="1095.0028600000005"/>
    <n v="0.15928512475773349"/>
    <d v="2023-01-29T00:00:00"/>
    <x v="6"/>
  </r>
  <r>
    <x v="154"/>
    <x v="121"/>
    <x v="121"/>
    <s v="Q1 -2023"/>
    <d v="2023-01-05T00:00:00"/>
    <d v="2023-01-05T00:00:00"/>
    <x v="10"/>
    <x v="2"/>
    <x v="3"/>
    <s v="Toronto"/>
    <s v="Americas&gt;Canada&gt;Toronto"/>
    <s v="Corporate"/>
    <x v="1"/>
    <x v="12"/>
    <x v="4"/>
    <x v="155"/>
    <n v="315.87"/>
    <n v="591.67999999999995"/>
    <n v="591.67999999999995"/>
    <s v="Low"/>
    <n v="0"/>
    <x v="5"/>
    <n v="7"/>
    <x v="155"/>
    <n v="2211.09"/>
    <n v="1930.6699999999992"/>
    <n v="0.46614724175229844"/>
    <d v="2023-01-02T00:00:00"/>
    <x v="2"/>
  </r>
  <r>
    <x v="155"/>
    <x v="122"/>
    <x v="122"/>
    <s v="Q2 -2023"/>
    <d v="2023-04-16T00:00:00"/>
    <d v="2023-04-16T00:00:00"/>
    <x v="4"/>
    <x v="3"/>
    <x v="10"/>
    <s v="Marseille"/>
    <s v="Europe&gt;France&gt;Marseille"/>
    <s v="Non-Profit"/>
    <x v="4"/>
    <x v="8"/>
    <x v="0"/>
    <x v="156"/>
    <n v="790.54"/>
    <n v="601.49"/>
    <n v="601.49"/>
    <s v="Low"/>
    <n v="0"/>
    <x v="5"/>
    <n v="15"/>
    <x v="156"/>
    <n v="11858.099999999999"/>
    <n v="-2835.7499999999982"/>
    <n v="-0.31430281467688553"/>
    <d v="2023-01-10T00:00:00"/>
    <x v="11"/>
  </r>
  <r>
    <x v="156"/>
    <x v="123"/>
    <x v="123"/>
    <s v="Q4 -2023"/>
    <d v="2024-01-14T00:00:00"/>
    <d v="2024-01-14T00:00:00"/>
    <x v="15"/>
    <x v="0"/>
    <x v="1"/>
    <s v="Mumbai"/>
    <s v="Asia&gt;India&gt;Mumbai"/>
    <s v="Consumer"/>
    <x v="1"/>
    <x v="6"/>
    <x v="6"/>
    <x v="157"/>
    <n v="1408.3"/>
    <n v="2193.13"/>
    <n v="2193.13"/>
    <s v="High"/>
    <n v="7.0999999999999994E-2"/>
    <x v="60"/>
    <n v="7"/>
    <x v="157"/>
    <n v="9858.1"/>
    <n v="4403.8243899999998"/>
    <n v="0.30878191957656281"/>
    <d v="2023-01-29T00:00:00"/>
    <x v="9"/>
  </r>
  <r>
    <x v="157"/>
    <x v="124"/>
    <x v="124"/>
    <s v="Q3 -2023"/>
    <d v="2023-09-16T00:00:00"/>
    <d v="2023-09-16T00:00:00"/>
    <x v="0"/>
    <x v="1"/>
    <x v="2"/>
    <s v="Abuja"/>
    <s v="Africa&gt;Nigeria&gt;Abuja"/>
    <s v="Corporate"/>
    <x v="4"/>
    <x v="11"/>
    <x v="5"/>
    <x v="158"/>
    <n v="1196.83"/>
    <n v="2513.5100000000002"/>
    <n v="2513.5100000000002"/>
    <s v="High"/>
    <n v="8.3000000000000004E-2"/>
    <x v="109"/>
    <n v="7"/>
    <x v="158"/>
    <n v="8377.81"/>
    <n v="7756.4106900000006"/>
    <n v="0.48074281609445374"/>
    <d v="2023-01-15T00:00:00"/>
    <x v="6"/>
  </r>
  <r>
    <x v="158"/>
    <x v="90"/>
    <x v="90"/>
    <s v="Q1 -2023"/>
    <d v="2023-03-08T00:00:00"/>
    <d v="2023-03-08T00:00:00"/>
    <x v="4"/>
    <x v="3"/>
    <x v="8"/>
    <s v="Manchester"/>
    <s v="Europe&gt;United Kingdom&gt;Manchester"/>
    <s v="Small Business"/>
    <x v="3"/>
    <x v="14"/>
    <x v="1"/>
    <x v="159"/>
    <n v="307.37"/>
    <n v="462.61"/>
    <n v="462.61"/>
    <s v="Low"/>
    <n v="0.188"/>
    <x v="21"/>
    <n v="11"/>
    <x v="159"/>
    <n v="3381.07"/>
    <n v="750.9625200000005"/>
    <n v="0.18174167709599739"/>
    <d v="2023-01-19T00:00:00"/>
    <x v="0"/>
  </r>
  <r>
    <x v="159"/>
    <x v="90"/>
    <x v="90"/>
    <s v="Q1 -2023"/>
    <d v="2023-03-18T00:00:00"/>
    <d v="2023-03-18T00:00:00"/>
    <x v="7"/>
    <x v="0"/>
    <x v="7"/>
    <s v="Beijing"/>
    <s v="Asia&gt;China&gt;Beijing"/>
    <s v="Education"/>
    <x v="1"/>
    <x v="4"/>
    <x v="1"/>
    <x v="160"/>
    <n v="770.11"/>
    <n v="1667.82"/>
    <n v="1667.82"/>
    <s v="High"/>
    <n v="6.9000000000000006E-2"/>
    <x v="86"/>
    <n v="7"/>
    <x v="160"/>
    <n v="5390.77"/>
    <n v="5478.4129400000002"/>
    <n v="0.50403171703355287"/>
    <d v="2023-01-12T00:00:00"/>
    <x v="0"/>
  </r>
  <r>
    <x v="160"/>
    <x v="36"/>
    <x v="36"/>
    <s v="Q2 -2023"/>
    <d v="2023-04-28T00:00:00"/>
    <d v="2023-04-28T00:00:00"/>
    <x v="25"/>
    <x v="2"/>
    <x v="11"/>
    <s v="Rio de Janeiro"/>
    <s v="Americas&gt;Brazil&gt;Rio de Janeiro"/>
    <s v="Corporate"/>
    <x v="1"/>
    <x v="8"/>
    <x v="5"/>
    <x v="161"/>
    <n v="1013.54"/>
    <n v="927.93"/>
    <n v="927.93"/>
    <s v="Medium"/>
    <n v="0.17499999999999999"/>
    <x v="110"/>
    <n v="16"/>
    <x v="161"/>
    <n v="16216.64"/>
    <n v="-3967.9639999999999"/>
    <n v="-0.32395044166406234"/>
    <d v="2023-01-29T00:00:00"/>
    <x v="11"/>
  </r>
  <r>
    <x v="161"/>
    <x v="51"/>
    <x v="51"/>
    <s v="Q3 -2023"/>
    <d v="2023-09-07T00:00:00"/>
    <d v="2023-09-07T00:00:00"/>
    <x v="8"/>
    <x v="1"/>
    <x v="5"/>
    <s v="Johannesburg"/>
    <s v="Africa&gt;South Africa&gt;Johannesburg"/>
    <s v="Enterprise"/>
    <x v="0"/>
    <x v="6"/>
    <x v="3"/>
    <x v="162"/>
    <n v="494.61"/>
    <n v="605.23"/>
    <n v="605.23"/>
    <s v="Low"/>
    <n v="0.20399999999999999"/>
    <x v="36"/>
    <n v="18"/>
    <x v="162"/>
    <n v="8902.98"/>
    <n v="-231.24455999999918"/>
    <n v="-2.6666468505639647E-2"/>
    <d v="2023-01-07T00:00:00"/>
    <x v="6"/>
  </r>
  <r>
    <x v="162"/>
    <x v="125"/>
    <x v="125"/>
    <s v="Q2 -2023"/>
    <d v="2023-04-19T00:00:00"/>
    <d v="2023-04-26T00:00:00"/>
    <x v="2"/>
    <x v="0"/>
    <x v="0"/>
    <s v="Nagoya"/>
    <s v="Asia&gt;Japan&gt;Nagoya"/>
    <s v="Small Business"/>
    <x v="3"/>
    <x v="8"/>
    <x v="2"/>
    <x v="163"/>
    <n v="607.04"/>
    <n v="1229.3399999999999"/>
    <n v="1229.3399999999999"/>
    <s v="Medium"/>
    <n v="0.14699999999999999"/>
    <x v="22"/>
    <n v="7"/>
    <x v="163"/>
    <n v="4249.28"/>
    <n v="3091.1091399999996"/>
    <n v="0.42110970972310058"/>
    <d v="2023-03-03T00:00:00"/>
    <x v="0"/>
  </r>
  <r>
    <x v="163"/>
    <x v="78"/>
    <x v="78"/>
    <s v="Q3 -2023"/>
    <d v="2023-09-14T00:00:00"/>
    <d v="2023-09-14T00:00:00"/>
    <x v="1"/>
    <x v="1"/>
    <x v="6"/>
    <s v="Nakuru"/>
    <s v="Africa&gt;Kenya&gt;Nakuru"/>
    <s v="Education"/>
    <x v="3"/>
    <x v="9"/>
    <x v="0"/>
    <x v="164"/>
    <n v="251.03"/>
    <n v="411.48"/>
    <n v="411.48"/>
    <s v="Low"/>
    <n v="0.16500000000000001"/>
    <x v="1"/>
    <n v="3"/>
    <x v="164"/>
    <n v="753.09"/>
    <n v="277.66739999999993"/>
    <n v="0.26938191275658069"/>
    <d v="2023-01-20T00:00:00"/>
    <x v="6"/>
  </r>
  <r>
    <x v="164"/>
    <x v="54"/>
    <x v="54"/>
    <s v="Q2 -2023"/>
    <d v="2023-04-11T00:00:00"/>
    <d v="2023-04-18T00:00:00"/>
    <x v="2"/>
    <x v="2"/>
    <x v="4"/>
    <s v="San Francisco"/>
    <s v="Americas&gt;USA&gt;San Francisco"/>
    <s v="Education"/>
    <x v="4"/>
    <x v="10"/>
    <x v="6"/>
    <x v="165"/>
    <n v="32.1"/>
    <n v="70.599999999999994"/>
    <n v="70.599999999999994"/>
    <s v="Low"/>
    <n v="0.28199999999999997"/>
    <x v="111"/>
    <n v="22"/>
    <x v="165"/>
    <n v="706.2"/>
    <n v="408.99759999999969"/>
    <n v="0.36674899587301818"/>
    <d v="2023-01-13T00:00:00"/>
    <x v="3"/>
  </r>
  <r>
    <x v="165"/>
    <x v="126"/>
    <x v="126"/>
    <s v="Q2 -2023"/>
    <d v="2023-06-24T00:00:00"/>
    <d v="2023-06-24T00:00:00"/>
    <x v="21"/>
    <x v="2"/>
    <x v="3"/>
    <s v="Toronto"/>
    <s v="Americas&gt;Canada&gt;Toronto"/>
    <s v="Corporate"/>
    <x v="2"/>
    <x v="14"/>
    <x v="1"/>
    <x v="166"/>
    <n v="247.07"/>
    <n v="495.19"/>
    <n v="495.19"/>
    <s v="Low"/>
    <n v="2.8000000000000001E-2"/>
    <x v="18"/>
    <n v="4"/>
    <x v="166"/>
    <n v="988.28"/>
    <n v="937.01872000000003"/>
    <n v="0.48668744764968214"/>
    <d v="2023-01-02T00:00:00"/>
    <x v="1"/>
  </r>
  <r>
    <x v="166"/>
    <x v="127"/>
    <x v="127"/>
    <s v="Q1 -2023"/>
    <d v="2023-02-03T00:00:00"/>
    <d v="2023-02-03T00:00:00"/>
    <x v="20"/>
    <x v="3"/>
    <x v="8"/>
    <s v="London"/>
    <s v="Europe&gt;United Kingdom&gt;London"/>
    <s v="Enterprise"/>
    <x v="1"/>
    <x v="10"/>
    <x v="0"/>
    <x v="167"/>
    <n v="873.06"/>
    <n v="2101.5500000000002"/>
    <n v="2101.5500000000002"/>
    <s v="High"/>
    <n v="6.6000000000000003E-2"/>
    <x v="33"/>
    <n v="10"/>
    <x v="167"/>
    <n v="8730.5999999999985"/>
    <n v="10897.877"/>
    <n v="0.55520746719167269"/>
    <d v="2023-01-19T00:00:00"/>
    <x v="2"/>
  </r>
  <r>
    <x v="167"/>
    <x v="128"/>
    <x v="128"/>
    <s v="Q1 -2023"/>
    <d v="2023-03-18T00:00:00"/>
    <d v="2023-03-18T00:00:00"/>
    <x v="26"/>
    <x v="3"/>
    <x v="9"/>
    <s v="Frankfurt"/>
    <s v="Europe&gt;Germany&gt;Frankfurt"/>
    <s v="Enterprise"/>
    <x v="3"/>
    <x v="0"/>
    <x v="2"/>
    <x v="168"/>
    <n v="472.33"/>
    <n v="360.34"/>
    <n v="360.34"/>
    <s v="Low"/>
    <n v="0.16500000000000001"/>
    <x v="1"/>
    <n v="14"/>
    <x v="168"/>
    <n v="6612.62"/>
    <n v="-2400.2454000000007"/>
    <n v="-0.56980815523861561"/>
    <d v="2023-01-22T00:00:00"/>
    <x v="0"/>
  </r>
  <r>
    <x v="168"/>
    <x v="129"/>
    <x v="129"/>
    <s v="Q4 -2023"/>
    <d v="2024-01-08T00:00:00"/>
    <d v="2024-01-08T00:00:00"/>
    <x v="25"/>
    <x v="3"/>
    <x v="10"/>
    <s v="Marseille"/>
    <s v="Europe&gt;France&gt;Marseille"/>
    <s v="Consumer"/>
    <x v="4"/>
    <x v="11"/>
    <x v="0"/>
    <x v="169"/>
    <n v="861.1"/>
    <n v="1224.72"/>
    <n v="1224.72"/>
    <s v="Medium"/>
    <n v="0.17399999999999999"/>
    <x v="112"/>
    <n v="24"/>
    <x v="169"/>
    <n v="20666.400000000001"/>
    <n v="3612.4492800000007"/>
    <n v="0.14878997098827909"/>
    <d v="2023-01-10T00:00:00"/>
    <x v="4"/>
  </r>
  <r>
    <x v="169"/>
    <x v="125"/>
    <x v="125"/>
    <s v="Q2 -2023"/>
    <d v="2023-05-10T00:00:00"/>
    <d v="2023-05-10T00:00:00"/>
    <x v="8"/>
    <x v="0"/>
    <x v="7"/>
    <s v="Shanghai"/>
    <s v="Asia&gt;China&gt;Shanghai"/>
    <s v="Corporate"/>
    <x v="0"/>
    <x v="0"/>
    <x v="2"/>
    <x v="170"/>
    <n v="882.33"/>
    <n v="1880.15"/>
    <n v="1880.15"/>
    <s v="High"/>
    <n v="0.05"/>
    <x v="113"/>
    <n v="5"/>
    <x v="170"/>
    <n v="4411.6500000000005"/>
    <n v="4519.0624999999991"/>
    <n v="0.50601365792482955"/>
    <d v="2023-01-12T00:00:00"/>
    <x v="3"/>
  </r>
  <r>
    <x v="170"/>
    <x v="130"/>
    <x v="130"/>
    <s v="Q1 -2023"/>
    <d v="2023-02-15T00:00:00"/>
    <d v="2023-02-15T00:00:00"/>
    <x v="23"/>
    <x v="3"/>
    <x v="9"/>
    <s v="Berlin"/>
    <s v="Europe&gt;Germany&gt;Berlin"/>
    <s v="Small Business"/>
    <x v="2"/>
    <x v="2"/>
    <x v="6"/>
    <x v="171"/>
    <n v="492.62"/>
    <n v="366.7"/>
    <n v="366.7"/>
    <s v="Low"/>
    <n v="8.8999999999999996E-2"/>
    <x v="83"/>
    <n v="10"/>
    <x v="171"/>
    <n v="4926.2"/>
    <n v="-1585.5629999999996"/>
    <n v="-0.47462894052840809"/>
    <d v="2023-01-22T00:00:00"/>
    <x v="2"/>
  </r>
  <r>
    <x v="171"/>
    <x v="131"/>
    <x v="131"/>
    <s v="Q4 -2023"/>
    <d v="2024-01-03T00:00:00"/>
    <d v="2024-01-03T00:00:00"/>
    <x v="24"/>
    <x v="3"/>
    <x v="10"/>
    <s v="Lyon"/>
    <s v="Europe&gt;France&gt;Lyon"/>
    <s v="Small Business"/>
    <x v="0"/>
    <x v="8"/>
    <x v="4"/>
    <x v="172"/>
    <n v="492.75"/>
    <n v="731.29"/>
    <n v="731.29"/>
    <s v="Low"/>
    <n v="5.8000000000000003E-2"/>
    <x v="114"/>
    <n v="6"/>
    <x v="172"/>
    <n v="2956.5"/>
    <n v="1176.75108"/>
    <n v="0.28470350753528384"/>
    <d v="2023-01-10T00:00:00"/>
    <x v="4"/>
  </r>
  <r>
    <x v="172"/>
    <x v="132"/>
    <x v="132"/>
    <s v="Q4 -2023"/>
    <d v="2023-12-31T00:00:00"/>
    <d v="2023-12-31T00:00:00"/>
    <x v="12"/>
    <x v="0"/>
    <x v="0"/>
    <s v="Osaka"/>
    <s v="Asia&gt;Japan&gt;Osaka"/>
    <s v="Consumer"/>
    <x v="0"/>
    <x v="11"/>
    <x v="1"/>
    <x v="173"/>
    <n v="663.03"/>
    <n v="813.51"/>
    <n v="813.51"/>
    <s v="Low"/>
    <n v="0.10199999999999999"/>
    <x v="115"/>
    <n v="15"/>
    <x v="173"/>
    <n v="9945.4499999999989"/>
    <n v="1012.529700000001"/>
    <n v="9.2401129379715952E-2"/>
    <d v="2023-03-03T00:00:00"/>
    <x v="8"/>
  </r>
  <r>
    <x v="173"/>
    <x v="76"/>
    <x v="76"/>
    <s v="Q3 -2023"/>
    <d v="2023-07-21T00:00:00"/>
    <d v="2023-07-21T00:00:00"/>
    <x v="11"/>
    <x v="1"/>
    <x v="5"/>
    <s v="Durban"/>
    <s v="Africa&gt;South Africa&gt;Durban"/>
    <s v="Enterprise"/>
    <x v="4"/>
    <x v="15"/>
    <x v="3"/>
    <x v="174"/>
    <n v="620.74"/>
    <n v="1330.07"/>
    <n v="1330.07"/>
    <s v="Medium"/>
    <n v="0.29899999999999999"/>
    <x v="116"/>
    <n v="28"/>
    <x v="174"/>
    <n v="17380.72"/>
    <n v="8725.8939600000012"/>
    <n v="0.33424073965967516"/>
    <d v="2023-01-07T00:00:00"/>
    <x v="10"/>
  </r>
  <r>
    <x v="174"/>
    <x v="22"/>
    <x v="22"/>
    <s v="Q4 -2023"/>
    <d v="2023-11-29T00:00:00"/>
    <d v="2023-12-06T00:00:00"/>
    <x v="1"/>
    <x v="1"/>
    <x v="5"/>
    <s v="Durban"/>
    <s v="Africa&gt;South Africa&gt;Durban"/>
    <s v="Small Business"/>
    <x v="4"/>
    <x v="1"/>
    <x v="4"/>
    <x v="175"/>
    <n v="275.56"/>
    <n v="630.72"/>
    <n v="630.72"/>
    <s v="Low"/>
    <n v="0.107"/>
    <x v="78"/>
    <n v="23"/>
    <x v="175"/>
    <n v="6337.88"/>
    <n v="6616.4780800000017"/>
    <n v="0.5107530638831933"/>
    <d v="2023-01-07T00:00:00"/>
    <x v="9"/>
  </r>
  <r>
    <x v="175"/>
    <x v="133"/>
    <x v="133"/>
    <s v="Q3 -2023"/>
    <d v="2023-07-31T00:00:00"/>
    <d v="2023-07-31T00:00:00"/>
    <x v="30"/>
    <x v="2"/>
    <x v="11"/>
    <s v="Rio de Janeiro"/>
    <s v="Americas&gt;Brazil&gt;Rio de Janeiro"/>
    <s v="Corporate"/>
    <x v="0"/>
    <x v="14"/>
    <x v="3"/>
    <x v="176"/>
    <n v="1334.64"/>
    <n v="2273.42"/>
    <n v="2273.42"/>
    <s v="High"/>
    <n v="0.11799999999999999"/>
    <x v="117"/>
    <n v="14"/>
    <x v="176"/>
    <n v="18684.960000000003"/>
    <n v="9387.2301599999992"/>
    <n v="0.33439607335575267"/>
    <d v="2023-01-29T00:00:00"/>
    <x v="1"/>
  </r>
  <r>
    <x v="176"/>
    <x v="134"/>
    <x v="134"/>
    <s v="Q1 -2023"/>
    <d v="2023-04-15T00:00:00"/>
    <d v="2023-04-15T00:00:00"/>
    <x v="7"/>
    <x v="1"/>
    <x v="6"/>
    <s v="Mombasa"/>
    <s v="Africa&gt;Kenya&gt;Mombasa"/>
    <s v="Small Business"/>
    <x v="0"/>
    <x v="14"/>
    <x v="0"/>
    <x v="177"/>
    <n v="875.36"/>
    <n v="1178.6199999999999"/>
    <n v="1178.6199999999999"/>
    <s v="Medium"/>
    <n v="0.151"/>
    <x v="80"/>
    <n v="53"/>
    <x v="177"/>
    <n v="46394.080000000002"/>
    <n v="6640.2841399999888"/>
    <n v="0.12520719815685888"/>
    <d v="2023-01-20T00:00:00"/>
    <x v="11"/>
  </r>
  <r>
    <x v="177"/>
    <x v="135"/>
    <x v="135"/>
    <s v="Q4 -2023"/>
    <d v="2023-11-05T00:00:00"/>
    <d v="2023-11-05T00:00:00"/>
    <x v="5"/>
    <x v="1"/>
    <x v="5"/>
    <s v="Cape Town"/>
    <s v="Africa&gt;South Africa&gt;Cape Town"/>
    <s v="Non-Profit"/>
    <x v="2"/>
    <x v="9"/>
    <x v="4"/>
    <x v="178"/>
    <n v="20.38"/>
    <n v="42.56"/>
    <n v="42.56"/>
    <s v="Low"/>
    <n v="7.1999999999999995E-2"/>
    <x v="107"/>
    <n v="11"/>
    <x v="178"/>
    <n v="224.17999999999998"/>
    <n v="210.27248000000006"/>
    <n v="0.48399419885921713"/>
    <d v="2023-01-07T00:00:00"/>
    <x v="8"/>
  </r>
  <r>
    <x v="178"/>
    <x v="33"/>
    <x v="33"/>
    <s v="Q4 -2023"/>
    <d v="2023-12-23T00:00:00"/>
    <d v="2023-12-23T00:00:00"/>
    <x v="18"/>
    <x v="1"/>
    <x v="5"/>
    <s v="Cape Town"/>
    <s v="Africa&gt;South Africa&gt;Cape Town"/>
    <s v="Non-Profit"/>
    <x v="4"/>
    <x v="6"/>
    <x v="2"/>
    <x v="179"/>
    <n v="1186.18"/>
    <n v="1285.0899999999999"/>
    <n v="1285.0899999999999"/>
    <s v="Medium"/>
    <n v="7.0000000000000007E-2"/>
    <x v="118"/>
    <n v="11"/>
    <x v="179"/>
    <n v="13047.980000000001"/>
    <n v="98.49069999999665"/>
    <n v="7.4917977796121861E-3"/>
    <d v="2023-01-07T00:00:00"/>
    <x v="4"/>
  </r>
  <r>
    <x v="179"/>
    <x v="136"/>
    <x v="136"/>
    <s v="Q4 -2023"/>
    <d v="2023-11-02T00:00:00"/>
    <d v="2023-11-02T00:00:00"/>
    <x v="17"/>
    <x v="1"/>
    <x v="6"/>
    <s v="Kisumu"/>
    <s v="Africa&gt;Kenya&gt;Kisumu"/>
    <s v="Education"/>
    <x v="0"/>
    <x v="2"/>
    <x v="0"/>
    <x v="180"/>
    <n v="867.89"/>
    <n v="1349.94"/>
    <n v="1349.94"/>
    <s v="Medium"/>
    <n v="0.184"/>
    <x v="27"/>
    <n v="10"/>
    <x v="180"/>
    <n v="8678.9"/>
    <n v="2336.6104000000032"/>
    <n v="0.21212003031652557"/>
    <d v="2023-01-20T00:00:00"/>
    <x v="8"/>
  </r>
  <r>
    <x v="180"/>
    <x v="137"/>
    <x v="137"/>
    <s v="Q3 -2023"/>
    <d v="2023-09-28T00:00:00"/>
    <d v="2023-09-28T00:00:00"/>
    <x v="24"/>
    <x v="0"/>
    <x v="1"/>
    <s v="Unknown"/>
    <s v="Asia&gt;India&gt;Unknown"/>
    <s v="Corporate"/>
    <x v="5"/>
    <x v="12"/>
    <x v="0"/>
    <x v="181"/>
    <n v="1362.06"/>
    <n v="3398.37"/>
    <n v="3398.37"/>
    <s v="High"/>
    <n v="0.157"/>
    <x v="7"/>
    <n v="11"/>
    <x v="181"/>
    <n v="14982.66"/>
    <n v="16530.425009999999"/>
    <n v="0.52455749745714919"/>
    <d v="2023-01-29T00:00:00"/>
    <x v="6"/>
  </r>
  <r>
    <x v="181"/>
    <x v="138"/>
    <x v="138"/>
    <s v="Q1 -2023"/>
    <d v="2023-03-04T00:00:00"/>
    <d v="2023-03-04T00:00:00"/>
    <x v="30"/>
    <x v="0"/>
    <x v="1"/>
    <s v="Delhi"/>
    <s v="Asia&gt;India&gt;Delhi"/>
    <s v="Consumer"/>
    <x v="1"/>
    <x v="8"/>
    <x v="3"/>
    <x v="182"/>
    <n v="299.75"/>
    <n v="523.01"/>
    <n v="523.01"/>
    <s v="Low"/>
    <n v="0.157"/>
    <x v="7"/>
    <n v="50"/>
    <x v="182"/>
    <n v="14987.5"/>
    <n v="7057.3714999999975"/>
    <n v="0.32013665854210122"/>
    <d v="2023-01-29T00:00:00"/>
    <x v="2"/>
  </r>
  <r>
    <x v="182"/>
    <x v="139"/>
    <x v="139"/>
    <s v="Q1 -2023"/>
    <d v="2023-04-04T00:00:00"/>
    <d v="2023-04-04T00:00:00"/>
    <x v="29"/>
    <x v="0"/>
    <x v="7"/>
    <s v="Beijing"/>
    <s v="Asia&gt;China&gt;Beijing"/>
    <s v="Small Business"/>
    <x v="3"/>
    <x v="14"/>
    <x v="3"/>
    <x v="183"/>
    <n v="1126.29"/>
    <n v="2050.87"/>
    <n v="2050.87"/>
    <s v="High"/>
    <n v="6.4000000000000001E-2"/>
    <x v="119"/>
    <n v="7"/>
    <x v="183"/>
    <n v="7884.03"/>
    <n v="5553.2702399999989"/>
    <n v="0.41327276616690373"/>
    <d v="2023-01-12T00:00:00"/>
    <x v="0"/>
  </r>
  <r>
    <x v="183"/>
    <x v="140"/>
    <x v="140"/>
    <s v="Q1 -2023"/>
    <d v="2023-02-28T00:00:00"/>
    <d v="2023-02-28T00:00:00"/>
    <x v="7"/>
    <x v="2"/>
    <x v="4"/>
    <s v="Austin"/>
    <s v="Americas&gt;USA&gt;Austin"/>
    <s v="Non-Profit"/>
    <x v="1"/>
    <x v="11"/>
    <x v="5"/>
    <x v="184"/>
    <n v="1214.49"/>
    <n v="1533.95"/>
    <n v="1533.95"/>
    <s v="Medium"/>
    <n v="0"/>
    <x v="5"/>
    <n v="11"/>
    <x v="184"/>
    <n v="13359.39"/>
    <n v="3514.0600000000013"/>
    <n v="0.20825972163369086"/>
    <d v="2023-01-13T00:00:00"/>
    <x v="2"/>
  </r>
  <r>
    <x v="184"/>
    <x v="83"/>
    <x v="83"/>
    <s v="Q1 -2023"/>
    <d v="2023-02-06T00:00:00"/>
    <d v="2023-02-06T00:00:00"/>
    <x v="24"/>
    <x v="2"/>
    <x v="11"/>
    <s v="Brasília"/>
    <s v="Americas&gt;Brazil&gt;Brasília"/>
    <s v="Corporate"/>
    <x v="4"/>
    <x v="6"/>
    <x v="3"/>
    <x v="185"/>
    <n v="41.84"/>
    <n v="86.2"/>
    <n v="86.2"/>
    <s v="Low"/>
    <n v="0.22600000000000001"/>
    <x v="120"/>
    <n v="27"/>
    <x v="185"/>
    <n v="1129.68"/>
    <n v="671.72760000000017"/>
    <n v="0.37289039970742882"/>
    <d v="2023-01-29T00:00:00"/>
    <x v="2"/>
  </r>
  <r>
    <x v="185"/>
    <x v="141"/>
    <x v="141"/>
    <s v="Q1 -2023"/>
    <d v="2023-04-22T00:00:00"/>
    <d v="2023-04-22T00:00:00"/>
    <x v="13"/>
    <x v="0"/>
    <x v="1"/>
    <s v="Delhi"/>
    <s v="Asia&gt;India&gt;Delhi"/>
    <s v="Non-Profit"/>
    <x v="4"/>
    <x v="5"/>
    <x v="1"/>
    <x v="186"/>
    <n v="178.53"/>
    <n v="199.37"/>
    <n v="199.37"/>
    <s v="Low"/>
    <n v="0.10100000000000001"/>
    <x v="47"/>
    <n v="37"/>
    <x v="186"/>
    <n v="6605.61"/>
    <n v="26.034310000000914"/>
    <n v="3.9257699573457538E-3"/>
    <d v="2023-01-29T00:00:00"/>
    <x v="0"/>
  </r>
  <r>
    <x v="186"/>
    <x v="54"/>
    <x v="54"/>
    <s v="Q2 -2023"/>
    <d v="2023-04-20T00:00:00"/>
    <d v="2023-04-20T00:00:00"/>
    <x v="11"/>
    <x v="3"/>
    <x v="10"/>
    <s v="Lyon"/>
    <s v="Europe&gt;France&gt;Lyon"/>
    <s v="Small Business"/>
    <x v="2"/>
    <x v="0"/>
    <x v="4"/>
    <x v="187"/>
    <n v="227.02"/>
    <n v="434.72"/>
    <n v="434.72"/>
    <s v="Low"/>
    <n v="9.8000000000000004E-2"/>
    <x v="121"/>
    <n v="10"/>
    <x v="187"/>
    <n v="2270.2000000000003"/>
    <n v="1650.9744000000005"/>
    <n v="0.42104079838938052"/>
    <d v="2023-01-10T00:00:00"/>
    <x v="3"/>
  </r>
  <r>
    <x v="187"/>
    <x v="142"/>
    <x v="142"/>
    <s v="Q3 -2023"/>
    <d v="2023-08-15T00:00:00"/>
    <d v="2023-08-15T00:00:00"/>
    <x v="2"/>
    <x v="2"/>
    <x v="11"/>
    <s v="São Paulo"/>
    <s v="Americas&gt;Brazil&gt;São Paulo"/>
    <s v="Education"/>
    <x v="3"/>
    <x v="10"/>
    <x v="6"/>
    <x v="188"/>
    <n v="1307.52"/>
    <n v="1921.65"/>
    <n v="1921.65"/>
    <s v="High"/>
    <n v="0.123"/>
    <x v="66"/>
    <n v="13"/>
    <x v="188"/>
    <n v="16997.759999999998"/>
    <n v="4910.9716500000031"/>
    <n v="0.22415590863289445"/>
    <d v="2023-01-29T00:00:00"/>
    <x v="10"/>
  </r>
  <r>
    <x v="188"/>
    <x v="143"/>
    <x v="143"/>
    <s v="Q2 -2023"/>
    <d v="2023-04-17T00:00:00"/>
    <d v="2023-04-17T00:00:00"/>
    <x v="2"/>
    <x v="3"/>
    <x v="10"/>
    <s v="Lyon"/>
    <s v="Europe&gt;France&gt;Lyon"/>
    <s v="Enterprise"/>
    <x v="3"/>
    <x v="1"/>
    <x v="3"/>
    <x v="189"/>
    <n v="1087.81"/>
    <n v="2323.87"/>
    <n v="2323.87"/>
    <s v="High"/>
    <n v="9.4E-2"/>
    <x v="16"/>
    <n v="13"/>
    <x v="189"/>
    <n v="14141.529999999999"/>
    <n v="13229.010859999999"/>
    <n v="0.48333026839572651"/>
    <d v="2023-01-10T00:00:00"/>
    <x v="3"/>
  </r>
  <r>
    <x v="189"/>
    <x v="34"/>
    <x v="34"/>
    <s v="Q2 -2023"/>
    <d v="2023-05-28T00:00:00"/>
    <d v="2023-05-28T00:00:00"/>
    <x v="3"/>
    <x v="0"/>
    <x v="7"/>
    <s v="Shenzhen"/>
    <s v="Asia&gt;China&gt;Shenzhen"/>
    <s v="Enterprise"/>
    <x v="4"/>
    <x v="1"/>
    <x v="6"/>
    <x v="190"/>
    <n v="1331.19"/>
    <n v="2903.09"/>
    <n v="2903.09"/>
    <s v="High"/>
    <n v="0.14299999999999999"/>
    <x v="122"/>
    <n v="8"/>
    <x v="190"/>
    <n v="10649.52"/>
    <n v="9254.0650400000013"/>
    <n v="0.46494463290920784"/>
    <d v="2023-01-12T00:00:00"/>
    <x v="3"/>
  </r>
  <r>
    <x v="190"/>
    <x v="53"/>
    <x v="53"/>
    <s v="Q2 -2023"/>
    <d v="2023-06-01T00:00:00"/>
    <d v="2023-06-01T00:00:00"/>
    <x v="27"/>
    <x v="0"/>
    <x v="1"/>
    <s v="Bengaluru"/>
    <s v="Asia&gt;India&gt;Bengaluru"/>
    <s v="Corporate"/>
    <x v="0"/>
    <x v="1"/>
    <x v="0"/>
    <x v="191"/>
    <n v="669.37"/>
    <n v="997.2"/>
    <n v="997.2"/>
    <s v="Medium"/>
    <n v="8.2000000000000003E-2"/>
    <x v="46"/>
    <n v="5"/>
    <x v="191"/>
    <n v="3346.85"/>
    <n v="1230.2980000000002"/>
    <n v="0.26879139586484863"/>
    <d v="2023-01-29T00:00:00"/>
    <x v="7"/>
  </r>
  <r>
    <x v="191"/>
    <x v="87"/>
    <x v="87"/>
    <s v="Q2 -2023"/>
    <d v="2023-04-27T00:00:00"/>
    <d v="2023-04-27T00:00:00"/>
    <x v="16"/>
    <x v="3"/>
    <x v="8"/>
    <s v="Manchester"/>
    <s v="Europe&gt;United Kingdom&gt;Manchester"/>
    <s v="Enterprise"/>
    <x v="1"/>
    <x v="9"/>
    <x v="1"/>
    <x v="192"/>
    <n v="1084.79"/>
    <n v="2484.9899999999998"/>
    <n v="2484.9899999999998"/>
    <s v="High"/>
    <n v="3.4000000000000002E-2"/>
    <x v="123"/>
    <n v="18"/>
    <x v="192"/>
    <n v="19526.22"/>
    <n v="23682.78611999999"/>
    <n v="0.54809837685755114"/>
    <d v="2023-01-19T00:00:00"/>
    <x v="11"/>
  </r>
  <r>
    <x v="192"/>
    <x v="144"/>
    <x v="144"/>
    <s v="Q1 -2023"/>
    <d v="2023-03-05T00:00:00"/>
    <d v="2023-03-05T00:00:00"/>
    <x v="10"/>
    <x v="2"/>
    <x v="11"/>
    <s v="Brasília"/>
    <s v="Americas&gt;Brazil&gt;Brasília"/>
    <s v="Enterprise"/>
    <x v="3"/>
    <x v="10"/>
    <x v="3"/>
    <x v="193"/>
    <n v="1473.58"/>
    <n v="3436.52"/>
    <n v="3436.52"/>
    <s v="High"/>
    <n v="0.108"/>
    <x v="93"/>
    <n v="8"/>
    <x v="193"/>
    <n v="11788.64"/>
    <n v="12734.366720000002"/>
    <n v="0.51928243813652564"/>
    <d v="2023-01-29T00:00:00"/>
    <x v="0"/>
  </r>
  <r>
    <x v="193"/>
    <x v="94"/>
    <x v="94"/>
    <s v="Q2 -2023"/>
    <d v="2023-05-19T00:00:00"/>
    <d v="2023-05-19T00:00:00"/>
    <x v="3"/>
    <x v="0"/>
    <x v="7"/>
    <s v="Shanghai"/>
    <s v="Asia&gt;China&gt;Shanghai"/>
    <s v="Non-Profit"/>
    <x v="3"/>
    <x v="5"/>
    <x v="3"/>
    <x v="194"/>
    <n v="714.28"/>
    <n v="757.59"/>
    <n v="757.59"/>
    <s v="Low"/>
    <n v="0.13600000000000001"/>
    <x v="124"/>
    <n v="12"/>
    <x v="194"/>
    <n v="8571.36"/>
    <n v="-716.66688000000067"/>
    <n v="-9.1240595787910383E-2"/>
    <d v="2023-01-12T00:00:00"/>
    <x v="3"/>
  </r>
  <r>
    <x v="194"/>
    <x v="145"/>
    <x v="145"/>
    <s v="Q3 -2023"/>
    <d v="2023-09-06T00:00:00"/>
    <d v="2023-09-06T00:00:00"/>
    <x v="12"/>
    <x v="0"/>
    <x v="7"/>
    <s v="Shanghai"/>
    <s v="Asia&gt;China&gt;Shanghai"/>
    <s v="Small Business"/>
    <x v="0"/>
    <x v="12"/>
    <x v="2"/>
    <x v="195"/>
    <n v="950.77"/>
    <n v="694.78"/>
    <n v="694.78"/>
    <s v="Low"/>
    <n v="8.4000000000000005E-2"/>
    <x v="125"/>
    <n v="14"/>
    <x v="195"/>
    <n v="13310.779999999999"/>
    <n v="-4400.9212799999987"/>
    <n v="-0.49393839097821279"/>
    <d v="2023-01-12T00:00:00"/>
    <x v="6"/>
  </r>
  <r>
    <x v="195"/>
    <x v="146"/>
    <x v="146"/>
    <s v="Q1 -2023"/>
    <d v="2023-01-29T00:00:00"/>
    <d v="2023-01-29T00:00:00"/>
    <x v="8"/>
    <x v="3"/>
    <x v="10"/>
    <s v="Lyon"/>
    <s v="Europe&gt;France&gt;Lyon"/>
    <s v="Non-Profit"/>
    <x v="3"/>
    <x v="6"/>
    <x v="4"/>
    <x v="196"/>
    <n v="401.66"/>
    <n v="772.09"/>
    <n v="772.09"/>
    <s v="Low"/>
    <n v="8.8999999999999996E-2"/>
    <x v="83"/>
    <n v="14"/>
    <x v="196"/>
    <n v="5623.2400000000007"/>
    <n v="4223.99586"/>
    <n v="0.42895244107619046"/>
    <d v="2023-01-10T00:00:00"/>
    <x v="2"/>
  </r>
  <r>
    <x v="196"/>
    <x v="147"/>
    <x v="147"/>
    <s v="Q1 -2023"/>
    <d v="2023-03-12T00:00:00"/>
    <d v="2023-03-12T00:00:00"/>
    <x v="16"/>
    <x v="3"/>
    <x v="9"/>
    <s v="Berlin"/>
    <s v="Europe&gt;Germany&gt;Berlin"/>
    <s v="Small Business"/>
    <x v="3"/>
    <x v="11"/>
    <x v="3"/>
    <x v="197"/>
    <n v="1234.81"/>
    <n v="2055.2399999999998"/>
    <n v="2055.2399999999998"/>
    <s v="High"/>
    <n v="5.2999999999999999E-2"/>
    <x v="126"/>
    <n v="44"/>
    <x v="197"/>
    <n v="54331.64"/>
    <n v="31306.100319999998"/>
    <n v="0.36556429680441616"/>
    <d v="2023-01-22T00:00:00"/>
    <x v="2"/>
  </r>
  <r>
    <x v="197"/>
    <x v="35"/>
    <x v="35"/>
    <s v="Q3 -2023"/>
    <d v="2023-08-02T00:00:00"/>
    <d v="2023-08-09T00:00:00"/>
    <x v="1"/>
    <x v="0"/>
    <x v="7"/>
    <s v="Shanghai"/>
    <s v="Asia&gt;China&gt;Shanghai"/>
    <s v="Non-Profit"/>
    <x v="3"/>
    <x v="5"/>
    <x v="6"/>
    <x v="198"/>
    <n v="1021.97"/>
    <n v="2296.25"/>
    <n v="2296.25"/>
    <s v="High"/>
    <n v="0.161"/>
    <x v="11"/>
    <n v="26"/>
    <x v="198"/>
    <n v="26571.22"/>
    <n v="23519.177499999998"/>
    <n v="0.46953465482081669"/>
    <d v="2023-01-12T00:00:00"/>
    <x v="10"/>
  </r>
  <r>
    <x v="198"/>
    <x v="148"/>
    <x v="148"/>
    <s v="Q4 -2023"/>
    <d v="2023-10-13T00:00:00"/>
    <d v="2023-10-13T00:00:00"/>
    <x v="17"/>
    <x v="2"/>
    <x v="11"/>
    <s v="Brasília"/>
    <s v="Americas&gt;Brazil&gt;Brasília"/>
    <s v="Consumer"/>
    <x v="1"/>
    <x v="15"/>
    <x v="0"/>
    <x v="199"/>
    <n v="715.94"/>
    <n v="550.07000000000005"/>
    <n v="550.07000000000005"/>
    <s v="Low"/>
    <n v="0.14000000000000001"/>
    <x v="28"/>
    <n v="16"/>
    <x v="199"/>
    <n v="11455.04"/>
    <n v="-3886.0768000000007"/>
    <n v="-0.51342260456491595"/>
    <d v="2023-01-29T00:00:00"/>
    <x v="5"/>
  </r>
  <r>
    <x v="199"/>
    <x v="58"/>
    <x v="58"/>
    <s v="Q1 -2023"/>
    <d v="2023-02-27T00:00:00"/>
    <d v="2023-03-06T00:00:00"/>
    <x v="1"/>
    <x v="3"/>
    <x v="10"/>
    <s v="Marseille"/>
    <s v="Europe&gt;France&gt;Marseille"/>
    <s v="Corporate"/>
    <x v="0"/>
    <x v="4"/>
    <x v="6"/>
    <x v="200"/>
    <n v="1299.81"/>
    <n v="3149.13"/>
    <n v="3149.13"/>
    <s v="High"/>
    <n v="0.10299999999999999"/>
    <x v="0"/>
    <n v="14"/>
    <x v="200"/>
    <n v="18197.34"/>
    <n v="21349.434539999998"/>
    <n v="0.53985273864511729"/>
    <d v="2023-01-10T00:00:00"/>
    <x v="0"/>
  </r>
  <r>
    <x v="200"/>
    <x v="59"/>
    <x v="59"/>
    <s v="Q2 -2023"/>
    <d v="2023-06-22T00:00:00"/>
    <d v="2023-06-29T00:00:00"/>
    <x v="2"/>
    <x v="2"/>
    <x v="3"/>
    <s v="Toronto"/>
    <s v="Americas&gt;Canada&gt;Toronto"/>
    <s v="Non-Profit"/>
    <x v="0"/>
    <x v="8"/>
    <x v="0"/>
    <x v="201"/>
    <n v="471.42"/>
    <n v="824.81"/>
    <n v="824.81"/>
    <s v="Low"/>
    <n v="8.7999999999999995E-2"/>
    <x v="127"/>
    <n v="15"/>
    <x v="201"/>
    <n v="7071.3"/>
    <n v="4212.1007999999993"/>
    <n v="0.37330064531608231"/>
    <d v="2023-01-02T00:00:00"/>
    <x v="1"/>
  </r>
  <r>
    <x v="201"/>
    <x v="117"/>
    <x v="117"/>
    <s v="Q2 -2023"/>
    <d v="2023-05-14T00:00:00"/>
    <d v="2023-05-14T00:00:00"/>
    <x v="9"/>
    <x v="1"/>
    <x v="6"/>
    <s v="Nakuru"/>
    <s v="Africa&gt;Kenya&gt;Nakuru"/>
    <s v="Consumer"/>
    <x v="4"/>
    <x v="8"/>
    <x v="5"/>
    <x v="202"/>
    <n v="209.25"/>
    <n v="434.8"/>
    <n v="434.8"/>
    <s v="Low"/>
    <n v="0"/>
    <x v="5"/>
    <n v="9"/>
    <x v="202"/>
    <n v="1883.25"/>
    <n v="2029.9500000000003"/>
    <n v="0.51874425022999082"/>
    <d v="2023-01-20T00:00:00"/>
    <x v="11"/>
  </r>
  <r>
    <x v="202"/>
    <x v="18"/>
    <x v="18"/>
    <s v="Q2 -2023"/>
    <d v="2023-05-16T00:00:00"/>
    <d v="2023-05-16T00:00:00"/>
    <x v="30"/>
    <x v="1"/>
    <x v="2"/>
    <s v="Abuja"/>
    <s v="Africa&gt;Nigeria&gt;Abuja"/>
    <s v="Small Business"/>
    <x v="4"/>
    <x v="5"/>
    <x v="5"/>
    <x v="203"/>
    <n v="77.739999999999995"/>
    <n v="147.12"/>
    <n v="147.12"/>
    <s v="Low"/>
    <n v="0"/>
    <x v="5"/>
    <n v="15"/>
    <x v="203"/>
    <n v="1166.0999999999999"/>
    <n v="1040.7000000000003"/>
    <n v="0.47158781946710177"/>
    <d v="2023-01-15T00:00:00"/>
    <x v="3"/>
  </r>
  <r>
    <x v="203"/>
    <x v="94"/>
    <x v="94"/>
    <s v="Q2 -2023"/>
    <d v="2023-05-18T00:00:00"/>
    <d v="2023-05-18T00:00:00"/>
    <x v="19"/>
    <x v="0"/>
    <x v="1"/>
    <s v="Delhi"/>
    <s v="Asia&gt;India&gt;Delhi"/>
    <s v="Small Business"/>
    <x v="4"/>
    <x v="4"/>
    <x v="3"/>
    <x v="204"/>
    <n v="1463.92"/>
    <n v="2252.2399999999998"/>
    <n v="2252.2399999999998"/>
    <s v="High"/>
    <n v="0.11799999999999999"/>
    <x v="117"/>
    <n v="44"/>
    <x v="204"/>
    <n v="64412.480000000003"/>
    <n v="22992.449919999992"/>
    <n v="0.26305667130040061"/>
    <d v="2023-01-29T00:00:00"/>
    <x v="3"/>
  </r>
  <r>
    <x v="204"/>
    <x v="149"/>
    <x v="149"/>
    <s v="Q3 -2023"/>
    <d v="2023-08-25T00:00:00"/>
    <d v="2023-08-25T00:00:00"/>
    <x v="9"/>
    <x v="2"/>
    <x v="4"/>
    <s v="New York"/>
    <s v="Americas&gt;USA&gt;New York"/>
    <s v="Consumer"/>
    <x v="0"/>
    <x v="8"/>
    <x v="0"/>
    <x v="205"/>
    <n v="1261.48"/>
    <n v="1643.18"/>
    <n v="1643.18"/>
    <s v="High"/>
    <n v="0.151"/>
    <x v="80"/>
    <n v="23"/>
    <x v="205"/>
    <n v="29014.04"/>
    <n v="3072.3358599999992"/>
    <n v="9.5752037357079045E-2"/>
    <d v="2023-01-13T00:00:00"/>
    <x v="10"/>
  </r>
  <r>
    <x v="205"/>
    <x v="75"/>
    <x v="75"/>
    <s v="Q2 -2023"/>
    <d v="2023-05-14T00:00:00"/>
    <d v="2023-05-14T00:00:00"/>
    <x v="26"/>
    <x v="0"/>
    <x v="1"/>
    <s v="Delhi"/>
    <s v="Asia&gt;India&gt;Delhi"/>
    <s v="Non-Profit"/>
    <x v="1"/>
    <x v="14"/>
    <x v="3"/>
    <x v="206"/>
    <n v="622.6"/>
    <n v="833.69"/>
    <n v="833.69"/>
    <s v="Low"/>
    <n v="0.20899999999999999"/>
    <x v="128"/>
    <n v="14"/>
    <x v="206"/>
    <n v="8716.4"/>
    <n v="515.88306000000011"/>
    <n v="5.5878167582959715E-2"/>
    <d v="2023-01-29T00:00:00"/>
    <x v="3"/>
  </r>
  <r>
    <x v="206"/>
    <x v="150"/>
    <x v="150"/>
    <s v="Q3 -2023"/>
    <d v="2023-08-01T00:00:00"/>
    <d v="2023-08-01T00:00:00"/>
    <x v="9"/>
    <x v="3"/>
    <x v="8"/>
    <s v="Birmingham"/>
    <s v="Europe&gt;United Kingdom&gt;Birmingham"/>
    <s v="Small Business"/>
    <x v="0"/>
    <x v="12"/>
    <x v="2"/>
    <x v="207"/>
    <n v="137.46"/>
    <n v="188.3"/>
    <n v="188.3"/>
    <s v="Low"/>
    <n v="3.7999999999999999E-2"/>
    <x v="129"/>
    <n v="37"/>
    <x v="207"/>
    <n v="5086.0200000000004"/>
    <n v="1616.3301999999994"/>
    <n v="0.24115872071262398"/>
    <d v="2023-01-19T00:00:00"/>
    <x v="1"/>
  </r>
  <r>
    <x v="207"/>
    <x v="5"/>
    <x v="5"/>
    <s v="Q2 -2023"/>
    <d v="2023-07-18T00:00:00"/>
    <d v="2023-07-18T00:00:00"/>
    <x v="12"/>
    <x v="2"/>
    <x v="3"/>
    <s v="Vancouver"/>
    <s v="Americas&gt;Canada&gt;Vancouver"/>
    <s v="Enterprise"/>
    <x v="2"/>
    <x v="13"/>
    <x v="5"/>
    <x v="208"/>
    <n v="807.02"/>
    <n v="1435.54"/>
    <n v="1435.54"/>
    <s v="Medium"/>
    <n v="0"/>
    <x v="5"/>
    <n v="23"/>
    <x v="208"/>
    <n v="18561.46"/>
    <n v="14455.96"/>
    <n v="0.43782827368098415"/>
    <d v="2023-01-02T00:00:00"/>
    <x v="1"/>
  </r>
  <r>
    <x v="208"/>
    <x v="151"/>
    <x v="151"/>
    <s v="Q4 -2023"/>
    <d v="2023-11-13T00:00:00"/>
    <d v="2023-11-13T00:00:00"/>
    <x v="29"/>
    <x v="0"/>
    <x v="7"/>
    <s v="Shenzhen"/>
    <s v="Asia&gt;China&gt;Shenzhen"/>
    <s v="Non-Profit"/>
    <x v="1"/>
    <x v="5"/>
    <x v="1"/>
    <x v="209"/>
    <n v="986.44"/>
    <n v="790.61"/>
    <n v="790.61"/>
    <s v="Low"/>
    <n v="7.1999999999999995E-2"/>
    <x v="107"/>
    <n v="6"/>
    <x v="209"/>
    <n v="5918.64"/>
    <n v="-1516.5235200000006"/>
    <n v="-0.34449872621271499"/>
    <d v="2023-01-12T00:00:00"/>
    <x v="8"/>
  </r>
  <r>
    <x v="209"/>
    <x v="152"/>
    <x v="152"/>
    <s v="Q2 -2023"/>
    <d v="2023-06-20T00:00:00"/>
    <d v="2023-06-20T00:00:00"/>
    <x v="0"/>
    <x v="3"/>
    <x v="8"/>
    <s v="London"/>
    <s v="Europe&gt;United Kingdom&gt;London"/>
    <s v="Small Business"/>
    <x v="3"/>
    <x v="4"/>
    <x v="2"/>
    <x v="210"/>
    <n v="1295.3900000000001"/>
    <n v="2905.06"/>
    <n v="2905.06"/>
    <s v="High"/>
    <n v="0.14799999999999999"/>
    <x v="94"/>
    <n v="8"/>
    <x v="210"/>
    <n v="10363.120000000001"/>
    <n v="9437.7689599999994"/>
    <n v="0.47663359857556614"/>
    <d v="2023-01-19T00:00:00"/>
    <x v="7"/>
  </r>
  <r>
    <x v="210"/>
    <x v="153"/>
    <x v="153"/>
    <s v="Q2 -2023"/>
    <d v="2023-05-22T00:00:00"/>
    <d v="2023-05-22T00:00:00"/>
    <x v="24"/>
    <x v="1"/>
    <x v="6"/>
    <s v="Mombasa"/>
    <s v="Africa&gt;Kenya&gt;Mombasa"/>
    <s v="Small Business"/>
    <x v="1"/>
    <x v="3"/>
    <x v="1"/>
    <x v="211"/>
    <n v="432.01"/>
    <n v="913.78"/>
    <n v="913.78"/>
    <s v="Medium"/>
    <n v="4.9000000000000002E-2"/>
    <x v="3"/>
    <n v="12"/>
    <x v="211"/>
    <n v="5184.12"/>
    <n v="5243.9373600000008"/>
    <n v="0.50286809699711899"/>
    <d v="2023-01-20T00:00:00"/>
    <x v="3"/>
  </r>
  <r>
    <x v="211"/>
    <x v="154"/>
    <x v="154"/>
    <s v="Q1 -2023"/>
    <d v="2023-04-06T00:00:00"/>
    <d v="2023-04-06T00:00:00"/>
    <x v="23"/>
    <x v="3"/>
    <x v="9"/>
    <s v="Munich"/>
    <s v="Europe&gt;Germany&gt;Munich"/>
    <s v="Consumer"/>
    <x v="0"/>
    <x v="2"/>
    <x v="5"/>
    <x v="212"/>
    <n v="692.18"/>
    <n v="1159.3499999999999"/>
    <n v="1159.3499999999999"/>
    <s v="Medium"/>
    <n v="0.112"/>
    <x v="108"/>
    <n v="2"/>
    <x v="212"/>
    <n v="1384.36"/>
    <n v="674.64560000000006"/>
    <n v="0.32765602968734037"/>
    <d v="2023-01-22T00:00:00"/>
    <x v="0"/>
  </r>
  <r>
    <x v="212"/>
    <x v="155"/>
    <x v="155"/>
    <s v="Q2 -2023"/>
    <d v="2023-04-22T00:00:00"/>
    <d v="2023-04-29T00:00:00"/>
    <x v="1"/>
    <x v="1"/>
    <x v="6"/>
    <s v="Nairobi"/>
    <s v="Africa&gt;Kenya&gt;Nairobi"/>
    <s v="Small Business"/>
    <x v="3"/>
    <x v="1"/>
    <x v="4"/>
    <x v="213"/>
    <n v="756.51"/>
    <n v="850.8"/>
    <n v="850.8"/>
    <s v="Medium"/>
    <n v="7.3999999999999996E-2"/>
    <x v="87"/>
    <n v="9"/>
    <x v="213"/>
    <n v="6808.59"/>
    <n v="281.97720000000027"/>
    <n v="3.9767932810791252E-2"/>
    <d v="2023-01-20T00:00:00"/>
    <x v="3"/>
  </r>
  <r>
    <x v="213"/>
    <x v="28"/>
    <x v="28"/>
    <s v="Q3 -2023"/>
    <d v="2023-09-03T00:00:00"/>
    <d v="2023-09-03T00:00:00"/>
    <x v="26"/>
    <x v="0"/>
    <x v="1"/>
    <s v="Delhi"/>
    <s v="Asia&gt;India&gt;Delhi"/>
    <s v="Small Business"/>
    <x v="4"/>
    <x v="11"/>
    <x v="0"/>
    <x v="214"/>
    <n v="1082.25"/>
    <n v="2433.34"/>
    <n v="2433.34"/>
    <s v="High"/>
    <n v="0.27"/>
    <x v="130"/>
    <n v="4"/>
    <x v="214"/>
    <n v="4329"/>
    <n v="2776.3528000000006"/>
    <n v="0.3907410199251472"/>
    <d v="2023-01-29T00:00:00"/>
    <x v="6"/>
  </r>
  <r>
    <x v="214"/>
    <x v="128"/>
    <x v="128"/>
    <s v="Q1 -2023"/>
    <d v="2023-03-30T00:00:00"/>
    <d v="2023-03-30T00:00:00"/>
    <x v="19"/>
    <x v="1"/>
    <x v="5"/>
    <s v="Cape Town"/>
    <s v="Africa&gt;South Africa&gt;Cape Town"/>
    <s v="Consumer"/>
    <x v="1"/>
    <x v="4"/>
    <x v="2"/>
    <x v="215"/>
    <n v="1309.77"/>
    <n v="1589.07"/>
    <n v="1589.07"/>
    <s v="Medium"/>
    <n v="0.10199999999999999"/>
    <x v="115"/>
    <n v="10"/>
    <x v="215"/>
    <n v="13097.7"/>
    <n v="1172.1485999999986"/>
    <n v="8.2141628328137886E-2"/>
    <d v="2023-01-07T00:00:00"/>
    <x v="11"/>
  </r>
  <r>
    <x v="215"/>
    <x v="156"/>
    <x v="156"/>
    <s v="Q1 -2023"/>
    <d v="2023-04-01T00:00:00"/>
    <d v="2023-04-01T00:00:00"/>
    <x v="12"/>
    <x v="1"/>
    <x v="6"/>
    <s v="Nairobi"/>
    <s v="Africa&gt;Kenya&gt;Nairobi"/>
    <s v="Consumer"/>
    <x v="4"/>
    <x v="6"/>
    <x v="1"/>
    <x v="216"/>
    <n v="1024.0999999999999"/>
    <n v="918.19"/>
    <n v="918.19"/>
    <s v="Medium"/>
    <n v="0.189"/>
    <x v="79"/>
    <n v="10"/>
    <x v="216"/>
    <n v="10241"/>
    <n v="-2794.4790999999996"/>
    <n v="-0.37527311579827827"/>
    <d v="2023-01-20T00:00:00"/>
    <x v="0"/>
  </r>
  <r>
    <x v="216"/>
    <x v="9"/>
    <x v="9"/>
    <s v="Q2 -2023"/>
    <d v="2023-05-20T00:00:00"/>
    <d v="2023-05-20T00:00:00"/>
    <x v="4"/>
    <x v="0"/>
    <x v="1"/>
    <s v="Mumbai"/>
    <s v="Asia&gt;India&gt;Mumbai"/>
    <s v="Enterprise"/>
    <x v="0"/>
    <x v="6"/>
    <x v="0"/>
    <x v="217"/>
    <n v="1443.28"/>
    <n v="2580.5700000000002"/>
    <n v="2580.5700000000002"/>
    <s v="High"/>
    <n v="0"/>
    <x v="5"/>
    <n v="18"/>
    <x v="217"/>
    <n v="25979.040000000001"/>
    <n v="20471.22"/>
    <n v="0.4407127107577008"/>
    <d v="2023-01-29T00:00:00"/>
    <x v="3"/>
  </r>
  <r>
    <x v="217"/>
    <x v="157"/>
    <x v="157"/>
    <s v="Q1 -2023"/>
    <d v="2023-02-12T00:00:00"/>
    <d v="2023-02-12T00:00:00"/>
    <x v="18"/>
    <x v="1"/>
    <x v="2"/>
    <s v="Port Harcourt"/>
    <s v="Africa&gt;Nigeria&gt;Port Harcourt"/>
    <s v="Non-Profit"/>
    <x v="3"/>
    <x v="6"/>
    <x v="0"/>
    <x v="218"/>
    <n v="944.61"/>
    <n v="839.04"/>
    <n v="839.04"/>
    <s v="Medium"/>
    <n v="5.8999999999999997E-2"/>
    <x v="54"/>
    <n v="6"/>
    <x v="218"/>
    <n v="5667.66"/>
    <n v="-930.44016000000011"/>
    <n v="-0.19641059343363726"/>
    <d v="2023-01-15T00:00:00"/>
    <x v="2"/>
  </r>
  <r>
    <x v="218"/>
    <x v="100"/>
    <x v="100"/>
    <s v="Q4 -2023"/>
    <d v="2024-01-02T00:00:00"/>
    <d v="2024-01-02T00:00:00"/>
    <x v="13"/>
    <x v="3"/>
    <x v="9"/>
    <s v="Frankfurt"/>
    <s v="Europe&gt;Germany&gt;Frankfurt"/>
    <s v="Enterprise"/>
    <x v="1"/>
    <x v="1"/>
    <x v="2"/>
    <x v="219"/>
    <n v="1071.99"/>
    <n v="2397.3000000000002"/>
    <n v="2397.3000000000002"/>
    <s v="High"/>
    <n v="6.2E-2"/>
    <x v="131"/>
    <n v="18"/>
    <x v="219"/>
    <n v="19295.82"/>
    <n v="21180.193200000002"/>
    <n v="0.52327765324476183"/>
    <d v="2023-01-22T00:00:00"/>
    <x v="9"/>
  </r>
  <r>
    <x v="219"/>
    <x v="158"/>
    <x v="158"/>
    <s v="Q4 -2023"/>
    <d v="2023-12-07T00:00:00"/>
    <d v="2023-12-07T00:00:00"/>
    <x v="25"/>
    <x v="0"/>
    <x v="1"/>
    <s v="Delhi"/>
    <s v="Asia&gt;India&gt;Delhi"/>
    <s v="Enterprise"/>
    <x v="4"/>
    <x v="11"/>
    <x v="5"/>
    <x v="220"/>
    <n v="699.33"/>
    <n v="873.75"/>
    <n v="873.75"/>
    <s v="Medium"/>
    <n v="0.23499999999999999"/>
    <x v="132"/>
    <n v="10"/>
    <x v="220"/>
    <n v="6993.3"/>
    <n v="-309.11250000000018"/>
    <n v="-4.6245336475076469E-2"/>
    <d v="2023-01-29T00:00:00"/>
    <x v="8"/>
  </r>
  <r>
    <x v="220"/>
    <x v="96"/>
    <x v="96"/>
    <s v="Q4 -2023"/>
    <d v="2024-01-01T00:00:00"/>
    <d v="2024-01-01T00:00:00"/>
    <x v="24"/>
    <x v="2"/>
    <x v="11"/>
    <s v="São Paulo"/>
    <s v="Americas&gt;Brazil&gt;São Paulo"/>
    <s v="Education"/>
    <x v="3"/>
    <x v="14"/>
    <x v="5"/>
    <x v="221"/>
    <n v="526.49"/>
    <n v="496.2"/>
    <n v="496.2"/>
    <s v="Low"/>
    <n v="0"/>
    <x v="5"/>
    <n v="14"/>
    <x v="221"/>
    <n v="7370.8600000000006"/>
    <n v="-424.0600000000004"/>
    <n v="-6.1043933897621985E-2"/>
    <d v="2023-01-29T00:00:00"/>
    <x v="9"/>
  </r>
  <r>
    <x v="221"/>
    <x v="159"/>
    <x v="159"/>
    <s v="Q4 -2023"/>
    <d v="2024-01-01T00:00:00"/>
    <d v="2024-01-01T00:00:00"/>
    <x v="26"/>
    <x v="1"/>
    <x v="5"/>
    <s v="Cape Town"/>
    <s v="Africa&gt;South Africa&gt;Cape Town"/>
    <s v="Education"/>
    <x v="1"/>
    <x v="0"/>
    <x v="1"/>
    <x v="222"/>
    <n v="1141.8"/>
    <n v="2318.7399999999998"/>
    <n v="2318.7399999999998"/>
    <s v="High"/>
    <n v="0.107"/>
    <x v="78"/>
    <n v="32"/>
    <x v="222"/>
    <n v="36537.599999999999"/>
    <n v="29722.714239999994"/>
    <n v="0.44857490612468304"/>
    <d v="2023-01-07T00:00:00"/>
    <x v="4"/>
  </r>
  <r>
    <x v="222"/>
    <x v="160"/>
    <x v="160"/>
    <s v="Q4 -2023"/>
    <d v="2023-12-05T00:00:00"/>
    <d v="2023-12-05T00:00:00"/>
    <x v="20"/>
    <x v="0"/>
    <x v="0"/>
    <s v="Tokyo"/>
    <s v="Asia&gt;Japan&gt;Tokyo"/>
    <s v="Enterprise"/>
    <x v="0"/>
    <x v="11"/>
    <x v="6"/>
    <x v="223"/>
    <n v="354.24"/>
    <n v="249.87"/>
    <n v="249.87"/>
    <s v="Low"/>
    <n v="0"/>
    <x v="5"/>
    <n v="6"/>
    <x v="223"/>
    <n v="2125.44"/>
    <n v="-626.22"/>
    <n v="-0.41769720254532355"/>
    <d v="2023-03-03T00:00:00"/>
    <x v="5"/>
  </r>
  <r>
    <x v="223"/>
    <x v="31"/>
    <x v="31"/>
    <s v="Q3 -2023"/>
    <d v="2023-09-13T00:00:00"/>
    <d v="2023-09-13T00:00:00"/>
    <x v="20"/>
    <x v="2"/>
    <x v="3"/>
    <s v="Vancouver"/>
    <s v="Americas&gt;Canada&gt;Vancouver"/>
    <s v="Small Business"/>
    <x v="4"/>
    <x v="2"/>
    <x v="1"/>
    <x v="224"/>
    <n v="1287.6400000000001"/>
    <n v="2717.15"/>
    <n v="2717.15"/>
    <s v="High"/>
    <n v="3.2000000000000001E-2"/>
    <x v="49"/>
    <n v="7"/>
    <x v="224"/>
    <n v="9013.4800000000014"/>
    <n v="9397.9283999999989"/>
    <n v="0.51044049405802105"/>
    <d v="2023-01-02T00:00:00"/>
    <x v="6"/>
  </r>
  <r>
    <x v="224"/>
    <x v="161"/>
    <x v="161"/>
    <s v="Q2 -2023"/>
    <d v="2023-04-16T00:00:00"/>
    <d v="2023-04-16T00:00:00"/>
    <x v="21"/>
    <x v="2"/>
    <x v="3"/>
    <s v="Vancouver"/>
    <s v="Americas&gt;Canada&gt;Vancouver"/>
    <s v="Non-Profit"/>
    <x v="2"/>
    <x v="2"/>
    <x v="3"/>
    <x v="225"/>
    <n v="213.1"/>
    <n v="501.31"/>
    <n v="501.31"/>
    <s v="Low"/>
    <n v="5.6000000000000001E-2"/>
    <x v="4"/>
    <n v="15"/>
    <x v="225"/>
    <n v="3196.5"/>
    <n v="3902.0495999999994"/>
    <n v="0.54969674368409005"/>
    <d v="2023-01-02T00:00:00"/>
    <x v="3"/>
  </r>
  <r>
    <x v="225"/>
    <x v="162"/>
    <x v="162"/>
    <s v="Q4 -2024"/>
    <d v="2024-12-20T00:00:00"/>
    <d v="2024-12-20T00:00:00"/>
    <x v="24"/>
    <x v="0"/>
    <x v="0"/>
    <s v="Tokyo"/>
    <s v="Asia&gt;Japan&gt;Tokyo"/>
    <s v="Corporate"/>
    <x v="0"/>
    <x v="12"/>
    <x v="4"/>
    <x v="226"/>
    <n v="1202.47"/>
    <n v="1444.72"/>
    <n v="1444.72"/>
    <s v="Medium"/>
    <n v="0.24099999999999999"/>
    <x v="48"/>
    <n v="17"/>
    <x v="226"/>
    <n v="20441.990000000002"/>
    <n v="-1800.7678400000004"/>
    <n v="-9.6601382921343834E-2"/>
    <d v="2023-03-03T00:00:00"/>
    <x v="12"/>
  </r>
  <r>
    <x v="226"/>
    <x v="163"/>
    <x v="163"/>
    <s v="Q1 -2024"/>
    <d v="2024-01-15T00:00:00"/>
    <d v="2024-01-15T00:00:00"/>
    <x v="4"/>
    <x v="0"/>
    <x v="0"/>
    <s v="Nagoya"/>
    <s v="Asia&gt;Japan&gt;Nagoya"/>
    <s v="Small Business"/>
    <x v="4"/>
    <x v="10"/>
    <x v="6"/>
    <x v="227"/>
    <n v="1219.06"/>
    <n v="2738.69"/>
    <n v="2738.69"/>
    <s v="High"/>
    <n v="7.5999999999999998E-2"/>
    <x v="133"/>
    <n v="16"/>
    <x v="227"/>
    <n v="19504.96"/>
    <n v="20983.832960000007"/>
    <n v="0.51826274447673737"/>
    <d v="2023-03-03T00:00:00"/>
    <x v="8"/>
  </r>
  <r>
    <x v="227"/>
    <x v="164"/>
    <x v="164"/>
    <s v="Q1 -2024"/>
    <d v="2024-03-03T00:00:00"/>
    <d v="2024-03-03T00:00:00"/>
    <x v="6"/>
    <x v="2"/>
    <x v="11"/>
    <s v="Unknown"/>
    <s v="Americas&gt;Brazil&gt;Unknown"/>
    <s v="Enterprise"/>
    <x v="1"/>
    <x v="0"/>
    <x v="1"/>
    <x v="228"/>
    <n v="624.23"/>
    <n v="1318.37"/>
    <n v="1318.37"/>
    <s v="Medium"/>
    <n v="0.21"/>
    <x v="134"/>
    <n v="37"/>
    <x v="228"/>
    <n v="23096.510000000002"/>
    <n v="15439.445099999997"/>
    <n v="0.40065038118128793"/>
    <d v="2023-01-29T00:00:00"/>
    <x v="13"/>
  </r>
  <r>
    <x v="228"/>
    <x v="165"/>
    <x v="165"/>
    <s v="Q2 -2024"/>
    <d v="2024-06-16T00:00:00"/>
    <d v="2024-06-16T00:00:00"/>
    <x v="30"/>
    <x v="0"/>
    <x v="7"/>
    <s v="Shanghai"/>
    <s v="Asia&gt;China&gt;Shanghai"/>
    <s v="Corporate"/>
    <x v="0"/>
    <x v="5"/>
    <x v="1"/>
    <x v="229"/>
    <n v="918.42"/>
    <n v="1511.71"/>
    <n v="1511.71"/>
    <s v="Medium"/>
    <n v="0.02"/>
    <x v="85"/>
    <n v="8"/>
    <x v="229"/>
    <n v="7347.36"/>
    <n v="4504.4463999999998"/>
    <n v="0.38006412254590999"/>
    <d v="2023-01-12T00:00:00"/>
    <x v="14"/>
  </r>
  <r>
    <x v="229"/>
    <x v="166"/>
    <x v="166"/>
    <s v="Q3 -2024"/>
    <d v="2024-08-17T00:00:00"/>
    <d v="2024-08-17T00:00:00"/>
    <x v="5"/>
    <x v="0"/>
    <x v="0"/>
    <s v="Osaka"/>
    <s v="Asia&gt;Japan&gt;Osaka"/>
    <s v="Consumer"/>
    <x v="2"/>
    <x v="4"/>
    <x v="6"/>
    <x v="230"/>
    <n v="436.58"/>
    <n v="527.48"/>
    <n v="527.48"/>
    <s v="Low"/>
    <n v="0.111"/>
    <x v="75"/>
    <n v="19"/>
    <x v="230"/>
    <n v="8295.02"/>
    <n v="614.64468000000124"/>
    <n v="6.8986286473802644E-2"/>
    <d v="2023-03-03T00:00:00"/>
    <x v="15"/>
  </r>
  <r>
    <x v="230"/>
    <x v="167"/>
    <x v="167"/>
    <s v="Q4 -2024"/>
    <d v="2024-12-26T00:00:00"/>
    <d v="2024-12-26T00:00:00"/>
    <x v="8"/>
    <x v="3"/>
    <x v="8"/>
    <s v="London"/>
    <s v="Europe&gt;United Kingdom&gt;London"/>
    <s v="Enterprise"/>
    <x v="2"/>
    <x v="6"/>
    <x v="6"/>
    <x v="231"/>
    <n v="1035.24"/>
    <n v="2383.41"/>
    <n v="2383.41"/>
    <s v="High"/>
    <n v="0.17"/>
    <x v="135"/>
    <n v="15"/>
    <x v="231"/>
    <n v="15528.6"/>
    <n v="14144.854499999992"/>
    <n v="0.47668378145860962"/>
    <d v="2023-01-19T00:00:00"/>
    <x v="16"/>
  </r>
  <r>
    <x v="231"/>
    <x v="168"/>
    <x v="168"/>
    <s v="Q1 -2024"/>
    <d v="2024-01-29T00:00:00"/>
    <d v="2024-01-29T00:00:00"/>
    <x v="3"/>
    <x v="0"/>
    <x v="1"/>
    <s v="Hyderabad"/>
    <s v="Asia&gt;India&gt;Hyderabad"/>
    <s v="Small Business"/>
    <x v="3"/>
    <x v="12"/>
    <x v="2"/>
    <x v="232"/>
    <n v="310.02"/>
    <n v="619.51"/>
    <n v="619.51"/>
    <s v="Low"/>
    <n v="4.2000000000000003E-2"/>
    <x v="89"/>
    <n v="4"/>
    <x v="232"/>
    <n v="1240.08"/>
    <n v="1133.8823200000002"/>
    <n v="0.47763282106347843"/>
    <d v="2023-01-29T00:00:00"/>
    <x v="4"/>
  </r>
  <r>
    <x v="232"/>
    <x v="169"/>
    <x v="169"/>
    <s v="Q2 -2024"/>
    <d v="2024-05-27T00:00:00"/>
    <d v="2024-05-27T00:00:00"/>
    <x v="1"/>
    <x v="1"/>
    <x v="5"/>
    <s v="Johannesburg"/>
    <s v="Africa&gt;South Africa&gt;Johannesburg"/>
    <s v="Non-Profit"/>
    <x v="2"/>
    <x v="8"/>
    <x v="2"/>
    <x v="233"/>
    <n v="1157.51"/>
    <n v="1394.3"/>
    <n v="1394.3"/>
    <s v="Medium"/>
    <n v="0.27800000000000002"/>
    <x v="136"/>
    <n v="12"/>
    <x v="233"/>
    <n v="13890.119999999999"/>
    <n v="-1809.9048000000003"/>
    <n v="-0.14982388724333326"/>
    <d v="2023-01-07T00:00:00"/>
    <x v="14"/>
  </r>
  <r>
    <x v="233"/>
    <x v="170"/>
    <x v="170"/>
    <s v="Q4 -2024"/>
    <d v="2024-12-26T00:00:00"/>
    <d v="2024-12-26T00:00:00"/>
    <x v="2"/>
    <x v="2"/>
    <x v="4"/>
    <s v="San Francisco"/>
    <s v="Americas&gt;USA&gt;San Francisco"/>
    <s v="Consumer"/>
    <x v="4"/>
    <x v="8"/>
    <x v="1"/>
    <x v="234"/>
    <n v="699.57"/>
    <n v="572.71"/>
    <n v="572.71"/>
    <s v="Low"/>
    <n v="0.192"/>
    <x v="51"/>
    <n v="26"/>
    <x v="234"/>
    <n v="18188.82"/>
    <n v="-6157.3283199999987"/>
    <n v="-0.51176765805651114"/>
    <d v="2023-01-13T00:00:00"/>
    <x v="17"/>
  </r>
  <r>
    <x v="234"/>
    <x v="171"/>
    <x v="171"/>
    <s v="Q4 -2024"/>
    <d v="2025-01-12T00:00:00"/>
    <d v="2025-01-12T00:00:00"/>
    <x v="6"/>
    <x v="3"/>
    <x v="8"/>
    <s v="Manchester"/>
    <s v="Europe&gt;United Kingdom&gt;Manchester"/>
    <s v="Corporate"/>
    <x v="3"/>
    <x v="12"/>
    <x v="3"/>
    <x v="235"/>
    <n v="1399.72"/>
    <n v="3149.21"/>
    <n v="3149.21"/>
    <s v="High"/>
    <n v="0.185"/>
    <x v="44"/>
    <n v="12"/>
    <x v="235"/>
    <n v="16796.64"/>
    <n v="14002.633800000003"/>
    <n v="0.45464168703873797"/>
    <d v="2023-01-19T00:00:00"/>
    <x v="17"/>
  </r>
  <r>
    <x v="235"/>
    <x v="172"/>
    <x v="172"/>
    <s v="Q2 -2024"/>
    <d v="2024-06-08T00:00:00"/>
    <d v="2024-06-08T00:00:00"/>
    <x v="1"/>
    <x v="1"/>
    <x v="6"/>
    <s v="Kisumu"/>
    <s v="Africa&gt;Kenya&gt;Kisumu"/>
    <s v="Consumer"/>
    <x v="4"/>
    <x v="0"/>
    <x v="0"/>
    <x v="236"/>
    <n v="292.94"/>
    <n v="356.55"/>
    <n v="356.55"/>
    <s v="Low"/>
    <n v="0.22900000000000001"/>
    <x v="137"/>
    <n v="2"/>
    <x v="236"/>
    <n v="585.88"/>
    <n v="-36.079899999999952"/>
    <n v="-6.5623669402751925E-2"/>
    <d v="2023-01-20T00:00:00"/>
    <x v="14"/>
  </r>
  <r>
    <x v="236"/>
    <x v="173"/>
    <x v="173"/>
    <s v="Q3 -2024"/>
    <d v="2024-08-21T00:00:00"/>
    <d v="2024-08-28T00:00:00"/>
    <x v="2"/>
    <x v="1"/>
    <x v="5"/>
    <s v="Johannesburg"/>
    <s v="Africa&gt;South Africa&gt;Johannesburg"/>
    <s v="Education"/>
    <x v="0"/>
    <x v="1"/>
    <x v="2"/>
    <x v="237"/>
    <n v="1432.52"/>
    <n v="3036.87"/>
    <n v="3036.87"/>
    <s v="High"/>
    <n v="0"/>
    <x v="5"/>
    <n v="9"/>
    <x v="237"/>
    <n v="12892.68"/>
    <n v="14439.149999999998"/>
    <n v="0.52829064135112791"/>
    <d v="2023-01-07T00:00:00"/>
    <x v="18"/>
  </r>
  <r>
    <x v="237"/>
    <x v="174"/>
    <x v="174"/>
    <s v="Q4 -2024"/>
    <d v="2024-11-08T00:00:00"/>
    <d v="2024-11-08T00:00:00"/>
    <x v="10"/>
    <x v="2"/>
    <x v="3"/>
    <s v="Toronto"/>
    <s v="Americas&gt;Canada&gt;Toronto"/>
    <s v="Education"/>
    <x v="4"/>
    <x v="2"/>
    <x v="2"/>
    <x v="238"/>
    <n v="1020.4"/>
    <n v="1184.71"/>
    <n v="1184.71"/>
    <s v="Medium"/>
    <n v="0.106"/>
    <x v="6"/>
    <n v="16"/>
    <x v="238"/>
    <n v="16326.4"/>
    <n v="619.69184000000132"/>
    <n v="3.6568422138328345E-2"/>
    <d v="2023-01-02T00:00:00"/>
    <x v="16"/>
  </r>
  <r>
    <x v="238"/>
    <x v="175"/>
    <x v="175"/>
    <s v="Q4 -2024"/>
    <d v="2025-01-15T00:00:00"/>
    <d v="2025-01-15T00:00:00"/>
    <x v="8"/>
    <x v="0"/>
    <x v="1"/>
    <s v="Delhi"/>
    <s v="Asia&gt;India&gt;Delhi"/>
    <s v="Non-Profit"/>
    <x v="1"/>
    <x v="10"/>
    <x v="2"/>
    <x v="239"/>
    <n v="495.59"/>
    <n v="631.78"/>
    <n v="631.78"/>
    <s v="Low"/>
    <n v="8.6999999999999994E-2"/>
    <x v="138"/>
    <n v="17"/>
    <x v="239"/>
    <n v="8425.0299999999988"/>
    <n v="1380.8273800000024"/>
    <n v="0.14081658813601899"/>
    <d v="2023-01-29T00:00:00"/>
    <x v="16"/>
  </r>
  <r>
    <x v="239"/>
    <x v="176"/>
    <x v="176"/>
    <s v="Q4 -2024"/>
    <d v="2024-12-21T00:00:00"/>
    <d v="2024-12-21T00:00:00"/>
    <x v="9"/>
    <x v="3"/>
    <x v="10"/>
    <s v="Marseille"/>
    <s v="Europe&gt;France&gt;Marseille"/>
    <s v="Small Business"/>
    <x v="3"/>
    <x v="9"/>
    <x v="3"/>
    <x v="240"/>
    <n v="1122.68"/>
    <n v="1997.19"/>
    <n v="1997.19"/>
    <s v="High"/>
    <n v="0.186"/>
    <x v="81"/>
    <n v="3"/>
    <x v="240"/>
    <n v="3368.04"/>
    <n v="1509.0979800000005"/>
    <n v="0.30942285951073306"/>
    <d v="2023-01-10T00:00:00"/>
    <x v="16"/>
  </r>
  <r>
    <x v="240"/>
    <x v="177"/>
    <x v="177"/>
    <s v="Q1 -2024"/>
    <d v="2024-03-30T00:00:00"/>
    <d v="2024-03-30T00:00:00"/>
    <x v="9"/>
    <x v="0"/>
    <x v="0"/>
    <s v="Nagoya"/>
    <s v="Asia&gt;Japan&gt;Nagoya"/>
    <s v="Small Business"/>
    <x v="3"/>
    <x v="9"/>
    <x v="6"/>
    <x v="241"/>
    <n v="231.11"/>
    <n v="318.17"/>
    <n v="318.17"/>
    <s v="Low"/>
    <n v="0.20100000000000001"/>
    <x v="139"/>
    <n v="60"/>
    <x v="241"/>
    <n v="13866.6"/>
    <n v="1386.4697999999989"/>
    <n v="9.0897754889969692E-2"/>
    <d v="2023-03-03T00:00:00"/>
    <x v="4"/>
  </r>
  <r>
    <x v="241"/>
    <x v="164"/>
    <x v="164"/>
    <s v="Q1 -2024"/>
    <d v="2024-03-04T00:00:00"/>
    <d v="2024-03-04T00:00:00"/>
    <x v="20"/>
    <x v="1"/>
    <x v="6"/>
    <s v="Kisumu"/>
    <s v="Africa&gt;Kenya&gt;Kisumu"/>
    <s v="Education"/>
    <x v="3"/>
    <x v="4"/>
    <x v="1"/>
    <x v="242"/>
    <n v="928.68"/>
    <n v="2145.17"/>
    <n v="2145.17"/>
    <s v="High"/>
    <n v="0.13600000000000001"/>
    <x v="124"/>
    <n v="16"/>
    <x v="242"/>
    <n v="14858.88"/>
    <n v="14795.950080000001"/>
    <n v="0.49893896003062177"/>
    <d v="2023-01-20T00:00:00"/>
    <x v="13"/>
  </r>
  <r>
    <x v="242"/>
    <x v="178"/>
    <x v="178"/>
    <s v="Q2 -2024"/>
    <d v="2024-05-18T00:00:00"/>
    <d v="2024-05-18T00:00:00"/>
    <x v="4"/>
    <x v="3"/>
    <x v="10"/>
    <s v="Marseille"/>
    <s v="Europe&gt;France&gt;Marseille"/>
    <s v="Corporate"/>
    <x v="4"/>
    <x v="0"/>
    <x v="2"/>
    <x v="243"/>
    <n v="1264.04"/>
    <n v="1870.89"/>
    <n v="1870.89"/>
    <s v="High"/>
    <n v="0"/>
    <x v="5"/>
    <n v="13"/>
    <x v="243"/>
    <n v="16432.52"/>
    <n v="7889.0499999999993"/>
    <n v="0.32436433996653996"/>
    <d v="2023-01-10T00:00:00"/>
    <x v="19"/>
  </r>
  <r>
    <x v="243"/>
    <x v="179"/>
    <x v="179"/>
    <s v="Q3 -2024"/>
    <d v="2024-08-03T00:00:00"/>
    <d v="2024-08-03T00:00:00"/>
    <x v="16"/>
    <x v="2"/>
    <x v="11"/>
    <s v="Rio de Janeiro"/>
    <s v="Americas&gt;Brazil&gt;Rio de Janeiro"/>
    <s v="Corporate"/>
    <x v="4"/>
    <x v="8"/>
    <x v="3"/>
    <x v="244"/>
    <n v="702.98"/>
    <n v="1104.8"/>
    <n v="1104.8"/>
    <s v="Medium"/>
    <n v="0.17499999999999999"/>
    <x v="110"/>
    <n v="12"/>
    <x v="244"/>
    <n v="8435.76"/>
    <n v="2501.7599999999984"/>
    <n v="0.22873192460448061"/>
    <d v="2023-01-29T00:00:00"/>
    <x v="15"/>
  </r>
  <r>
    <x v="244"/>
    <x v="180"/>
    <x v="180"/>
    <s v="Q4 -2024"/>
    <d v="2025-01-08T00:00:00"/>
    <d v="2025-01-08T00:00:00"/>
    <x v="29"/>
    <x v="3"/>
    <x v="10"/>
    <s v="Marseille"/>
    <s v="Europe&gt;France&gt;Marseille"/>
    <s v="Small Business"/>
    <x v="0"/>
    <x v="4"/>
    <x v="1"/>
    <x v="245"/>
    <n v="891.08"/>
    <n v="1040.0999999999999"/>
    <n v="1040.0999999999999"/>
    <s v="Medium"/>
    <n v="0.109"/>
    <x v="77"/>
    <n v="28"/>
    <x v="245"/>
    <n v="24950.240000000002"/>
    <n v="998.17479999999341"/>
    <n v="3.8467660074556598E-2"/>
    <d v="2023-01-10T00:00:00"/>
    <x v="17"/>
  </r>
  <r>
    <x v="245"/>
    <x v="164"/>
    <x v="164"/>
    <s v="Q1 -2024"/>
    <d v="2024-03-11T00:00:00"/>
    <d v="2024-03-11T00:00:00"/>
    <x v="0"/>
    <x v="2"/>
    <x v="11"/>
    <s v="São Paulo"/>
    <s v="Americas&gt;Brazil&gt;São Paulo"/>
    <s v="Consumer"/>
    <x v="2"/>
    <x v="0"/>
    <x v="2"/>
    <x v="246"/>
    <n v="80.48"/>
    <n v="65.650000000000006"/>
    <n v="65.650000000000006"/>
    <s v="Low"/>
    <n v="0.17599999999999999"/>
    <x v="140"/>
    <n v="13"/>
    <x v="246"/>
    <n v="1046.24"/>
    <n v="-342.99719999999991"/>
    <n v="-0.48773652570634191"/>
    <d v="2023-01-29T00:00:00"/>
    <x v="13"/>
  </r>
  <r>
    <x v="246"/>
    <x v="181"/>
    <x v="181"/>
    <s v="Q1 -2024"/>
    <d v="2024-01-15T00:00:00"/>
    <d v="2024-01-15T00:00:00"/>
    <x v="17"/>
    <x v="2"/>
    <x v="4"/>
    <s v="San Francisco"/>
    <s v="Americas&gt;USA&gt;San Francisco"/>
    <s v="Non-Profit"/>
    <x v="3"/>
    <x v="1"/>
    <x v="2"/>
    <x v="247"/>
    <n v="1061.3699999999999"/>
    <n v="1938.33"/>
    <n v="1938.33"/>
    <s v="High"/>
    <n v="0.17"/>
    <x v="135"/>
    <n v="4"/>
    <x v="247"/>
    <n v="4245.4799999999996"/>
    <n v="2189.7755999999999"/>
    <n v="0.34027795259600879"/>
    <d v="2023-01-13T00:00:00"/>
    <x v="13"/>
  </r>
  <r>
    <x v="247"/>
    <x v="182"/>
    <x v="182"/>
    <s v="Q1 -2024"/>
    <d v="2024-04-05T00:00:00"/>
    <d v="2024-04-05T00:00:00"/>
    <x v="5"/>
    <x v="2"/>
    <x v="4"/>
    <s v="Austin"/>
    <s v="Americas&gt;USA&gt;Austin"/>
    <s v="Consumer"/>
    <x v="3"/>
    <x v="5"/>
    <x v="3"/>
    <x v="248"/>
    <n v="5.66"/>
    <n v="4.22"/>
    <n v="4.22"/>
    <s v="Low"/>
    <n v="0.11899999999999999"/>
    <x v="141"/>
    <n v="18"/>
    <x v="248"/>
    <n v="101.88"/>
    <n v="-34.959239999999994"/>
    <n v="-0.52239753403876454"/>
    <d v="2023-01-13T00:00:00"/>
    <x v="20"/>
  </r>
  <r>
    <x v="248"/>
    <x v="183"/>
    <x v="183"/>
    <s v="Q1 -2024"/>
    <d v="2024-02-04T00:00:00"/>
    <d v="2024-02-04T00:00:00"/>
    <x v="21"/>
    <x v="3"/>
    <x v="8"/>
    <s v="Manchester"/>
    <s v="Europe&gt;United Kingdom&gt;Manchester"/>
    <s v="Consumer"/>
    <x v="0"/>
    <x v="12"/>
    <x v="4"/>
    <x v="249"/>
    <n v="525.34"/>
    <n v="1233.79"/>
    <n v="1233.79"/>
    <s v="Medium"/>
    <n v="0.14299999999999999"/>
    <x v="122"/>
    <n v="4"/>
    <x v="249"/>
    <n v="2101.36"/>
    <n v="2128.0721199999994"/>
    <n v="0.50315788494082736"/>
    <d v="2023-01-19T00:00:00"/>
    <x v="13"/>
  </r>
  <r>
    <x v="249"/>
    <x v="184"/>
    <x v="184"/>
    <s v="Q3 -2024"/>
    <d v="2024-09-07T00:00:00"/>
    <d v="2024-09-07T00:00:00"/>
    <x v="26"/>
    <x v="0"/>
    <x v="0"/>
    <s v="Tokyo"/>
    <s v="Asia&gt;Japan&gt;Tokyo"/>
    <s v="Small Business"/>
    <x v="1"/>
    <x v="13"/>
    <x v="1"/>
    <x v="250"/>
    <n v="43.23"/>
    <n v="94.78"/>
    <n v="94.78"/>
    <s v="Low"/>
    <n v="9.0999999999999998E-2"/>
    <x v="102"/>
    <n v="55"/>
    <x v="250"/>
    <n v="2377.6499999999996"/>
    <n v="2360.8761000000004"/>
    <n v="0.49823005090127082"/>
    <d v="2023-03-03T00:00:00"/>
    <x v="21"/>
  </r>
  <r>
    <x v="250"/>
    <x v="185"/>
    <x v="185"/>
    <s v="Q1 -2024"/>
    <d v="2024-02-09T00:00:00"/>
    <d v="2024-02-09T00:00:00"/>
    <x v="30"/>
    <x v="3"/>
    <x v="9"/>
    <s v="Berlin"/>
    <s v="Europe&gt;Germany&gt;Berlin"/>
    <s v="Corporate"/>
    <x v="2"/>
    <x v="10"/>
    <x v="0"/>
    <x v="251"/>
    <n v="644.16999999999996"/>
    <n v="700.12"/>
    <n v="700.12"/>
    <s v="Low"/>
    <n v="6.0000000000000001E-3"/>
    <x v="142"/>
    <n v="23"/>
    <x v="251"/>
    <n v="14815.91"/>
    <n v="1190.23344"/>
    <n v="7.436103796405813E-2"/>
    <d v="2023-01-22T00:00:00"/>
    <x v="13"/>
  </r>
  <r>
    <x v="251"/>
    <x v="186"/>
    <x v="186"/>
    <s v="Q2 -2024"/>
    <d v="2024-04-24T00:00:00"/>
    <d v="2024-04-24T00:00:00"/>
    <x v="23"/>
    <x v="3"/>
    <x v="9"/>
    <s v="Frankfurt"/>
    <s v="Europe&gt;Germany&gt;Frankfurt"/>
    <s v="Non-Profit"/>
    <x v="3"/>
    <x v="2"/>
    <x v="0"/>
    <x v="252"/>
    <n v="683.42"/>
    <n v="951.51"/>
    <n v="951.51"/>
    <s v="Medium"/>
    <n v="0"/>
    <x v="5"/>
    <n v="14"/>
    <x v="252"/>
    <n v="9567.8799999999992"/>
    <n v="3753.26"/>
    <n v="0.28175216235247136"/>
    <d v="2023-01-22T00:00:00"/>
    <x v="20"/>
  </r>
  <r>
    <x v="252"/>
    <x v="187"/>
    <x v="187"/>
    <s v="Q3 -2024"/>
    <d v="2024-09-03T00:00:00"/>
    <d v="2024-09-03T00:00:00"/>
    <x v="0"/>
    <x v="2"/>
    <x v="4"/>
    <s v="Austin"/>
    <s v="Americas&gt;USA&gt;Austin"/>
    <s v="Consumer"/>
    <x v="1"/>
    <x v="9"/>
    <x v="4"/>
    <x v="253"/>
    <n v="797.8"/>
    <n v="886.22"/>
    <n v="886.22"/>
    <s v="Medium"/>
    <n v="0.23599999999999999"/>
    <x v="143"/>
    <n v="36"/>
    <x v="253"/>
    <n v="28720.799999999999"/>
    <n v="-4346.2051199999987"/>
    <n v="-0.17830881462428633"/>
    <d v="2023-01-13T00:00:00"/>
    <x v="21"/>
  </r>
  <r>
    <x v="253"/>
    <x v="188"/>
    <x v="188"/>
    <s v="Q2 -2024"/>
    <d v="2024-07-14T00:00:00"/>
    <d v="2024-07-14T00:00:00"/>
    <x v="6"/>
    <x v="2"/>
    <x v="11"/>
    <s v="Brasília"/>
    <s v="Americas&gt;Brazil&gt;Brasília"/>
    <s v="Education"/>
    <x v="0"/>
    <x v="14"/>
    <x v="0"/>
    <x v="254"/>
    <n v="1491.85"/>
    <n v="2583.02"/>
    <n v="2583.02"/>
    <s v="High"/>
    <n v="0.16800000000000001"/>
    <x v="144"/>
    <n v="4"/>
    <x v="254"/>
    <n v="5967.4"/>
    <n v="2628.8905599999998"/>
    <n v="0.30581685689321325"/>
    <d v="2023-01-29T00:00:00"/>
    <x v="15"/>
  </r>
  <r>
    <x v="254"/>
    <x v="189"/>
    <x v="189"/>
    <s v="Q2 -2024"/>
    <d v="2024-04-07T00:00:00"/>
    <d v="2024-04-07T00:00:00"/>
    <x v="26"/>
    <x v="2"/>
    <x v="11"/>
    <s v="Brasília"/>
    <s v="Americas&gt;Brazil&gt;Brasília"/>
    <s v="Non-Profit"/>
    <x v="3"/>
    <x v="13"/>
    <x v="5"/>
    <x v="255"/>
    <n v="1023.27"/>
    <n v="1343.64"/>
    <n v="1343.64"/>
    <s v="Medium"/>
    <n v="0.13300000000000001"/>
    <x v="145"/>
    <n v="7"/>
    <x v="255"/>
    <n v="7162.8899999999994"/>
    <n v="991.66116000000147"/>
    <n v="0.12160830688810116"/>
    <d v="2023-01-29T00:00:00"/>
    <x v="20"/>
  </r>
  <r>
    <x v="255"/>
    <x v="190"/>
    <x v="190"/>
    <s v="Q1 -2024"/>
    <d v="2024-04-09T00:00:00"/>
    <d v="2024-04-09T00:00:00"/>
    <x v="12"/>
    <x v="2"/>
    <x v="3"/>
    <s v="Vancouver"/>
    <s v="Americas&gt;Canada&gt;Vancouver"/>
    <s v="Consumer"/>
    <x v="2"/>
    <x v="3"/>
    <x v="3"/>
    <x v="256"/>
    <n v="648.64"/>
    <n v="815.19"/>
    <n v="815.19"/>
    <s v="Low"/>
    <n v="0.22500000000000001"/>
    <x v="146"/>
    <n v="28"/>
    <x v="256"/>
    <n v="18161.919999999998"/>
    <n v="-472.29699999999866"/>
    <n v="-2.6699099240272032E-2"/>
    <d v="2023-01-02T00:00:00"/>
    <x v="20"/>
  </r>
  <r>
    <x v="256"/>
    <x v="191"/>
    <x v="191"/>
    <s v="Q2 -2024"/>
    <d v="2024-06-11T00:00:00"/>
    <d v="2024-06-11T00:00:00"/>
    <x v="18"/>
    <x v="3"/>
    <x v="8"/>
    <s v="Birmingham"/>
    <s v="Europe&gt;United Kingdom&gt;Birmingham"/>
    <s v="Small Business"/>
    <x v="4"/>
    <x v="8"/>
    <x v="4"/>
    <x v="257"/>
    <n v="1187.1300000000001"/>
    <n v="1795.17"/>
    <n v="1795.17"/>
    <s v="High"/>
    <n v="1.2E-2"/>
    <x v="147"/>
    <n v="17"/>
    <x v="257"/>
    <n v="20181.210000000003"/>
    <n v="9970.4653199999957"/>
    <n v="0.33067699271046663"/>
    <d v="2023-01-19T00:00:00"/>
    <x v="14"/>
  </r>
  <r>
    <x v="257"/>
    <x v="192"/>
    <x v="192"/>
    <s v="Q4 -2024"/>
    <d v="2024-11-26T00:00:00"/>
    <d v="2024-11-26T00:00:00"/>
    <x v="8"/>
    <x v="2"/>
    <x v="11"/>
    <s v="Rio de Janeiro"/>
    <s v="Americas&gt;Brazil&gt;Rio de Janeiro"/>
    <s v="Non-Profit"/>
    <x v="1"/>
    <x v="5"/>
    <x v="1"/>
    <x v="258"/>
    <n v="55.35"/>
    <n v="128.68"/>
    <n v="128.68"/>
    <s v="Low"/>
    <n v="0.128"/>
    <x v="148"/>
    <n v="10"/>
    <x v="258"/>
    <n v="553.5"/>
    <n v="568.58960000000025"/>
    <n v="0.50672388372550647"/>
    <d v="2023-01-29T00:00:00"/>
    <x v="12"/>
  </r>
  <r>
    <x v="258"/>
    <x v="193"/>
    <x v="193"/>
    <s v="Q1 -2024"/>
    <d v="2024-02-14T00:00:00"/>
    <d v="2024-02-14T00:00:00"/>
    <x v="27"/>
    <x v="0"/>
    <x v="7"/>
    <s v="Beijing"/>
    <s v="Asia&gt;China&gt;Beijing"/>
    <s v="Corporate"/>
    <x v="1"/>
    <x v="11"/>
    <x v="0"/>
    <x v="259"/>
    <n v="65.930000000000007"/>
    <n v="84.9"/>
    <n v="84.9"/>
    <s v="Low"/>
    <n v="0.25900000000000001"/>
    <x v="149"/>
    <n v="23"/>
    <x v="259"/>
    <n v="1516.39"/>
    <n v="-69.439300000000003"/>
    <n v="-4.7990093926489688E-2"/>
    <d v="2023-01-12T00:00:00"/>
    <x v="22"/>
  </r>
  <r>
    <x v="259"/>
    <x v="194"/>
    <x v="194"/>
    <s v="Q4 -2024"/>
    <d v="2024-10-11T00:00:00"/>
    <d v="2024-10-11T00:00:00"/>
    <x v="24"/>
    <x v="0"/>
    <x v="7"/>
    <s v="Beijing"/>
    <s v="Asia&gt;China&gt;Beijing"/>
    <s v="Enterprise"/>
    <x v="3"/>
    <x v="12"/>
    <x v="5"/>
    <x v="260"/>
    <n v="1132.6099999999999"/>
    <n v="2206.63"/>
    <n v="2206.63"/>
    <s v="High"/>
    <n v="6.3E-2"/>
    <x v="150"/>
    <n v="20"/>
    <x v="260"/>
    <n v="22652.199999999997"/>
    <n v="18700.046200000012"/>
    <n v="0.45221355351671338"/>
    <d v="2023-01-12T00:00:00"/>
    <x v="23"/>
  </r>
  <r>
    <x v="260"/>
    <x v="195"/>
    <x v="195"/>
    <s v="Q1 -2024"/>
    <d v="2024-04-06T00:00:00"/>
    <d v="2024-04-06T00:00:00"/>
    <x v="28"/>
    <x v="1"/>
    <x v="2"/>
    <s v="Abuja"/>
    <s v="Africa&gt;Nigeria&gt;Abuja"/>
    <s v="Consumer"/>
    <x v="1"/>
    <x v="11"/>
    <x v="2"/>
    <x v="261"/>
    <n v="1232.78"/>
    <n v="1731.75"/>
    <n v="1731.75"/>
    <s v="High"/>
    <n v="9.2999999999999999E-2"/>
    <x v="106"/>
    <n v="16"/>
    <x v="261"/>
    <n v="19724.48"/>
    <n v="5406.6759999999995"/>
    <n v="0.21513837246484005"/>
    <d v="2023-01-15T00:00:00"/>
    <x v="22"/>
  </r>
  <r>
    <x v="261"/>
    <x v="196"/>
    <x v="196"/>
    <s v="Q2 -2024"/>
    <d v="2024-05-19T00:00:00"/>
    <d v="2024-05-19T00:00:00"/>
    <x v="14"/>
    <x v="1"/>
    <x v="2"/>
    <s v="Lagos"/>
    <s v="Africa&gt;Nigeria&gt;Lagos"/>
    <s v="Corporate"/>
    <x v="1"/>
    <x v="0"/>
    <x v="0"/>
    <x v="262"/>
    <n v="187.22"/>
    <n v="309.47000000000003"/>
    <n v="309.47000000000003"/>
    <s v="Low"/>
    <n v="0"/>
    <x v="5"/>
    <n v="5"/>
    <x v="262"/>
    <n v="936.1"/>
    <n v="611.25000000000011"/>
    <n v="0.39503021294471197"/>
    <d v="2023-01-15T00:00:00"/>
    <x v="19"/>
  </r>
  <r>
    <x v="262"/>
    <x v="197"/>
    <x v="197"/>
    <s v="Q4 -2024"/>
    <d v="2024-11-18T00:00:00"/>
    <d v="2024-11-18T00:00:00"/>
    <x v="19"/>
    <x v="0"/>
    <x v="1"/>
    <s v="Mumbai"/>
    <s v="Asia&gt;India&gt;Mumbai"/>
    <s v="Small Business"/>
    <x v="1"/>
    <x v="2"/>
    <x v="3"/>
    <x v="263"/>
    <n v="1233.58"/>
    <n v="1912.51"/>
    <n v="1912.51"/>
    <s v="High"/>
    <n v="0.255"/>
    <x v="151"/>
    <n v="51"/>
    <x v="263"/>
    <n v="62912.579999999994"/>
    <n v="9753.2374500000078"/>
    <n v="0.134220432553601"/>
    <d v="2023-01-29T00:00:00"/>
    <x v="12"/>
  </r>
  <r>
    <x v="263"/>
    <x v="198"/>
    <x v="198"/>
    <s v="Q4 -2024"/>
    <d v="2024-11-05T00:00:00"/>
    <d v="2024-11-05T00:00:00"/>
    <x v="21"/>
    <x v="2"/>
    <x v="4"/>
    <s v="New York"/>
    <s v="Americas&gt;USA&gt;New York"/>
    <s v="Corporate"/>
    <x v="1"/>
    <x v="13"/>
    <x v="2"/>
    <x v="264"/>
    <n v="446.66"/>
    <n v="527.64"/>
    <n v="527.64"/>
    <s v="Low"/>
    <n v="0.14499999999999999"/>
    <x v="152"/>
    <n v="15"/>
    <x v="264"/>
    <n v="6699.9000000000005"/>
    <n v="67.082999999998719"/>
    <n v="9.9132804087137105E-3"/>
    <d v="2023-01-13T00:00:00"/>
    <x v="12"/>
  </r>
  <r>
    <x v="264"/>
    <x v="199"/>
    <x v="199"/>
    <s v="Q1 -2024"/>
    <d v="2024-03-26T00:00:00"/>
    <d v="2024-03-26T00:00:00"/>
    <x v="3"/>
    <x v="2"/>
    <x v="4"/>
    <s v="San Francisco"/>
    <s v="Americas&gt;USA&gt;San Francisco"/>
    <s v="Education"/>
    <x v="3"/>
    <x v="9"/>
    <x v="5"/>
    <x v="265"/>
    <n v="1137.4100000000001"/>
    <n v="1680.93"/>
    <n v="1680.93"/>
    <s v="High"/>
    <n v="0.254"/>
    <x v="153"/>
    <n v="9"/>
    <x v="265"/>
    <n v="10236.69"/>
    <n v="1049.07402"/>
    <n v="9.2955516183121464E-2"/>
    <d v="2023-01-13T00:00:00"/>
    <x v="22"/>
  </r>
  <r>
    <x v="265"/>
    <x v="175"/>
    <x v="175"/>
    <s v="Q4 -2024"/>
    <d v="2024-12-29T00:00:00"/>
    <d v="2024-12-29T00:00:00"/>
    <x v="17"/>
    <x v="2"/>
    <x v="3"/>
    <s v="Vancouver"/>
    <s v="Americas&gt;Canada&gt;Vancouver"/>
    <s v="Enterprise"/>
    <x v="4"/>
    <x v="14"/>
    <x v="0"/>
    <x v="266"/>
    <n v="1146.72"/>
    <n v="2074.34"/>
    <n v="2074.34"/>
    <s v="High"/>
    <n v="0.111"/>
    <x v="75"/>
    <n v="8"/>
    <x v="266"/>
    <n v="9173.76"/>
    <n v="5578.9460800000015"/>
    <n v="0.37816425337472737"/>
    <d v="2023-01-02T00:00:00"/>
    <x v="17"/>
  </r>
  <r>
    <x v="266"/>
    <x v="200"/>
    <x v="200"/>
    <s v="Q4 -2024"/>
    <d v="2024-11-06T00:00:00"/>
    <d v="2024-11-06T00:00:00"/>
    <x v="23"/>
    <x v="0"/>
    <x v="1"/>
    <s v="Bengaluru"/>
    <s v="Asia&gt;India&gt;Bengaluru"/>
    <s v="Enterprise"/>
    <x v="1"/>
    <x v="2"/>
    <x v="3"/>
    <x v="267"/>
    <n v="72.94"/>
    <n v="106.3"/>
    <n v="106.3"/>
    <s v="Low"/>
    <n v="0.29499999999999998"/>
    <x v="154"/>
    <n v="8"/>
    <x v="267"/>
    <n v="583.52"/>
    <n v="16.012000000000057"/>
    <n v="2.6707498515508857E-2"/>
    <d v="2023-01-29T00:00:00"/>
    <x v="23"/>
  </r>
  <r>
    <x v="267"/>
    <x v="201"/>
    <x v="201"/>
    <s v="Q4 -2024"/>
    <d v="2024-12-24T00:00:00"/>
    <d v="2024-12-24T00:00:00"/>
    <x v="15"/>
    <x v="1"/>
    <x v="6"/>
    <s v="Mombasa"/>
    <s v="Africa&gt;Kenya&gt;Mombasa"/>
    <s v="Corporate"/>
    <x v="1"/>
    <x v="12"/>
    <x v="1"/>
    <x v="268"/>
    <n v="143.33000000000001"/>
    <n v="233.51"/>
    <n v="233.51"/>
    <s v="Low"/>
    <n v="0.16300000000000001"/>
    <x v="155"/>
    <n v="14"/>
    <x v="268"/>
    <n v="2006.6200000000001"/>
    <n v="729.65017999999986"/>
    <n v="0.26665867476580835"/>
    <d v="2023-01-20T00:00:00"/>
    <x v="16"/>
  </r>
  <r>
    <x v="268"/>
    <x v="202"/>
    <x v="202"/>
    <s v="Q1 -2024"/>
    <d v="2024-04-06T00:00:00"/>
    <d v="2024-04-06T00:00:00"/>
    <x v="13"/>
    <x v="1"/>
    <x v="6"/>
    <s v="Kisumu"/>
    <s v="Africa&gt;Kenya&gt;Kisumu"/>
    <s v="Corporate"/>
    <x v="0"/>
    <x v="14"/>
    <x v="2"/>
    <x v="269"/>
    <n v="279.24"/>
    <n v="608.9"/>
    <n v="608.9"/>
    <s v="Low"/>
    <n v="0.112"/>
    <x v="108"/>
    <n v="9"/>
    <x v="269"/>
    <n v="2513.16"/>
    <n v="2353.1687999999995"/>
    <n v="0.48356140670149533"/>
    <d v="2023-01-20T00:00:00"/>
    <x v="22"/>
  </r>
  <r>
    <x v="269"/>
    <x v="185"/>
    <x v="185"/>
    <s v="Q1 -2024"/>
    <d v="2024-01-30T00:00:00"/>
    <d v="2024-01-30T00:00:00"/>
    <x v="17"/>
    <x v="1"/>
    <x v="5"/>
    <s v="Cape Town"/>
    <s v="Africa&gt;South Africa&gt;Cape Town"/>
    <s v="Consumer"/>
    <x v="3"/>
    <x v="3"/>
    <x v="0"/>
    <x v="270"/>
    <n v="798.45"/>
    <n v="1592.02"/>
    <n v="1592.02"/>
    <s v="Medium"/>
    <n v="6.6000000000000003E-2"/>
    <x v="33"/>
    <n v="18"/>
    <x v="270"/>
    <n v="14372.1"/>
    <n v="12392.940239999998"/>
    <n v="0.46302714768494585"/>
    <d v="2023-01-07T00:00:00"/>
    <x v="13"/>
  </r>
  <r>
    <x v="270"/>
    <x v="203"/>
    <x v="203"/>
    <s v="Q1 -2024"/>
    <d v="2024-02-02T00:00:00"/>
    <d v="2024-02-02T00:00:00"/>
    <x v="0"/>
    <x v="0"/>
    <x v="0"/>
    <s v="Nagoya"/>
    <s v="Asia&gt;Japan&gt;Nagoya"/>
    <s v="Small Business"/>
    <x v="2"/>
    <x v="15"/>
    <x v="1"/>
    <x v="271"/>
    <n v="1237.68"/>
    <n v="1432.8"/>
    <n v="1432.8"/>
    <s v="Medium"/>
    <n v="6.8000000000000005E-2"/>
    <x v="156"/>
    <n v="13"/>
    <x v="271"/>
    <n v="16089.84"/>
    <n v="1269.9647999999979"/>
    <n v="7.315547695559331E-2"/>
    <d v="2023-03-03T00:00:00"/>
    <x v="9"/>
  </r>
  <r>
    <x v="271"/>
    <x v="204"/>
    <x v="204"/>
    <s v="Q3 -2024"/>
    <d v="2024-09-04T00:00:00"/>
    <d v="2024-09-04T00:00:00"/>
    <x v="16"/>
    <x v="3"/>
    <x v="8"/>
    <s v="Manchester"/>
    <s v="Europe&gt;United Kingdom&gt;Manchester"/>
    <s v="Non-Profit"/>
    <x v="2"/>
    <x v="5"/>
    <x v="5"/>
    <x v="272"/>
    <n v="1138.8"/>
    <n v="2250.81"/>
    <n v="2250.81"/>
    <s v="High"/>
    <n v="0.123"/>
    <x v="66"/>
    <n v="12"/>
    <x v="272"/>
    <n v="13665.599999999999"/>
    <n v="10021.924440000003"/>
    <n v="0.42308872188756258"/>
    <d v="2023-01-19T00:00:00"/>
    <x v="21"/>
  </r>
  <r>
    <x v="272"/>
    <x v="205"/>
    <x v="205"/>
    <s v="Q1 -2024"/>
    <d v="2024-03-21T00:00:00"/>
    <d v="2024-03-21T00:00:00"/>
    <x v="10"/>
    <x v="3"/>
    <x v="9"/>
    <s v="Munich"/>
    <s v="Europe&gt;Germany&gt;Munich"/>
    <s v="Small Business"/>
    <x v="2"/>
    <x v="8"/>
    <x v="0"/>
    <x v="273"/>
    <n v="910.63"/>
    <n v="1269.4000000000001"/>
    <n v="1269.4000000000001"/>
    <s v="Medium"/>
    <n v="6.8000000000000005E-2"/>
    <x v="156"/>
    <n v="9"/>
    <x v="273"/>
    <n v="8195.67"/>
    <n v="2452.0571999999993"/>
    <n v="0.23028925834989455"/>
    <d v="2023-01-22T00:00:00"/>
    <x v="22"/>
  </r>
  <r>
    <x v="273"/>
    <x v="206"/>
    <x v="206"/>
    <s v="Q4 -2024"/>
    <d v="2024-12-18T00:00:00"/>
    <d v="2024-12-18T00:00:00"/>
    <x v="18"/>
    <x v="3"/>
    <x v="9"/>
    <s v="Munich"/>
    <s v="Europe&gt;Germany&gt;Munich"/>
    <s v="Education"/>
    <x v="0"/>
    <x v="11"/>
    <x v="0"/>
    <x v="274"/>
    <n v="346.82"/>
    <n v="701.95"/>
    <n v="701.95"/>
    <s v="Low"/>
    <n v="0.14699999999999999"/>
    <x v="22"/>
    <n v="8"/>
    <x v="274"/>
    <n v="2774.56"/>
    <n v="2015.5468000000005"/>
    <n v="0.42077283120284509"/>
    <d v="2023-01-22T00:00:00"/>
    <x v="16"/>
  </r>
  <r>
    <x v="274"/>
    <x v="203"/>
    <x v="203"/>
    <s v="Q1 -2024"/>
    <d v="2024-02-02T00:00:00"/>
    <d v="2024-02-02T00:00:00"/>
    <x v="0"/>
    <x v="1"/>
    <x v="5"/>
    <s v="Durban"/>
    <s v="Africa&gt;South Africa&gt;Durban"/>
    <s v="Consumer"/>
    <x v="2"/>
    <x v="4"/>
    <x v="6"/>
    <x v="275"/>
    <n v="1206.2"/>
    <n v="1759.79"/>
    <n v="1759.79"/>
    <s v="High"/>
    <n v="0"/>
    <x v="5"/>
    <n v="6"/>
    <x v="275"/>
    <n v="7237.2000000000007"/>
    <n v="3321.5399999999991"/>
    <n v="0.31457730751964713"/>
    <d v="2023-01-07T00:00:00"/>
    <x v="13"/>
  </r>
  <r>
    <x v="275"/>
    <x v="207"/>
    <x v="207"/>
    <s v="Q3 -2024"/>
    <d v="2024-07-31T00:00:00"/>
    <d v="2024-07-31T00:00:00"/>
    <x v="17"/>
    <x v="2"/>
    <x v="4"/>
    <s v="New York"/>
    <s v="Americas&gt;USA&gt;New York"/>
    <s v="Education"/>
    <x v="4"/>
    <x v="9"/>
    <x v="1"/>
    <x v="276"/>
    <n v="798.97"/>
    <n v="1814.06"/>
    <n v="1814.06"/>
    <s v="High"/>
    <n v="0.122"/>
    <x v="157"/>
    <n v="16"/>
    <x v="276"/>
    <n v="12783.52"/>
    <n v="12700.39488"/>
    <n v="0.49836906691159061"/>
    <d v="2023-01-13T00:00:00"/>
    <x v="21"/>
  </r>
  <r>
    <x v="276"/>
    <x v="208"/>
    <x v="208"/>
    <s v="Q3 -2024"/>
    <d v="2024-09-07T00:00:00"/>
    <d v="2024-09-07T00:00:00"/>
    <x v="14"/>
    <x v="3"/>
    <x v="10"/>
    <s v="Marseille"/>
    <s v="Europe&gt;France&gt;Marseille"/>
    <s v="Non-Profit"/>
    <x v="3"/>
    <x v="3"/>
    <x v="1"/>
    <x v="277"/>
    <n v="229.96"/>
    <n v="564.26"/>
    <n v="564.26"/>
    <s v="Low"/>
    <n v="0.105"/>
    <x v="158"/>
    <n v="5"/>
    <x v="277"/>
    <n v="1149.8"/>
    <n v="1375.2635000000002"/>
    <n v="0.54464511486542821"/>
    <d v="2023-01-10T00:00:00"/>
    <x v="18"/>
  </r>
  <r>
    <x v="277"/>
    <x v="209"/>
    <x v="209"/>
    <s v="Q2 -2024"/>
    <d v="2024-04-09T00:00:00"/>
    <d v="2024-04-09T00:00:00"/>
    <x v="26"/>
    <x v="1"/>
    <x v="2"/>
    <s v="Lagos"/>
    <s v="Africa&gt;Nigeria&gt;Lagos"/>
    <s v="Non-Profit"/>
    <x v="3"/>
    <x v="4"/>
    <x v="2"/>
    <x v="278"/>
    <n v="395.07"/>
    <n v="970.27"/>
    <n v="970.27"/>
    <s v="Medium"/>
    <n v="0.123"/>
    <x v="66"/>
    <n v="38"/>
    <x v="278"/>
    <n v="15012.66"/>
    <n v="17322.55802"/>
    <n v="0.53571799049833657"/>
    <d v="2023-01-15T00:00:00"/>
    <x v="20"/>
  </r>
  <r>
    <x v="278"/>
    <x v="210"/>
    <x v="210"/>
    <s v="Q4 -2024"/>
    <d v="2024-11-08T00:00:00"/>
    <d v="2024-11-08T00:00:00"/>
    <x v="27"/>
    <x v="1"/>
    <x v="6"/>
    <s v="Nakuru"/>
    <s v="Africa&gt;Kenya&gt;Nakuru"/>
    <s v="Enterprise"/>
    <x v="4"/>
    <x v="8"/>
    <x v="6"/>
    <x v="279"/>
    <n v="803.28"/>
    <n v="1009"/>
    <n v="1009"/>
    <s v="Medium"/>
    <n v="0.11"/>
    <x v="159"/>
    <n v="4"/>
    <x v="279"/>
    <n v="3213.12"/>
    <n v="378.92000000000007"/>
    <n v="0.10548880302001093"/>
    <d v="2023-01-20T00:00:00"/>
    <x v="12"/>
  </r>
  <r>
    <x v="279"/>
    <x v="211"/>
    <x v="211"/>
    <s v="Q2 -2024"/>
    <d v="2024-06-14T00:00:00"/>
    <d v="2024-06-14T00:00:00"/>
    <x v="0"/>
    <x v="3"/>
    <x v="10"/>
    <s v="Marseille"/>
    <s v="Europe&gt;France&gt;Marseille"/>
    <s v="Small Business"/>
    <x v="2"/>
    <x v="13"/>
    <x v="3"/>
    <x v="280"/>
    <n v="1481.74"/>
    <n v="1848.97"/>
    <n v="1848.97"/>
    <s v="High"/>
    <n v="0.254"/>
    <x v="153"/>
    <n v="9"/>
    <x v="280"/>
    <n v="13335.66"/>
    <n v="-921.67541999999958"/>
    <n v="-7.4244930309072407E-2"/>
    <d v="2023-01-10T00:00:00"/>
    <x v="14"/>
  </r>
  <r>
    <x v="280"/>
    <x v="212"/>
    <x v="212"/>
    <s v="Q4 -2024"/>
    <d v="2024-12-19T00:00:00"/>
    <d v="2024-12-19T00:00:00"/>
    <x v="8"/>
    <x v="1"/>
    <x v="6"/>
    <s v="Kisumu"/>
    <s v="Africa&gt;Kenya&gt;Kisumu"/>
    <s v="Corporate"/>
    <x v="2"/>
    <x v="11"/>
    <x v="5"/>
    <x v="281"/>
    <n v="1195.98"/>
    <n v="1841.9"/>
    <n v="1841.9"/>
    <s v="High"/>
    <n v="5.5E-2"/>
    <x v="160"/>
    <n v="19"/>
    <x v="281"/>
    <n v="22723.62"/>
    <n v="10347.694500000001"/>
    <n v="0.31289032977506842"/>
    <d v="2023-01-20T00:00:00"/>
    <x v="16"/>
  </r>
  <r>
    <x v="281"/>
    <x v="213"/>
    <x v="213"/>
    <s v="Q1 -2024"/>
    <d v="2024-02-01T00:00:00"/>
    <d v="2024-02-01T00:00:00"/>
    <x v="27"/>
    <x v="2"/>
    <x v="4"/>
    <s v="Austin"/>
    <s v="Americas&gt;USA&gt;Austin"/>
    <s v="Consumer"/>
    <x v="1"/>
    <x v="7"/>
    <x v="1"/>
    <x v="282"/>
    <n v="714.43"/>
    <n v="1595.52"/>
    <n v="1595.52"/>
    <s v="Medium"/>
    <n v="0.19400000000000001"/>
    <x v="2"/>
    <n v="14"/>
    <x v="282"/>
    <n v="10002.019999999999"/>
    <n v="8001.8276800000003"/>
    <n v="0.44445097638151093"/>
    <d v="2023-01-13T00:00:00"/>
    <x v="13"/>
  </r>
  <r>
    <x v="282"/>
    <x v="214"/>
    <x v="214"/>
    <s v="Q2 -2024"/>
    <d v="2024-04-18T00:00:00"/>
    <d v="2024-04-18T00:00:00"/>
    <x v="25"/>
    <x v="3"/>
    <x v="10"/>
    <s v="Lyon"/>
    <s v="Europe&gt;France&gt;Lyon"/>
    <s v="Consumer"/>
    <x v="2"/>
    <x v="1"/>
    <x v="1"/>
    <x v="283"/>
    <n v="1288.8499999999999"/>
    <n v="2751.84"/>
    <n v="2751.84"/>
    <s v="High"/>
    <n v="0.158"/>
    <x v="161"/>
    <n v="7"/>
    <x v="283"/>
    <n v="9021.9499999999989"/>
    <n v="7197.3949600000014"/>
    <n v="0.44375373837538756"/>
    <d v="2023-01-10T00:00:00"/>
    <x v="20"/>
  </r>
  <r>
    <x v="283"/>
    <x v="215"/>
    <x v="215"/>
    <s v="Q4 -2024"/>
    <d v="2024-11-04T00:00:00"/>
    <d v="2024-11-04T00:00:00"/>
    <x v="1"/>
    <x v="1"/>
    <x v="6"/>
    <s v="Nairobi"/>
    <s v="Africa&gt;Kenya&gt;Nairobi"/>
    <s v="Corporate"/>
    <x v="1"/>
    <x v="8"/>
    <x v="1"/>
    <x v="284"/>
    <n v="805.81"/>
    <n v="1823.04"/>
    <n v="1823.04"/>
    <s v="High"/>
    <n v="0"/>
    <x v="5"/>
    <n v="11"/>
    <x v="284"/>
    <n v="8863.91"/>
    <n v="11189.529999999999"/>
    <n v="0.55798556257679477"/>
    <d v="2023-01-20T00:00:00"/>
    <x v="12"/>
  </r>
  <r>
    <x v="284"/>
    <x v="175"/>
    <x v="175"/>
    <s v="Q4 -2024"/>
    <d v="2025-01-14T00:00:00"/>
    <d v="2025-01-14T00:00:00"/>
    <x v="22"/>
    <x v="0"/>
    <x v="1"/>
    <s v="Bengaluru"/>
    <s v="Asia&gt;India&gt;Bengaluru"/>
    <s v="Small Business"/>
    <x v="4"/>
    <x v="1"/>
    <x v="3"/>
    <x v="285"/>
    <n v="586.07000000000005"/>
    <n v="845.97"/>
    <n v="845.97"/>
    <s v="Medium"/>
    <n v="0.14699999999999999"/>
    <x v="22"/>
    <n v="4"/>
    <x v="285"/>
    <n v="2344.2800000000002"/>
    <n v="542.16963999999962"/>
    <n v="0.18783270370862928"/>
    <d v="2023-01-29T00:00:00"/>
    <x v="16"/>
  </r>
  <r>
    <x v="285"/>
    <x v="216"/>
    <x v="216"/>
    <s v="Q2 -2024"/>
    <d v="2024-06-30T00:00:00"/>
    <d v="2024-06-30T00:00:00"/>
    <x v="2"/>
    <x v="1"/>
    <x v="6"/>
    <s v="Kisumu"/>
    <s v="Africa&gt;Kenya&gt;Kisumu"/>
    <s v="Education"/>
    <x v="3"/>
    <x v="8"/>
    <x v="6"/>
    <x v="286"/>
    <n v="1323.55"/>
    <n v="3230.35"/>
    <n v="3230.35"/>
    <s v="High"/>
    <n v="2.1999999999999999E-2"/>
    <x v="162"/>
    <n v="26"/>
    <x v="286"/>
    <n v="34412.299999999996"/>
    <n v="47729.039799999991"/>
    <n v="0.58105991351263542"/>
    <d v="2023-01-20T00:00:00"/>
    <x v="15"/>
  </r>
  <r>
    <x v="286"/>
    <x v="199"/>
    <x v="199"/>
    <s v="Q1 -2024"/>
    <d v="2024-03-26T00:00:00"/>
    <d v="2024-03-26T00:00:00"/>
    <x v="3"/>
    <x v="0"/>
    <x v="7"/>
    <s v="Shenzhen"/>
    <s v="Asia&gt;China&gt;Shenzhen"/>
    <s v="Enterprise"/>
    <x v="2"/>
    <x v="4"/>
    <x v="3"/>
    <x v="287"/>
    <n v="1029.67"/>
    <n v="1118.43"/>
    <n v="1118.43"/>
    <s v="Medium"/>
    <n v="0.27200000000000002"/>
    <x v="163"/>
    <n v="9"/>
    <x v="287"/>
    <n v="9267.0300000000007"/>
    <n v="-1939.0766400000002"/>
    <n v="-0.26461367106736061"/>
    <d v="2023-01-12T00:00:00"/>
    <x v="22"/>
  </r>
  <r>
    <x v="287"/>
    <x v="217"/>
    <x v="217"/>
    <s v="Q2 -2024"/>
    <d v="2024-06-06T00:00:00"/>
    <d v="2024-06-06T00:00:00"/>
    <x v="20"/>
    <x v="0"/>
    <x v="0"/>
    <s v="Nagoya"/>
    <s v="Asia&gt;Japan&gt;Nagoya"/>
    <s v="Corporate"/>
    <x v="1"/>
    <x v="14"/>
    <x v="3"/>
    <x v="288"/>
    <n v="673.88"/>
    <n v="1228.01"/>
    <n v="1228.01"/>
    <s v="Medium"/>
    <n v="0.105"/>
    <x v="158"/>
    <n v="13"/>
    <x v="288"/>
    <n v="8760.44"/>
    <n v="5527.4563499999986"/>
    <n v="0.38686285332689996"/>
    <d v="2023-03-03T00:00:00"/>
    <x v="20"/>
  </r>
  <r>
    <x v="288"/>
    <x v="218"/>
    <x v="218"/>
    <s v="Q4 -2024"/>
    <d v="2024-11-20T00:00:00"/>
    <d v="2024-11-20T00:00:00"/>
    <x v="28"/>
    <x v="0"/>
    <x v="0"/>
    <s v="Nagoya"/>
    <s v="Asia&gt;Japan&gt;Nagoya"/>
    <s v="Non-Profit"/>
    <x v="2"/>
    <x v="7"/>
    <x v="3"/>
    <x v="289"/>
    <n v="317.25"/>
    <n v="758.92"/>
    <n v="758.92"/>
    <s v="Low"/>
    <n v="5.2999999999999999E-2"/>
    <x v="126"/>
    <n v="9"/>
    <x v="289"/>
    <n v="2855.25"/>
    <n v="3613.0251599999992"/>
    <n v="0.5585762928489888"/>
    <d v="2023-03-03T00:00:00"/>
    <x v="18"/>
  </r>
  <r>
    <x v="289"/>
    <x v="219"/>
    <x v="219"/>
    <s v="Q3 -2024"/>
    <d v="2024-08-26T00:00:00"/>
    <d v="2024-08-26T00:00:00"/>
    <x v="5"/>
    <x v="2"/>
    <x v="4"/>
    <s v="Chicago"/>
    <s v="Americas&gt;USA&gt;Chicago"/>
    <s v="Corporate"/>
    <x v="1"/>
    <x v="11"/>
    <x v="4"/>
    <x v="129"/>
    <n v="1291.7"/>
    <n v="2657.84"/>
    <n v="2657.84"/>
    <s v="High"/>
    <n v="8.6999999999999994E-2"/>
    <x v="138"/>
    <n v="21"/>
    <x v="290"/>
    <n v="27125.7"/>
    <n v="23833.066320000002"/>
    <n v="0.46769315745083367"/>
    <d v="2023-01-13T00:00:00"/>
    <x v="18"/>
  </r>
  <r>
    <x v="290"/>
    <x v="163"/>
    <x v="163"/>
    <s v="Q1 -2024"/>
    <d v="2024-01-02T00:00:00"/>
    <d v="2024-01-02T00:00:00"/>
    <x v="27"/>
    <x v="2"/>
    <x v="3"/>
    <s v="Vancouver"/>
    <s v="Americas&gt;Canada&gt;Vancouver"/>
    <s v="Education"/>
    <x v="3"/>
    <x v="0"/>
    <x v="4"/>
    <x v="290"/>
    <n v="444.41"/>
    <n v="754.24"/>
    <n v="754.24"/>
    <s v="Low"/>
    <n v="0.20699999999999999"/>
    <x v="104"/>
    <n v="32"/>
    <x v="291"/>
    <n v="14221.12"/>
    <n v="4918.4742400000014"/>
    <n v="0.25697902360546598"/>
    <d v="2023-01-02T00:00:00"/>
    <x v="13"/>
  </r>
  <r>
    <x v="291"/>
    <x v="220"/>
    <x v="220"/>
    <s v="Q1 -2024"/>
    <d v="2024-04-03T00:00:00"/>
    <d v="2024-04-03T00:00:00"/>
    <x v="15"/>
    <x v="3"/>
    <x v="9"/>
    <s v="Frankfurt"/>
    <s v="Europe&gt;Germany&gt;Frankfurt"/>
    <s v="Corporate"/>
    <x v="3"/>
    <x v="8"/>
    <x v="1"/>
    <x v="291"/>
    <n v="738.16"/>
    <n v="956.49"/>
    <n v="956.49"/>
    <s v="Medium"/>
    <n v="0.152"/>
    <x v="164"/>
    <n v="5"/>
    <x v="292"/>
    <n v="3690.7999999999997"/>
    <n v="364.71759999999995"/>
    <n v="8.9931208780847108E-2"/>
    <d v="2023-01-22T00:00:00"/>
    <x v="22"/>
  </r>
  <r>
    <x v="292"/>
    <x v="221"/>
    <x v="221"/>
    <s v="Q4 -2024"/>
    <d v="2024-11-24T00:00:00"/>
    <d v="2024-11-24T00:00:00"/>
    <x v="12"/>
    <x v="0"/>
    <x v="7"/>
    <s v="Shenzhen"/>
    <s v="Asia&gt;China&gt;Shenzhen"/>
    <s v="Small Business"/>
    <x v="2"/>
    <x v="1"/>
    <x v="2"/>
    <x v="292"/>
    <n v="811.05"/>
    <n v="1217.71"/>
    <n v="1217.71"/>
    <s v="Medium"/>
    <n v="7.1999999999999995E-2"/>
    <x v="107"/>
    <n v="5"/>
    <x v="293"/>
    <n v="4055.25"/>
    <n v="1594.9244000000008"/>
    <n v="0.28227879125288602"/>
    <d v="2023-01-12T00:00:00"/>
    <x v="12"/>
  </r>
  <r>
    <x v="293"/>
    <x v="222"/>
    <x v="222"/>
    <s v="Q4 -2024"/>
    <d v="2024-10-22T00:00:00"/>
    <d v="2024-10-29T00:00:00"/>
    <x v="1"/>
    <x v="1"/>
    <x v="2"/>
    <s v="Port Harcourt"/>
    <s v="Africa&gt;Nigeria&gt;Port Harcourt"/>
    <s v="Education"/>
    <x v="2"/>
    <x v="5"/>
    <x v="1"/>
    <x v="293"/>
    <n v="1084.3900000000001"/>
    <n v="759.33"/>
    <n v="759.33"/>
    <s v="Low"/>
    <n v="0.23699999999999999"/>
    <x v="165"/>
    <n v="31"/>
    <x v="294"/>
    <n v="33616.090000000004"/>
    <n v="-15655.657510000005"/>
    <n v="-0.87167486187856302"/>
    <d v="2023-01-15T00:00:00"/>
    <x v="12"/>
  </r>
  <r>
    <x v="294"/>
    <x v="223"/>
    <x v="223"/>
    <s v="Q2 -2024"/>
    <d v="2024-04-27T00:00:00"/>
    <d v="2024-04-27T00:00:00"/>
    <x v="21"/>
    <x v="1"/>
    <x v="6"/>
    <s v="Nakuru"/>
    <s v="Africa&gt;Kenya&gt;Nakuru"/>
    <s v="Enterprise"/>
    <x v="2"/>
    <x v="6"/>
    <x v="1"/>
    <x v="294"/>
    <n v="401.3"/>
    <n v="826.47"/>
    <n v="826.47"/>
    <s v="Low"/>
    <n v="0.22500000000000001"/>
    <x v="146"/>
    <n v="13"/>
    <x v="295"/>
    <n v="5216.9000000000005"/>
    <n v="3109.7852499999999"/>
    <n v="0.37347217489696755"/>
    <d v="2023-01-20T00:00:00"/>
    <x v="20"/>
  </r>
  <r>
    <x v="295"/>
    <x v="181"/>
    <x v="181"/>
    <s v="Q1 -2024"/>
    <d v="2024-02-05T00:00:00"/>
    <d v="2024-02-05T00:00:00"/>
    <x v="7"/>
    <x v="3"/>
    <x v="9"/>
    <s v="Frankfurt"/>
    <s v="Europe&gt;Germany&gt;Frankfurt"/>
    <s v="Education"/>
    <x v="3"/>
    <x v="12"/>
    <x v="4"/>
    <x v="295"/>
    <n v="1017.93"/>
    <n v="1529.14"/>
    <n v="1529.14"/>
    <s v="Medium"/>
    <n v="0.155"/>
    <x v="105"/>
    <n v="12"/>
    <x v="296"/>
    <n v="12215.16"/>
    <n v="3290.3196000000007"/>
    <n v="0.21220366508366503"/>
    <d v="2023-01-22T00:00:00"/>
    <x v="4"/>
  </r>
  <r>
    <x v="296"/>
    <x v="224"/>
    <x v="224"/>
    <s v="Q4 -2024"/>
    <d v="2024-11-28T00:00:00"/>
    <d v="2024-11-28T00:00:00"/>
    <x v="21"/>
    <x v="2"/>
    <x v="3"/>
    <s v="Unknown"/>
    <s v="Americas&gt;Canada&gt;Unknown"/>
    <s v="Consumer"/>
    <x v="1"/>
    <x v="0"/>
    <x v="1"/>
    <x v="296"/>
    <n v="1008.16"/>
    <n v="2077.5"/>
    <n v="2077.5"/>
    <s v="High"/>
    <n v="7.3999999999999996E-2"/>
    <x v="87"/>
    <n v="15"/>
    <x v="297"/>
    <n v="15122.4"/>
    <n v="13734.075000000003"/>
    <n v="0.47594430712691005"/>
    <d v="2023-01-02T00:00:00"/>
    <x v="16"/>
  </r>
  <r>
    <x v="297"/>
    <x v="225"/>
    <x v="225"/>
    <s v="Q2 -2024"/>
    <d v="2024-05-21T00:00:00"/>
    <d v="2024-05-21T00:00:00"/>
    <x v="10"/>
    <x v="3"/>
    <x v="10"/>
    <s v="Marseille"/>
    <s v="Europe&gt;France&gt;Marseille"/>
    <s v="Non-Profit"/>
    <x v="4"/>
    <x v="6"/>
    <x v="1"/>
    <x v="297"/>
    <n v="663.66"/>
    <n v="824.26"/>
    <n v="824.26"/>
    <s v="Low"/>
    <n v="0.23899999999999999"/>
    <x v="166"/>
    <n v="11"/>
    <x v="298"/>
    <n v="7300.2599999999993"/>
    <n v="-400.379539999999"/>
    <n v="-5.8027025587048933E-2"/>
    <d v="2023-01-10T00:00:00"/>
    <x v="14"/>
  </r>
  <r>
    <x v="298"/>
    <x v="226"/>
    <x v="226"/>
    <s v="Q4 -2024"/>
    <d v="2024-11-12T00:00:00"/>
    <d v="2024-11-12T00:00:00"/>
    <x v="21"/>
    <x v="3"/>
    <x v="9"/>
    <s v="Frankfurt"/>
    <s v="Europe&gt;Germany&gt;Frankfurt"/>
    <s v="Consumer"/>
    <x v="2"/>
    <x v="12"/>
    <x v="1"/>
    <x v="298"/>
    <n v="599.84"/>
    <n v="1330.85"/>
    <n v="1330.85"/>
    <s v="Medium"/>
    <n v="0.115"/>
    <x v="64"/>
    <n v="11"/>
    <x v="299"/>
    <n v="6598.2400000000007"/>
    <n v="6357.5847499999973"/>
    <n v="0.49071246892252063"/>
    <d v="2023-01-22T00:00:00"/>
    <x v="12"/>
  </r>
  <r>
    <x v="299"/>
    <x v="227"/>
    <x v="227"/>
    <s v="Q4 -2024"/>
    <d v="2024-12-08T00:00:00"/>
    <d v="2024-12-08T00:00:00"/>
    <x v="27"/>
    <x v="3"/>
    <x v="10"/>
    <s v="Lyon"/>
    <s v="Europe&gt;France&gt;Lyon"/>
    <s v="Enterprise"/>
    <x v="0"/>
    <x v="7"/>
    <x v="2"/>
    <x v="299"/>
    <n v="257.44"/>
    <n v="290.33"/>
    <n v="290.33"/>
    <s v="Low"/>
    <n v="9.1999999999999998E-2"/>
    <x v="167"/>
    <n v="23"/>
    <x v="300"/>
    <n v="5921.12"/>
    <n v="142.1317199999994"/>
    <n v="2.3441500792581216E-2"/>
    <d v="2023-01-10T00:00:00"/>
    <x v="16"/>
  </r>
  <r>
    <x v="300"/>
    <x v="228"/>
    <x v="228"/>
    <s v="Q2 -2024"/>
    <d v="2024-07-06T00:00:00"/>
    <d v="2024-07-06T00:00:00"/>
    <x v="16"/>
    <x v="2"/>
    <x v="3"/>
    <s v="Toronto"/>
    <s v="Americas&gt;Canada&gt;Toronto"/>
    <s v="Enterprise"/>
    <x v="1"/>
    <x v="11"/>
    <x v="1"/>
    <x v="300"/>
    <n v="817.23"/>
    <n v="1467.17"/>
    <n v="1467.17"/>
    <s v="Medium"/>
    <n v="0.245"/>
    <x v="168"/>
    <n v="9"/>
    <x v="301"/>
    <n v="7355.07"/>
    <n v="2614.3501500000002"/>
    <n v="0.26223693160328893"/>
    <d v="2023-01-02T00:00:00"/>
    <x v="15"/>
  </r>
  <r>
    <x v="301"/>
    <x v="229"/>
    <x v="229"/>
    <s v="Q2 -2024"/>
    <d v="2024-06-02T00:00:00"/>
    <d v="2024-06-02T00:00:00"/>
    <x v="4"/>
    <x v="2"/>
    <x v="3"/>
    <s v="Vancouver"/>
    <s v="Americas&gt;Canada&gt;Vancouver"/>
    <s v="Enterprise"/>
    <x v="4"/>
    <x v="4"/>
    <x v="2"/>
    <x v="301"/>
    <n v="675.43"/>
    <n v="996.36"/>
    <n v="996.36"/>
    <s v="Medium"/>
    <n v="0.182"/>
    <x v="169"/>
    <n v="22"/>
    <x v="302"/>
    <n v="14859.46"/>
    <n v="3071.0345600000037"/>
    <n v="0.17127439233332575"/>
    <d v="2023-01-02T00:00:00"/>
    <x v="14"/>
  </r>
  <r>
    <x v="302"/>
    <x v="230"/>
    <x v="230"/>
    <s v="Q4 -2024"/>
    <d v="2025-01-14T00:00:00"/>
    <d v="2025-01-14T00:00:00"/>
    <x v="12"/>
    <x v="0"/>
    <x v="1"/>
    <s v="Delhi"/>
    <s v="Asia&gt;India&gt;Delhi"/>
    <s v="Small Business"/>
    <x v="0"/>
    <x v="8"/>
    <x v="1"/>
    <x v="302"/>
    <n v="1361.34"/>
    <n v="1737.9"/>
    <n v="1737.9"/>
    <s v="High"/>
    <n v="7.6999999999999999E-2"/>
    <x v="170"/>
    <n v="14"/>
    <x v="303"/>
    <n v="19058.759999999998"/>
    <n v="3398.3838000000032"/>
    <n v="0.15132751654731813"/>
    <d v="2023-01-29T00:00:00"/>
    <x v="16"/>
  </r>
  <r>
    <x v="303"/>
    <x v="231"/>
    <x v="231"/>
    <s v="Q3 -2024"/>
    <d v="2024-08-07T00:00:00"/>
    <d v="2024-08-07T00:00:00"/>
    <x v="23"/>
    <x v="3"/>
    <x v="10"/>
    <s v="Marseille"/>
    <s v="Europe&gt;France&gt;Marseille"/>
    <s v="Corporate"/>
    <x v="0"/>
    <x v="3"/>
    <x v="3"/>
    <x v="303"/>
    <n v="941.35"/>
    <n v="899.83"/>
    <n v="899.83"/>
    <s v="Medium"/>
    <n v="5.8000000000000003E-2"/>
    <x v="114"/>
    <n v="18"/>
    <x v="304"/>
    <n v="16944.3"/>
    <n v="-1686.7825199999988"/>
    <n v="-0.11055419220139073"/>
    <d v="2023-01-10T00:00:00"/>
    <x v="21"/>
  </r>
  <r>
    <x v="304"/>
    <x v="232"/>
    <x v="232"/>
    <s v="Q2 -2024"/>
    <d v="2024-05-26T00:00:00"/>
    <d v="2024-05-26T00:00:00"/>
    <x v="12"/>
    <x v="3"/>
    <x v="9"/>
    <s v="Berlin"/>
    <s v="Europe&gt;Germany&gt;Berlin"/>
    <s v="Non-Profit"/>
    <x v="0"/>
    <x v="12"/>
    <x v="6"/>
    <x v="304"/>
    <n v="930.71"/>
    <n v="1625.42"/>
    <n v="1625.42"/>
    <s v="Medium"/>
    <n v="0.13800000000000001"/>
    <x v="24"/>
    <n v="7"/>
    <x v="305"/>
    <n v="6514.97"/>
    <n v="3292.8142799999996"/>
    <n v="0.33573477821231196"/>
    <d v="2023-01-22T00:00:00"/>
    <x v="19"/>
  </r>
  <r>
    <x v="305"/>
    <x v="211"/>
    <x v="211"/>
    <s v="Q2 -2024"/>
    <d v="2024-06-06T00:00:00"/>
    <d v="2024-06-06T00:00:00"/>
    <x v="6"/>
    <x v="2"/>
    <x v="11"/>
    <s v="Rio de Janeiro"/>
    <s v="Americas&gt;Brazil&gt;Rio de Janeiro"/>
    <s v="Non-Profit"/>
    <x v="2"/>
    <x v="9"/>
    <x v="6"/>
    <x v="305"/>
    <n v="51.13"/>
    <n v="57.53"/>
    <n v="57.53"/>
    <s v="Low"/>
    <n v="4.4999999999999998E-2"/>
    <x v="71"/>
    <n v="16"/>
    <x v="306"/>
    <n v="818.08"/>
    <n v="60.978399999999965"/>
    <n v="6.9367859973808302E-2"/>
    <d v="2023-01-29T00:00:00"/>
    <x v="19"/>
  </r>
  <r>
    <x v="306"/>
    <x v="233"/>
    <x v="233"/>
    <s v="Q1 -2024"/>
    <d v="2024-03-16T00:00:00"/>
    <d v="2024-03-16T00:00:00"/>
    <x v="30"/>
    <x v="1"/>
    <x v="5"/>
    <s v="Johannesburg"/>
    <s v="Africa&gt;South Africa&gt;Johannesburg"/>
    <s v="Enterprise"/>
    <x v="1"/>
    <x v="8"/>
    <x v="3"/>
    <x v="306"/>
    <n v="441.08"/>
    <n v="1054.29"/>
    <n v="1054.29"/>
    <s v="Medium"/>
    <n v="0.23699999999999999"/>
    <x v="165"/>
    <n v="6"/>
    <x v="307"/>
    <n v="2646.48"/>
    <n v="2180.0596199999995"/>
    <n v="0.45168169985932899"/>
    <d v="2023-01-07T00:00:00"/>
    <x v="22"/>
  </r>
  <r>
    <x v="307"/>
    <x v="184"/>
    <x v="184"/>
    <s v="Q3 -2024"/>
    <d v="2024-09-08T00:00:00"/>
    <d v="2024-09-08T00:00:00"/>
    <x v="2"/>
    <x v="1"/>
    <x v="2"/>
    <s v="Lagos"/>
    <s v="Africa&gt;Nigeria&gt;Lagos"/>
    <s v="Small Business"/>
    <x v="3"/>
    <x v="4"/>
    <x v="1"/>
    <x v="307"/>
    <n v="197.63"/>
    <n v="325.79000000000002"/>
    <n v="325.79000000000002"/>
    <s v="Low"/>
    <n v="0.11600000000000001"/>
    <x v="171"/>
    <n v="10"/>
    <x v="308"/>
    <n v="1976.3"/>
    <n v="903.68360000000007"/>
    <n v="0.31378081458519419"/>
    <d v="2023-01-15T00:00:00"/>
    <x v="18"/>
  </r>
  <r>
    <x v="308"/>
    <x v="234"/>
    <x v="234"/>
    <s v="Q2 -2024"/>
    <d v="2024-06-24T00:00:00"/>
    <d v="2024-06-24T00:00:00"/>
    <x v="19"/>
    <x v="1"/>
    <x v="5"/>
    <s v="Durban"/>
    <s v="Africa&gt;South Africa&gt;Durban"/>
    <s v="Education"/>
    <x v="1"/>
    <x v="7"/>
    <x v="3"/>
    <x v="308"/>
    <n v="597.85"/>
    <n v="741.92"/>
    <n v="741.92"/>
    <s v="Low"/>
    <n v="3.1E-2"/>
    <x v="172"/>
    <n v="7"/>
    <x v="309"/>
    <n v="4184.95"/>
    <n v="847.49335999999948"/>
    <n v="0.16840594108544515"/>
    <d v="2023-01-07T00:00:00"/>
    <x v="15"/>
  </r>
  <r>
    <x v="309"/>
    <x v="235"/>
    <x v="235"/>
    <s v="Q3 -2024"/>
    <d v="2024-08-17T00:00:00"/>
    <d v="2024-08-17T00:00:00"/>
    <x v="4"/>
    <x v="2"/>
    <x v="4"/>
    <s v="Austin"/>
    <s v="Americas&gt;USA&gt;Austin"/>
    <s v="Consumer"/>
    <x v="0"/>
    <x v="6"/>
    <x v="3"/>
    <x v="309"/>
    <n v="352.79"/>
    <n v="754.22"/>
    <n v="754.22"/>
    <s v="Low"/>
    <n v="0.113"/>
    <x v="25"/>
    <n v="7"/>
    <x v="310"/>
    <n v="2469.5300000000002"/>
    <n v="2213.4219799999996"/>
    <n v="0.47265528014233443"/>
    <d v="2023-01-13T00:00:00"/>
    <x v="21"/>
  </r>
  <r>
    <x v="310"/>
    <x v="236"/>
    <x v="236"/>
    <s v="Q1 -2024"/>
    <d v="2024-02-20T00:00:00"/>
    <d v="2024-02-20T00:00:00"/>
    <x v="27"/>
    <x v="2"/>
    <x v="4"/>
    <s v="New York"/>
    <s v="Americas&gt;USA&gt;New York"/>
    <s v="Enterprise"/>
    <x v="2"/>
    <x v="14"/>
    <x v="6"/>
    <x v="310"/>
    <n v="1407.05"/>
    <n v="2858.93"/>
    <n v="2858.93"/>
    <s v="High"/>
    <n v="0"/>
    <x v="5"/>
    <n v="12"/>
    <x v="311"/>
    <n v="16884.599999999999"/>
    <n v="17422.559999999998"/>
    <n v="0.50784034586366222"/>
    <d v="2023-01-13T00:00:00"/>
    <x v="22"/>
  </r>
  <r>
    <x v="311"/>
    <x v="237"/>
    <x v="237"/>
    <s v="Q3 -2024"/>
    <d v="2024-10-18T00:00:00"/>
    <d v="2024-10-18T00:00:00"/>
    <x v="12"/>
    <x v="2"/>
    <x v="3"/>
    <s v="Vancouver"/>
    <s v="Americas&gt;Canada&gt;Vancouver"/>
    <s v="Small Business"/>
    <x v="2"/>
    <x v="13"/>
    <x v="5"/>
    <x v="311"/>
    <n v="1297"/>
    <n v="2411.52"/>
    <n v="2411.52"/>
    <s v="High"/>
    <n v="2.1000000000000001E-2"/>
    <x v="173"/>
    <n v="18"/>
    <x v="312"/>
    <n v="23346"/>
    <n v="19149.805439999996"/>
    <n v="0.45062813239385913"/>
    <d v="2023-01-02T00:00:00"/>
    <x v="23"/>
  </r>
  <r>
    <x v="312"/>
    <x v="188"/>
    <x v="188"/>
    <s v="Q2 -2024"/>
    <d v="2024-07-21T00:00:00"/>
    <d v="2024-07-21T00:00:00"/>
    <x v="16"/>
    <x v="1"/>
    <x v="6"/>
    <s v="Kisumu"/>
    <s v="Africa&gt;Kenya&gt;Kisumu"/>
    <s v="Small Business"/>
    <x v="0"/>
    <x v="4"/>
    <x v="4"/>
    <x v="312"/>
    <n v="753.43"/>
    <n v="1787.2"/>
    <n v="1787.2"/>
    <s v="High"/>
    <n v="7.2999999999999995E-2"/>
    <x v="174"/>
    <n v="9"/>
    <x v="313"/>
    <n v="6780.87"/>
    <n v="8129.7396000000017"/>
    <n v="0.54523187301476939"/>
    <d v="2023-01-20T00:00:00"/>
    <x v="15"/>
  </r>
  <r>
    <x v="313"/>
    <x v="238"/>
    <x v="238"/>
    <s v="Q3 -2024"/>
    <d v="2024-10-01T00:00:00"/>
    <d v="2024-10-01T00:00:00"/>
    <x v="25"/>
    <x v="2"/>
    <x v="11"/>
    <s v="São Paulo"/>
    <s v="Americas&gt;Brazil&gt;São Paulo"/>
    <s v="Non-Profit"/>
    <x v="2"/>
    <x v="4"/>
    <x v="3"/>
    <x v="313"/>
    <n v="1378.8"/>
    <n v="1952.04"/>
    <n v="1952.04"/>
    <s v="High"/>
    <n v="0.159"/>
    <x v="30"/>
    <n v="19"/>
    <x v="314"/>
    <n v="26197.200000000001"/>
    <n v="4994.4471599999997"/>
    <n v="0.16012130216723058"/>
    <d v="2023-01-29T00:00:00"/>
    <x v="18"/>
  </r>
  <r>
    <x v="314"/>
    <x v="239"/>
    <x v="239"/>
    <s v="Q1 -2024"/>
    <d v="2024-03-26T00:00:00"/>
    <d v="2024-03-26T00:00:00"/>
    <x v="10"/>
    <x v="0"/>
    <x v="1"/>
    <s v="Bengaluru"/>
    <s v="Asia&gt;India&gt;Bengaluru"/>
    <s v="Education"/>
    <x v="3"/>
    <x v="10"/>
    <x v="5"/>
    <x v="314"/>
    <n v="382.21"/>
    <n v="571.89"/>
    <n v="571.89"/>
    <s v="Low"/>
    <n v="0.14799999999999999"/>
    <x v="94"/>
    <n v="26"/>
    <x v="315"/>
    <n v="9937.4599999999991"/>
    <n v="2731.0472800000007"/>
    <n v="0.2155776698578809"/>
    <d v="2023-01-29T00:00:00"/>
    <x v="22"/>
  </r>
  <r>
    <x v="315"/>
    <x v="240"/>
    <x v="240"/>
    <s v="Q3 -2024"/>
    <d v="2024-09-25T00:00:00"/>
    <d v="2024-09-25T00:00:00"/>
    <x v="14"/>
    <x v="2"/>
    <x v="11"/>
    <s v="Rio de Janeiro"/>
    <s v="Americas&gt;Brazil&gt;Rio de Janeiro"/>
    <s v="Non-Profit"/>
    <x v="2"/>
    <x v="15"/>
    <x v="0"/>
    <x v="315"/>
    <n v="1394.65"/>
    <n v="3144.1"/>
    <n v="3144.1"/>
    <s v="High"/>
    <n v="0.13400000000000001"/>
    <x v="32"/>
    <n v="13"/>
    <x v="316"/>
    <n v="18130.45"/>
    <n v="17265.827799999995"/>
    <n v="0.4877865378263021"/>
    <d v="2023-01-29T00:00:00"/>
    <x v="21"/>
  </r>
  <r>
    <x v="316"/>
    <x v="188"/>
    <x v="188"/>
    <s v="Q2 -2024"/>
    <d v="2024-06-28T00:00:00"/>
    <d v="2024-07-05T00:00:00"/>
    <x v="2"/>
    <x v="2"/>
    <x v="11"/>
    <s v="Rio de Janeiro"/>
    <s v="Americas&gt;Brazil&gt;Rio de Janeiro"/>
    <s v="Small Business"/>
    <x v="3"/>
    <x v="11"/>
    <x v="0"/>
    <x v="316"/>
    <n v="1112.98"/>
    <n v="2095.73"/>
    <n v="2095.73"/>
    <s v="High"/>
    <n v="7.1999999999999995E-2"/>
    <x v="107"/>
    <n v="17"/>
    <x v="317"/>
    <n v="18920.66"/>
    <n v="14141.576480000007"/>
    <n v="0.42772594916724777"/>
    <d v="2023-01-29T00:00:00"/>
    <x v="15"/>
  </r>
  <r>
    <x v="317"/>
    <x v="241"/>
    <x v="241"/>
    <s v="Q2 -2024"/>
    <d v="2024-06-24T00:00:00"/>
    <d v="2024-06-24T00:00:00"/>
    <x v="22"/>
    <x v="0"/>
    <x v="1"/>
    <s v="Bengaluru"/>
    <s v="Asia&gt;India&gt;Bengaluru"/>
    <s v="Small Business"/>
    <x v="3"/>
    <x v="7"/>
    <x v="6"/>
    <x v="317"/>
    <n v="1253.25"/>
    <n v="3087.13"/>
    <n v="3087.13"/>
    <s v="High"/>
    <n v="7.1999999999999995E-2"/>
    <x v="107"/>
    <n v="11"/>
    <x v="318"/>
    <n v="13785.75"/>
    <n v="17727.673040000001"/>
    <n v="0.562543555408064"/>
    <d v="2023-01-29T00:00:00"/>
    <x v="14"/>
  </r>
  <r>
    <x v="318"/>
    <x v="242"/>
    <x v="242"/>
    <s v="Q4 -2024"/>
    <d v="2024-11-22T00:00:00"/>
    <d v="2024-11-22T00:00:00"/>
    <x v="19"/>
    <x v="2"/>
    <x v="3"/>
    <s v="Toronto"/>
    <s v="Americas&gt;Canada&gt;Toronto"/>
    <s v="Non-Profit"/>
    <x v="1"/>
    <x v="6"/>
    <x v="0"/>
    <x v="318"/>
    <n v="1454.11"/>
    <n v="2629.75"/>
    <n v="2629.75"/>
    <s v="High"/>
    <n v="0.29199999999999998"/>
    <x v="59"/>
    <n v="8"/>
    <x v="319"/>
    <n v="11632.88"/>
    <n v="3262.0239999999994"/>
    <n v="0.21900268709351867"/>
    <d v="2023-01-02T00:00:00"/>
    <x v="16"/>
  </r>
  <r>
    <x v="319"/>
    <x v="243"/>
    <x v="243"/>
    <s v="Q3 -2024"/>
    <d v="2024-07-12T00:00:00"/>
    <d v="2024-07-12T00:00:00"/>
    <x v="10"/>
    <x v="0"/>
    <x v="7"/>
    <s v="Shanghai"/>
    <s v="Asia&gt;China&gt;Shanghai"/>
    <s v="Small Business"/>
    <x v="0"/>
    <x v="6"/>
    <x v="0"/>
    <x v="319"/>
    <n v="748.39"/>
    <n v="979.42"/>
    <n v="979.42"/>
    <s v="Medium"/>
    <n v="0"/>
    <x v="5"/>
    <n v="23"/>
    <x v="320"/>
    <n v="17212.97"/>
    <n v="5313.6899999999987"/>
    <n v="0.23588450307324738"/>
    <d v="2023-01-12T00:00:00"/>
    <x v="15"/>
  </r>
  <r>
    <x v="320"/>
    <x v="244"/>
    <x v="244"/>
    <s v="Q1 -2024"/>
    <d v="2024-03-06T00:00:00"/>
    <d v="2024-03-06T00:00:00"/>
    <x v="19"/>
    <x v="0"/>
    <x v="7"/>
    <s v="Beijing"/>
    <s v="Asia&gt;China&gt;Beijing"/>
    <s v="Education"/>
    <x v="4"/>
    <x v="2"/>
    <x v="1"/>
    <x v="320"/>
    <n v="1477.84"/>
    <n v="3197.47"/>
    <n v="3197.47"/>
    <s v="High"/>
    <n v="0.24299999999999999"/>
    <x v="88"/>
    <n v="24"/>
    <x v="321"/>
    <n v="35468.159999999996"/>
    <n v="22623.474960000007"/>
    <n v="0.38944462443823091"/>
    <d v="2023-01-12T00:00:00"/>
    <x v="22"/>
  </r>
  <r>
    <x v="321"/>
    <x v="175"/>
    <x v="175"/>
    <s v="Q4 -2024"/>
    <d v="2025-01-02T00:00:00"/>
    <d v="2025-01-02T00:00:00"/>
    <x v="1"/>
    <x v="3"/>
    <x v="9"/>
    <s v="Frankfurt"/>
    <s v="Europe&gt;Germany&gt;Frankfurt"/>
    <s v="Education"/>
    <x v="3"/>
    <x v="3"/>
    <x v="4"/>
    <x v="321"/>
    <n v="1391.99"/>
    <n v="3469.7"/>
    <n v="3469.7"/>
    <s v="High"/>
    <n v="0.184"/>
    <x v="27"/>
    <n v="23"/>
    <x v="322"/>
    <n v="32015.77"/>
    <n v="33103.559599999993"/>
    <n v="0.50835227886006973"/>
    <d v="2023-01-22T00:00:00"/>
    <x v="17"/>
  </r>
  <r>
    <x v="322"/>
    <x v="245"/>
    <x v="245"/>
    <s v="Q4 -2024"/>
    <d v="2024-12-28T00:00:00"/>
    <d v="2024-12-28T00:00:00"/>
    <x v="7"/>
    <x v="2"/>
    <x v="3"/>
    <s v="Vancouver"/>
    <s v="Americas&gt;Canada&gt;Vancouver"/>
    <s v="Corporate"/>
    <x v="3"/>
    <x v="3"/>
    <x v="0"/>
    <x v="322"/>
    <n v="107.03"/>
    <n v="242.29"/>
    <n v="242.29"/>
    <s v="Low"/>
    <n v="0.18"/>
    <x v="175"/>
    <n v="30"/>
    <x v="323"/>
    <n v="3210.9"/>
    <n v="2749.4340000000007"/>
    <n v="0.46128857879440988"/>
    <d v="2023-01-02T00:00:00"/>
    <x v="17"/>
  </r>
  <r>
    <x v="323"/>
    <x v="246"/>
    <x v="246"/>
    <s v="Q4 -2024"/>
    <d v="2024-11-24T00:00:00"/>
    <d v="2024-11-24T00:00:00"/>
    <x v="4"/>
    <x v="3"/>
    <x v="8"/>
    <s v="London"/>
    <s v="Europe&gt;United Kingdom&gt;London"/>
    <s v="Corporate"/>
    <x v="0"/>
    <x v="1"/>
    <x v="6"/>
    <x v="323"/>
    <n v="164.53"/>
    <n v="327.72"/>
    <n v="327.72"/>
    <s v="Low"/>
    <n v="6.7000000000000004E-2"/>
    <x v="43"/>
    <n v="14"/>
    <x v="324"/>
    <n v="2303.42"/>
    <n v="1977.25864"/>
    <n v="0.46190307805960412"/>
    <d v="2023-01-19T00:00:00"/>
    <x v="12"/>
  </r>
  <r>
    <x v="324"/>
    <x v="247"/>
    <x v="247"/>
    <s v="Q1 -2024"/>
    <d v="2024-01-27T00:00:00"/>
    <d v="2024-01-27T00:00:00"/>
    <x v="17"/>
    <x v="2"/>
    <x v="11"/>
    <s v="São Paulo"/>
    <s v="Americas&gt;Brazil&gt;São Paulo"/>
    <s v="Non-Profit"/>
    <x v="4"/>
    <x v="13"/>
    <x v="4"/>
    <x v="324"/>
    <n v="1410.97"/>
    <n v="1650.75"/>
    <n v="1650.75"/>
    <s v="High"/>
    <n v="0.13500000000000001"/>
    <x v="15"/>
    <n v="6"/>
    <x v="325"/>
    <n v="8465.82"/>
    <n v="101.57250000000022"/>
    <n v="1.1855707556295596E-2"/>
    <d v="2023-01-29T00:00:00"/>
    <x v="4"/>
  </r>
  <r>
    <x v="325"/>
    <x v="225"/>
    <x v="225"/>
    <s v="Q2 -2024"/>
    <d v="2024-05-23T00:00:00"/>
    <d v="2024-05-23T00:00:00"/>
    <x v="2"/>
    <x v="2"/>
    <x v="4"/>
    <s v="Chicago"/>
    <s v="Americas&gt;USA&gt;Chicago"/>
    <s v="Enterprise"/>
    <x v="0"/>
    <x v="7"/>
    <x v="4"/>
    <x v="325"/>
    <n v="1274.5899999999999"/>
    <n v="2553.69"/>
    <n v="2553.69"/>
    <s v="High"/>
    <n v="0.01"/>
    <x v="29"/>
    <n v="8"/>
    <x v="326"/>
    <n v="10196.719999999999"/>
    <n v="10028.504800000001"/>
    <n v="0.49584145042481803"/>
    <d v="2023-01-13T00:00:00"/>
    <x v="14"/>
  </r>
  <r>
    <x v="326"/>
    <x v="248"/>
    <x v="248"/>
    <s v="Q4 -2024"/>
    <d v="2024-10-08T00:00:00"/>
    <d v="2024-10-08T00:00:00"/>
    <x v="27"/>
    <x v="3"/>
    <x v="8"/>
    <s v="London"/>
    <s v="Europe&gt;United Kingdom&gt;London"/>
    <s v="Corporate"/>
    <x v="2"/>
    <x v="1"/>
    <x v="3"/>
    <x v="326"/>
    <n v="1108.1099999999999"/>
    <n v="2503.79"/>
    <n v="2503.79"/>
    <s v="High"/>
    <n v="0.184"/>
    <x v="27"/>
    <n v="19"/>
    <x v="327"/>
    <n v="21054.089999999997"/>
    <n v="17764.670160000009"/>
    <n v="0.45763105485025896"/>
    <d v="2023-01-19T00:00:00"/>
    <x v="23"/>
  </r>
  <r>
    <x v="327"/>
    <x v="249"/>
    <x v="249"/>
    <s v="Q3 -2024"/>
    <d v="2024-10-08T00:00:00"/>
    <d v="2024-10-08T00:00:00"/>
    <x v="29"/>
    <x v="2"/>
    <x v="11"/>
    <s v="São Paulo"/>
    <s v="Americas&gt;Brazil&gt;São Paulo"/>
    <s v="Education"/>
    <x v="3"/>
    <x v="5"/>
    <x v="2"/>
    <x v="327"/>
    <n v="1010.33"/>
    <n v="2492.14"/>
    <n v="2492.14"/>
    <s v="High"/>
    <n v="5.0999999999999997E-2"/>
    <x v="72"/>
    <n v="11"/>
    <x v="328"/>
    <n v="11113.630000000001"/>
    <n v="14901.819459999995"/>
    <n v="0.57280653493656752"/>
    <d v="2023-01-29T00:00:00"/>
    <x v="18"/>
  </r>
  <r>
    <x v="328"/>
    <x v="250"/>
    <x v="250"/>
    <s v="Q2 -2024"/>
    <d v="2024-06-08T00:00:00"/>
    <d v="2024-06-08T00:00:00"/>
    <x v="23"/>
    <x v="2"/>
    <x v="11"/>
    <s v="Brasília"/>
    <s v="Americas&gt;Brazil&gt;Brasília"/>
    <s v="Small Business"/>
    <x v="0"/>
    <x v="1"/>
    <x v="3"/>
    <x v="328"/>
    <n v="1075.9000000000001"/>
    <n v="1242.1500000000001"/>
    <n v="1242.1500000000001"/>
    <s v="Medium"/>
    <n v="1.2E-2"/>
    <x v="147"/>
    <n v="7"/>
    <x v="329"/>
    <n v="7531.3000000000011"/>
    <n v="1059.4094000000005"/>
    <n v="0.12332036280961853"/>
    <d v="2023-01-29T00:00:00"/>
    <x v="19"/>
  </r>
  <r>
    <x v="329"/>
    <x v="251"/>
    <x v="251"/>
    <s v="Q4 -2024"/>
    <d v="2024-12-15T00:00:00"/>
    <d v="2024-12-15T00:00:00"/>
    <x v="7"/>
    <x v="1"/>
    <x v="6"/>
    <s v="Mombasa"/>
    <s v="Africa&gt;Kenya&gt;Mombasa"/>
    <s v="Non-Profit"/>
    <x v="1"/>
    <x v="14"/>
    <x v="2"/>
    <x v="329"/>
    <n v="1335.76"/>
    <n v="2665.91"/>
    <n v="2665.91"/>
    <s v="High"/>
    <n v="0.21099999999999999"/>
    <x v="176"/>
    <n v="40"/>
    <x v="330"/>
    <n v="53430.400000000001"/>
    <n v="30705.719600000004"/>
    <n v="0.36495288522909253"/>
    <d v="2023-01-20T00:00:00"/>
    <x v="16"/>
  </r>
  <r>
    <x v="330"/>
    <x v="252"/>
    <x v="252"/>
    <s v="Q3 -2024"/>
    <d v="2024-10-03T00:00:00"/>
    <d v="2024-10-03T00:00:00"/>
    <x v="24"/>
    <x v="2"/>
    <x v="3"/>
    <s v="Toronto"/>
    <s v="Americas&gt;Canada&gt;Toronto"/>
    <s v="Consumer"/>
    <x v="2"/>
    <x v="1"/>
    <x v="1"/>
    <x v="330"/>
    <n v="558.19000000000005"/>
    <n v="1031.6400000000001"/>
    <n v="1031.6400000000001"/>
    <s v="Medium"/>
    <n v="0"/>
    <x v="5"/>
    <n v="21"/>
    <x v="331"/>
    <n v="11721.990000000002"/>
    <n v="9942.4500000000007"/>
    <n v="0.45892947152107322"/>
    <d v="2023-01-02T00:00:00"/>
    <x v="23"/>
  </r>
  <r>
    <x v="331"/>
    <x v="189"/>
    <x v="189"/>
    <s v="Q2 -2024"/>
    <d v="2024-04-21T00:00:00"/>
    <d v="2024-04-21T00:00:00"/>
    <x v="22"/>
    <x v="2"/>
    <x v="11"/>
    <s v="Brasília"/>
    <s v="Americas&gt;Brazil&gt;Brasília"/>
    <s v="Small Business"/>
    <x v="1"/>
    <x v="12"/>
    <x v="6"/>
    <x v="331"/>
    <n v="1176.69"/>
    <n v="2201.54"/>
    <n v="2201.54"/>
    <s v="High"/>
    <n v="0.17"/>
    <x v="135"/>
    <n v="27"/>
    <x v="332"/>
    <n v="31770.63"/>
    <n v="17565.881399999995"/>
    <n v="0.35604222717701106"/>
    <d v="2023-01-29T00:00:00"/>
    <x v="20"/>
  </r>
  <r>
    <x v="332"/>
    <x v="253"/>
    <x v="253"/>
    <s v="Q1 -2024"/>
    <d v="2024-03-26T00:00:00"/>
    <d v="2024-03-26T00:00:00"/>
    <x v="14"/>
    <x v="0"/>
    <x v="1"/>
    <s v="Mumbai"/>
    <s v="Asia&gt;India&gt;Mumbai"/>
    <s v="Education"/>
    <x v="4"/>
    <x v="10"/>
    <x v="4"/>
    <x v="332"/>
    <n v="1035.19"/>
    <n v="2322.6999999999998"/>
    <n v="2322.6999999999998"/>
    <s v="High"/>
    <n v="0.17299999999999999"/>
    <x v="67"/>
    <n v="8"/>
    <x v="333"/>
    <n v="8281.52"/>
    <n v="7085.4631999999983"/>
    <n v="0.46108355217047409"/>
    <d v="2023-01-29T00:00:00"/>
    <x v="13"/>
  </r>
  <r>
    <x v="333"/>
    <x v="254"/>
    <x v="254"/>
    <s v="Q1 -2024"/>
    <d v="2024-02-29T00:00:00"/>
    <d v="2024-03-07T00:00:00"/>
    <x v="1"/>
    <x v="2"/>
    <x v="11"/>
    <s v="São Paulo"/>
    <s v="Americas&gt;Brazil&gt;São Paulo"/>
    <s v="Non-Profit"/>
    <x v="3"/>
    <x v="9"/>
    <x v="5"/>
    <x v="333"/>
    <n v="5.34"/>
    <n v="12.69"/>
    <n v="12.69"/>
    <s v="Low"/>
    <n v="0.13200000000000001"/>
    <x v="56"/>
    <n v="10"/>
    <x v="334"/>
    <n v="53.4"/>
    <n v="56.749199999999995"/>
    <n v="0.51520301554618642"/>
    <d v="2023-01-29T00:00:00"/>
    <x v="22"/>
  </r>
  <r>
    <x v="334"/>
    <x v="255"/>
    <x v="255"/>
    <s v="Q2 -2024"/>
    <d v="2024-05-12T00:00:00"/>
    <d v="2024-05-12T00:00:00"/>
    <x v="2"/>
    <x v="1"/>
    <x v="2"/>
    <s v="Abuja"/>
    <s v="Africa&gt;Nigeria&gt;Abuja"/>
    <s v="Non-Profit"/>
    <x v="1"/>
    <x v="11"/>
    <x v="4"/>
    <x v="334"/>
    <n v="1163.99"/>
    <n v="1617.85"/>
    <n v="1617.85"/>
    <s v="High"/>
    <n v="0.127"/>
    <x v="177"/>
    <n v="14"/>
    <x v="335"/>
    <n v="16295.86"/>
    <n v="3477.5026999999973"/>
    <n v="0.17586804797749436"/>
    <d v="2023-01-15T00:00:00"/>
    <x v="19"/>
  </r>
  <r>
    <x v="335"/>
    <x v="247"/>
    <x v="247"/>
    <s v="Q1 -2024"/>
    <d v="2024-02-08T00:00:00"/>
    <d v="2024-02-08T00:00:00"/>
    <x v="6"/>
    <x v="0"/>
    <x v="0"/>
    <s v="Osaka"/>
    <s v="Asia&gt;Japan&gt;Osaka"/>
    <s v="Consumer"/>
    <x v="4"/>
    <x v="9"/>
    <x v="6"/>
    <x v="335"/>
    <n v="937.16"/>
    <n v="1069.77"/>
    <n v="1069.77"/>
    <s v="Medium"/>
    <n v="3.7999999999999999E-2"/>
    <x v="129"/>
    <n v="9"/>
    <x v="336"/>
    <n v="8434.44"/>
    <n v="827.62866000000031"/>
    <n v="8.9356783066645962E-2"/>
    <d v="2023-03-03T00:00:00"/>
    <x v="9"/>
  </r>
  <r>
    <x v="336"/>
    <x v="256"/>
    <x v="256"/>
    <s v="Q3 -2024"/>
    <d v="2024-09-26T00:00:00"/>
    <d v="2024-09-26T00:00:00"/>
    <x v="13"/>
    <x v="0"/>
    <x v="0"/>
    <s v="Tokyo"/>
    <s v="Asia&gt;Japan&gt;Tokyo"/>
    <s v="Education"/>
    <x v="2"/>
    <x v="9"/>
    <x v="5"/>
    <x v="336"/>
    <n v="1189.03"/>
    <n v="2949.62"/>
    <n v="2949.62"/>
    <s v="High"/>
    <n v="0.125"/>
    <x v="20"/>
    <n v="13"/>
    <x v="337"/>
    <n v="15457.39"/>
    <n v="18094.537499999999"/>
    <n v="0.53929949330034765"/>
    <d v="2023-03-03T00:00:00"/>
    <x v="15"/>
  </r>
  <r>
    <x v="337"/>
    <x v="257"/>
    <x v="257"/>
    <s v="Q3 -2024"/>
    <d v="2024-09-05T00:00:00"/>
    <d v="2024-09-05T00:00:00"/>
    <x v="1"/>
    <x v="0"/>
    <x v="0"/>
    <s v="Nagoya"/>
    <s v="Asia&gt;Japan&gt;Nagoya"/>
    <s v="Education"/>
    <x v="2"/>
    <x v="13"/>
    <x v="4"/>
    <x v="337"/>
    <n v="466.16"/>
    <n v="876.81"/>
    <n v="876.81"/>
    <s v="Medium"/>
    <n v="0.24099999999999999"/>
    <x v="48"/>
    <n v="8"/>
    <x v="338"/>
    <n v="3729.28"/>
    <n v="1594.7103199999997"/>
    <n v="0.29953291124691594"/>
    <d v="2023-03-03T00:00:00"/>
    <x v="15"/>
  </r>
  <r>
    <x v="338"/>
    <x v="258"/>
    <x v="258"/>
    <s v="Q1 -2024"/>
    <d v="2024-03-04T00:00:00"/>
    <d v="2024-03-04T00:00:00"/>
    <x v="3"/>
    <x v="2"/>
    <x v="3"/>
    <s v="Montreal"/>
    <s v="Americas&gt;Canada&gt;Montreal"/>
    <s v="Non-Profit"/>
    <x v="0"/>
    <x v="6"/>
    <x v="4"/>
    <x v="338"/>
    <n v="1350.98"/>
    <n v="2210.4"/>
    <n v="2210.4"/>
    <s v="High"/>
    <n v="0.26300000000000001"/>
    <x v="178"/>
    <n v="6"/>
    <x v="339"/>
    <n v="8105.88"/>
    <n v="1668.5088000000005"/>
    <n v="0.17070211080615091"/>
    <d v="2023-01-02T00:00:00"/>
    <x v="22"/>
  </r>
  <r>
    <x v="339"/>
    <x v="259"/>
    <x v="259"/>
    <s v="Q2 -2024"/>
    <d v="2024-05-28T00:00:00"/>
    <d v="2024-05-28T00:00:00"/>
    <x v="6"/>
    <x v="3"/>
    <x v="8"/>
    <s v="Birmingham"/>
    <s v="Europe&gt;United Kingdom&gt;Birmingham"/>
    <s v="Consumer"/>
    <x v="0"/>
    <x v="12"/>
    <x v="6"/>
    <x v="339"/>
    <n v="1421.14"/>
    <n v="3524"/>
    <n v="3524"/>
    <s v="High"/>
    <n v="0"/>
    <x v="5"/>
    <n v="31"/>
    <x v="340"/>
    <n v="44055.340000000004"/>
    <n v="65188.659999999996"/>
    <n v="0.59672531214528945"/>
    <d v="2023-01-19T00:00:00"/>
    <x v="19"/>
  </r>
  <r>
    <x v="340"/>
    <x v="260"/>
    <x v="260"/>
    <s v="Q3 -2024"/>
    <d v="2024-09-02T00:00:00"/>
    <d v="2024-09-02T00:00:00"/>
    <x v="6"/>
    <x v="2"/>
    <x v="3"/>
    <s v="Toronto"/>
    <s v="Americas&gt;Canada&gt;Toronto"/>
    <s v="Consumer"/>
    <x v="1"/>
    <x v="14"/>
    <x v="1"/>
    <x v="340"/>
    <n v="1337.01"/>
    <n v="1269.78"/>
    <n v="1269.78"/>
    <s v="Medium"/>
    <n v="0.16"/>
    <x v="179"/>
    <n v="7"/>
    <x v="341"/>
    <n v="9359.07"/>
    <n v="-1892.7636000000011"/>
    <n v="-0.25350735672996244"/>
    <d v="2023-01-02T00:00:00"/>
    <x v="18"/>
  </r>
  <r>
    <x v="341"/>
    <x v="261"/>
    <x v="261"/>
    <s v="Q3 -2024"/>
    <d v="2024-09-18T00:00:00"/>
    <d v="2024-09-18T00:00:00"/>
    <x v="0"/>
    <x v="0"/>
    <x v="1"/>
    <s v="Delhi"/>
    <s v="Asia&gt;India&gt;Delhi"/>
    <s v="Consumer"/>
    <x v="3"/>
    <x v="12"/>
    <x v="2"/>
    <x v="341"/>
    <n v="896.75"/>
    <n v="1651.14"/>
    <n v="1651.14"/>
    <s v="High"/>
    <n v="2.5000000000000001E-2"/>
    <x v="58"/>
    <n v="15"/>
    <x v="342"/>
    <n v="13451.25"/>
    <n v="10696.672500000001"/>
    <n v="0.44296450346815552"/>
    <d v="2023-01-29T00:00:00"/>
    <x v="21"/>
  </r>
  <r>
    <x v="342"/>
    <x v="225"/>
    <x v="225"/>
    <s v="Q2 -2024"/>
    <d v="2024-05-22T00:00:00"/>
    <d v="2024-05-22T00:00:00"/>
    <x v="26"/>
    <x v="1"/>
    <x v="6"/>
    <s v="Nairobi"/>
    <s v="Africa&gt;Kenya&gt;Nairobi"/>
    <s v="Corporate"/>
    <x v="3"/>
    <x v="7"/>
    <x v="0"/>
    <x v="342"/>
    <n v="857.42"/>
    <n v="1658.92"/>
    <n v="1658.92"/>
    <s v="High"/>
    <n v="0.122"/>
    <x v="157"/>
    <n v="9"/>
    <x v="343"/>
    <n v="7716.78"/>
    <n v="5392.0058400000007"/>
    <n v="0.41132763215544305"/>
    <d v="2023-01-20T00:00:00"/>
    <x v="19"/>
  </r>
  <r>
    <x v="343"/>
    <x v="262"/>
    <x v="262"/>
    <s v="Q2 -2024"/>
    <d v="2024-07-09T00:00:00"/>
    <d v="2024-07-09T00:00:00"/>
    <x v="14"/>
    <x v="1"/>
    <x v="2"/>
    <s v="Port Harcourt"/>
    <s v="Africa&gt;Nigeria&gt;Port Harcourt"/>
    <s v="Corporate"/>
    <x v="4"/>
    <x v="9"/>
    <x v="5"/>
    <x v="343"/>
    <n v="895.54"/>
    <n v="1045"/>
    <n v="1045"/>
    <s v="Medium"/>
    <n v="0.216"/>
    <x v="84"/>
    <n v="15"/>
    <x v="344"/>
    <n v="13433.099999999999"/>
    <n v="-1143.8999999999978"/>
    <n v="-9.3081730299775234E-2"/>
    <d v="2023-01-15T00:00:00"/>
    <x v="14"/>
  </r>
  <r>
    <x v="344"/>
    <x v="263"/>
    <x v="263"/>
    <s v="Q2 -2024"/>
    <d v="2024-04-24T00:00:00"/>
    <d v="2024-05-01T00:00:00"/>
    <x v="2"/>
    <x v="3"/>
    <x v="8"/>
    <s v="London"/>
    <s v="Europe&gt;United Kingdom&gt;London"/>
    <s v="Non-Profit"/>
    <x v="1"/>
    <x v="13"/>
    <x v="5"/>
    <x v="344"/>
    <n v="1232.77"/>
    <n v="891.73"/>
    <n v="891.73"/>
    <s v="Medium"/>
    <n v="0.16700000000000001"/>
    <x v="180"/>
    <n v="10"/>
    <x v="345"/>
    <n v="12327.7"/>
    <n v="-4899.589100000002"/>
    <n v="-0.65960096260813805"/>
    <d v="2023-01-19T00:00:00"/>
    <x v="19"/>
  </r>
  <r>
    <x v="345"/>
    <x v="264"/>
    <x v="264"/>
    <s v="Q3 -2024"/>
    <d v="2024-09-25T00:00:00"/>
    <d v="2024-09-25T00:00:00"/>
    <x v="23"/>
    <x v="0"/>
    <x v="0"/>
    <s v="Osaka"/>
    <s v="Asia&gt;Japan&gt;Osaka"/>
    <s v="Enterprise"/>
    <x v="1"/>
    <x v="6"/>
    <x v="3"/>
    <x v="345"/>
    <n v="195.54"/>
    <n v="405.97"/>
    <n v="405.97"/>
    <s v="Low"/>
    <n v="0.187"/>
    <x v="181"/>
    <n v="16"/>
    <x v="346"/>
    <n v="3128.64"/>
    <n v="2152.21776"/>
    <n v="0.40755079152141377"/>
    <d v="2023-03-03T00:00:00"/>
    <x v="21"/>
  </r>
  <r>
    <x v="346"/>
    <x v="265"/>
    <x v="265"/>
    <s v="Q3 -2024"/>
    <d v="2024-07-31T00:00:00"/>
    <d v="2024-07-31T00:00:00"/>
    <x v="23"/>
    <x v="0"/>
    <x v="7"/>
    <s v="Shenzhen"/>
    <s v="Asia&gt;China&gt;Shenzhen"/>
    <s v="Consumer"/>
    <x v="2"/>
    <x v="10"/>
    <x v="5"/>
    <x v="346"/>
    <n v="647.26"/>
    <n v="1374.72"/>
    <n v="1374.72"/>
    <s v="Medium"/>
    <n v="6.6000000000000003E-2"/>
    <x v="33"/>
    <n v="22"/>
    <x v="347"/>
    <n v="14239.72"/>
    <n v="14008.02656"/>
    <n v="0.49589890401508901"/>
    <d v="2023-01-12T00:00:00"/>
    <x v="15"/>
  </r>
  <r>
    <x v="347"/>
    <x v="266"/>
    <x v="266"/>
    <s v="Q2 -2024"/>
    <d v="2024-06-21T00:00:00"/>
    <d v="2024-06-21T00:00:00"/>
    <x v="2"/>
    <x v="0"/>
    <x v="0"/>
    <s v="Tokyo"/>
    <s v="Asia&gt;Japan&gt;Tokyo"/>
    <s v="Small Business"/>
    <x v="1"/>
    <x v="3"/>
    <x v="5"/>
    <x v="347"/>
    <n v="1367.13"/>
    <n v="3062.01"/>
    <n v="3062.01"/>
    <s v="High"/>
    <n v="0.10299999999999999"/>
    <x v="0"/>
    <n v="25"/>
    <x v="348"/>
    <n v="34178.25"/>
    <n v="34487.324250000005"/>
    <n v="0.50225057645971705"/>
    <d v="2023-03-03T00:00:00"/>
    <x v="19"/>
  </r>
  <r>
    <x v="348"/>
    <x v="267"/>
    <x v="267"/>
    <s v="Q2 -2024"/>
    <d v="2024-06-17T00:00:00"/>
    <d v="2024-06-17T00:00:00"/>
    <x v="16"/>
    <x v="0"/>
    <x v="1"/>
    <s v="Delhi"/>
    <s v="Asia&gt;India&gt;Delhi"/>
    <s v="Small Business"/>
    <x v="2"/>
    <x v="7"/>
    <x v="0"/>
    <x v="348"/>
    <n v="465.02"/>
    <n v="651.55999999999995"/>
    <n v="651.55999999999995"/>
    <s v="Low"/>
    <n v="4.2000000000000003E-2"/>
    <x v="89"/>
    <n v="19"/>
    <x v="349"/>
    <n v="8835.3799999999992"/>
    <n v="3024.3151199999993"/>
    <n v="0.25500783025187918"/>
    <d v="2023-01-29T00:00:00"/>
    <x v="19"/>
  </r>
  <r>
    <x v="349"/>
    <x v="266"/>
    <x v="266"/>
    <s v="Q2 -2024"/>
    <d v="2024-07-03T00:00:00"/>
    <d v="2024-07-03T00:00:00"/>
    <x v="3"/>
    <x v="1"/>
    <x v="5"/>
    <s v="Johannesburg"/>
    <s v="Africa&gt;South Africa&gt;Johannesburg"/>
    <s v="Enterprise"/>
    <x v="4"/>
    <x v="3"/>
    <x v="5"/>
    <x v="349"/>
    <n v="1173.83"/>
    <n v="2328.9"/>
    <n v="2328.9"/>
    <s v="High"/>
    <n v="0.12"/>
    <x v="182"/>
    <n v="17"/>
    <x v="350"/>
    <n v="19955.11"/>
    <n v="14885.234000000004"/>
    <n v="0.42724130393201637"/>
    <d v="2023-01-07T00:00:00"/>
    <x v="15"/>
  </r>
  <r>
    <x v="350"/>
    <x v="268"/>
    <x v="268"/>
    <s v="Q3 -2024"/>
    <d v="2024-09-18T00:00:00"/>
    <d v="2024-09-18T00:00:00"/>
    <x v="21"/>
    <x v="0"/>
    <x v="7"/>
    <s v="Beijing"/>
    <s v="Asia&gt;China&gt;Beijing"/>
    <s v="Consumer"/>
    <x v="1"/>
    <x v="2"/>
    <x v="6"/>
    <x v="350"/>
    <n v="181.74"/>
    <n v="190.84"/>
    <n v="190.84"/>
    <s v="Low"/>
    <n v="0.214"/>
    <x v="183"/>
    <n v="13"/>
    <x v="351"/>
    <n v="2362.62"/>
    <n v="-412.61687999999981"/>
    <n v="-0.21159806144310159"/>
    <d v="2023-01-12T00:00:00"/>
    <x v="18"/>
  </r>
  <r>
    <x v="351"/>
    <x v="269"/>
    <x v="269"/>
    <s v="Q2 -2024"/>
    <d v="2024-06-26T00:00:00"/>
    <d v="2024-06-26T00:00:00"/>
    <x v="8"/>
    <x v="3"/>
    <x v="9"/>
    <s v="Berlin"/>
    <s v="Europe&gt;Germany&gt;Berlin"/>
    <s v="Non-Profit"/>
    <x v="4"/>
    <x v="8"/>
    <x v="2"/>
    <x v="351"/>
    <n v="1064.32"/>
    <n v="1848.39"/>
    <n v="1848.39"/>
    <s v="High"/>
    <n v="7.2999999999999995E-2"/>
    <x v="174"/>
    <n v="38"/>
    <x v="352"/>
    <n v="40444.159999999996"/>
    <n v="24667.226140000013"/>
    <n v="0.3788465827921631"/>
    <d v="2023-01-22T00:00:00"/>
    <x v="14"/>
  </r>
  <r>
    <x v="352"/>
    <x v="270"/>
    <x v="270"/>
    <s v="Q3 -2024"/>
    <d v="2024-08-15T00:00:00"/>
    <d v="2024-08-22T00:00:00"/>
    <x v="2"/>
    <x v="2"/>
    <x v="11"/>
    <s v="Rio de Janeiro"/>
    <s v="Americas&gt;Brazil&gt;Rio de Janeiro"/>
    <s v="Consumer"/>
    <x v="3"/>
    <x v="8"/>
    <x v="3"/>
    <x v="352"/>
    <n v="165.3"/>
    <n v="275.07"/>
    <n v="275.07"/>
    <s v="Low"/>
    <n v="0.13300000000000001"/>
    <x v="145"/>
    <n v="25"/>
    <x v="353"/>
    <n v="4132.5"/>
    <n v="1829.6422499999999"/>
    <n v="0.30687665159280625"/>
    <d v="2023-01-29T00:00:00"/>
    <x v="21"/>
  </r>
  <r>
    <x v="353"/>
    <x v="197"/>
    <x v="197"/>
    <s v="Q4 -2024"/>
    <d v="2024-11-29T00:00:00"/>
    <d v="2024-11-29T00:00:00"/>
    <x v="15"/>
    <x v="2"/>
    <x v="11"/>
    <s v="Brasília"/>
    <s v="Americas&gt;Brazil&gt;Brasília"/>
    <s v="Small Business"/>
    <x v="3"/>
    <x v="9"/>
    <x v="6"/>
    <x v="353"/>
    <n v="1363.51"/>
    <n v="1433.9"/>
    <n v="1433.9"/>
    <s v="Medium"/>
    <n v="5.7000000000000002E-2"/>
    <x v="55"/>
    <n v="8"/>
    <x v="354"/>
    <n v="10908.08"/>
    <n v="-90.738400000000183"/>
    <n v="-8.3882346842037592E-3"/>
    <d v="2023-01-29T00:00:00"/>
    <x v="12"/>
  </r>
  <r>
    <x v="354"/>
    <x v="271"/>
    <x v="271"/>
    <s v="Q2 -2024"/>
    <d v="2024-05-29T00:00:00"/>
    <d v="2024-05-29T00:00:00"/>
    <x v="12"/>
    <x v="1"/>
    <x v="2"/>
    <s v="Abuja"/>
    <s v="Africa&gt;Nigeria&gt;Abuja"/>
    <s v="Non-Profit"/>
    <x v="4"/>
    <x v="2"/>
    <x v="3"/>
    <x v="354"/>
    <n v="1295.3399999999999"/>
    <n v="2530.81"/>
    <n v="2530.81"/>
    <s v="High"/>
    <n v="3.1E-2"/>
    <x v="172"/>
    <n v="6"/>
    <x v="355"/>
    <n v="7772.0399999999991"/>
    <n v="6942.0893400000004"/>
    <n v="0.4717974933880798"/>
    <d v="2023-01-15T00:00:00"/>
    <x v="19"/>
  </r>
  <r>
    <x v="355"/>
    <x v="272"/>
    <x v="272"/>
    <s v="Q3 -2024"/>
    <d v="2024-09-04T00:00:00"/>
    <d v="2024-09-11T00:00:00"/>
    <x v="2"/>
    <x v="0"/>
    <x v="0"/>
    <s v="Osaka"/>
    <s v="Asia&gt;Japan&gt;Osaka"/>
    <s v="Corporate"/>
    <x v="3"/>
    <x v="0"/>
    <x v="4"/>
    <x v="355"/>
    <n v="1368.17"/>
    <n v="2307.75"/>
    <n v="2307.75"/>
    <s v="High"/>
    <n v="0.16300000000000001"/>
    <x v="155"/>
    <n v="21"/>
    <x v="356"/>
    <n v="28731.57"/>
    <n v="11831.751749999996"/>
    <n v="0.29168596750831921"/>
    <d v="2023-03-03T00:00:00"/>
    <x v="21"/>
  </r>
  <r>
    <x v="356"/>
    <x v="273"/>
    <x v="273"/>
    <s v="Q2 -2024"/>
    <d v="2024-04-25T00:00:00"/>
    <d v="2024-04-25T00:00:00"/>
    <x v="8"/>
    <x v="0"/>
    <x v="7"/>
    <s v="Shanghai"/>
    <s v="Asia&gt;China&gt;Shanghai"/>
    <s v="Corporate"/>
    <x v="0"/>
    <x v="4"/>
    <x v="2"/>
    <x v="356"/>
    <n v="1366.48"/>
    <n v="1678.14"/>
    <n v="1678.14"/>
    <s v="High"/>
    <n v="0.154"/>
    <x v="184"/>
    <n v="10"/>
    <x v="357"/>
    <n v="13664.8"/>
    <n v="532.26440000000184"/>
    <n v="3.7491159087790132E-2"/>
    <d v="2023-01-12T00:00:00"/>
    <x v="20"/>
  </r>
  <r>
    <x v="357"/>
    <x v="274"/>
    <x v="274"/>
    <s v="Q2 -2024"/>
    <d v="2024-05-06T00:00:00"/>
    <d v="2024-05-06T00:00:00"/>
    <x v="3"/>
    <x v="1"/>
    <x v="2"/>
    <s v="Port Harcourt"/>
    <s v="Africa&gt;Nigeria&gt;Port Harcourt"/>
    <s v="Non-Profit"/>
    <x v="2"/>
    <x v="0"/>
    <x v="1"/>
    <x v="357"/>
    <n v="865.33"/>
    <n v="1395.64"/>
    <n v="1395.64"/>
    <s v="Medium"/>
    <n v="0.17499999999999999"/>
    <x v="110"/>
    <n v="13"/>
    <x v="358"/>
    <n v="11249.29"/>
    <n v="3718.9489999999987"/>
    <n v="0.24845601409758347"/>
    <d v="2023-01-15T00:00:00"/>
    <x v="19"/>
  </r>
  <r>
    <x v="358"/>
    <x v="275"/>
    <x v="275"/>
    <s v="Q1 -2024"/>
    <d v="2024-01-25T00:00:00"/>
    <d v="2024-01-25T00:00:00"/>
    <x v="26"/>
    <x v="0"/>
    <x v="1"/>
    <s v="Delhi"/>
    <s v="Asia&gt;India&gt;Delhi"/>
    <s v="Consumer"/>
    <x v="3"/>
    <x v="14"/>
    <x v="3"/>
    <x v="358"/>
    <n v="523.70000000000005"/>
    <n v="1109.92"/>
    <n v="1109.92"/>
    <s v="Medium"/>
    <n v="0.03"/>
    <x v="185"/>
    <n v="11"/>
    <x v="359"/>
    <n v="5760.7000000000007"/>
    <n v="6082.1463999999996"/>
    <n v="0.51357133197302973"/>
    <d v="2023-01-29T00:00:00"/>
    <x v="4"/>
  </r>
  <r>
    <x v="359"/>
    <x v="276"/>
    <x v="276"/>
    <s v="Q2 -2024"/>
    <d v="2024-06-13T00:00:00"/>
    <d v="2024-06-13T00:00:00"/>
    <x v="6"/>
    <x v="2"/>
    <x v="4"/>
    <s v="San Francisco"/>
    <s v="Americas&gt;USA&gt;San Francisco"/>
    <s v="Small Business"/>
    <x v="0"/>
    <x v="3"/>
    <x v="5"/>
    <x v="359"/>
    <n v="157.78"/>
    <n v="361.1"/>
    <n v="361.1"/>
    <s v="Low"/>
    <n v="0.187"/>
    <x v="181"/>
    <n v="9"/>
    <x v="360"/>
    <n v="1420.02"/>
    <n v="1222.1486999999997"/>
    <n v="0.46255513510549112"/>
    <d v="2023-01-13T00:00:00"/>
    <x v="14"/>
  </r>
  <r>
    <x v="360"/>
    <x v="277"/>
    <x v="277"/>
    <s v="Q3 -2024"/>
    <d v="2024-07-15T00:00:00"/>
    <d v="2024-07-15T00:00:00"/>
    <x v="27"/>
    <x v="0"/>
    <x v="0"/>
    <s v="Tokyo"/>
    <s v="Asia&gt;Japan&gt;Tokyo"/>
    <s v="Small Business"/>
    <x v="4"/>
    <x v="10"/>
    <x v="0"/>
    <x v="360"/>
    <n v="801.77"/>
    <n v="1218.92"/>
    <n v="1218.92"/>
    <s v="Medium"/>
    <n v="0.254"/>
    <x v="153"/>
    <n v="16"/>
    <x v="361"/>
    <n v="12828.32"/>
    <n v="1720.7091200000013"/>
    <n v="0.11826968698788344"/>
    <d v="2023-03-03T00:00:00"/>
    <x v="14"/>
  </r>
  <r>
    <x v="361"/>
    <x v="187"/>
    <x v="187"/>
    <s v="Q3 -2024"/>
    <d v="2024-08-15T00:00:00"/>
    <d v="2024-08-15T00:00:00"/>
    <x v="10"/>
    <x v="2"/>
    <x v="4"/>
    <s v="Chicago"/>
    <s v="Americas&gt;USA&gt;Chicago"/>
    <s v="Corporate"/>
    <x v="4"/>
    <x v="6"/>
    <x v="1"/>
    <x v="361"/>
    <n v="850.7"/>
    <n v="1118.56"/>
    <n v="1118.56"/>
    <s v="Medium"/>
    <n v="0.18"/>
    <x v="175"/>
    <n v="19"/>
    <x v="362"/>
    <n v="16163.300000000001"/>
    <n v="1263.8648000000012"/>
    <n v="7.2522685962090688E-2"/>
    <d v="2023-01-13T00:00:00"/>
    <x v="21"/>
  </r>
  <r>
    <x v="362"/>
    <x v="269"/>
    <x v="269"/>
    <s v="Q2 -2024"/>
    <d v="2024-06-09T00:00:00"/>
    <d v="2024-06-09T00:00:00"/>
    <x v="17"/>
    <x v="0"/>
    <x v="7"/>
    <s v="Shanghai"/>
    <s v="Asia&gt;China&gt;Shanghai"/>
    <s v="Corporate"/>
    <x v="0"/>
    <x v="2"/>
    <x v="3"/>
    <x v="362"/>
    <n v="1370.28"/>
    <n v="2209.66"/>
    <n v="2209.66"/>
    <s v="High"/>
    <n v="0.13300000000000001"/>
    <x v="145"/>
    <n v="16"/>
    <x v="363"/>
    <n v="21924.48"/>
    <n v="8727.9235199999966"/>
    <n v="0.28473863442079589"/>
    <d v="2023-01-12T00:00:00"/>
    <x v="14"/>
  </r>
  <r>
    <x v="363"/>
    <x v="278"/>
    <x v="278"/>
    <s v="Q2 -2024"/>
    <d v="2024-05-08T00:00:00"/>
    <d v="2024-05-08T00:00:00"/>
    <x v="23"/>
    <x v="3"/>
    <x v="8"/>
    <s v="London"/>
    <s v="Europe&gt;United Kingdom&gt;London"/>
    <s v="Non-Profit"/>
    <x v="5"/>
    <x v="6"/>
    <x v="4"/>
    <x v="363"/>
    <n v="645.33000000000004"/>
    <n v="1321.85"/>
    <n v="1321.85"/>
    <s v="Medium"/>
    <n v="0"/>
    <x v="5"/>
    <n v="10"/>
    <x v="364"/>
    <n v="6453.3"/>
    <n v="6765.2"/>
    <n v="0.51179785906116426"/>
    <d v="2023-01-19T00:00:00"/>
    <x v="20"/>
  </r>
  <r>
    <x v="364"/>
    <x v="261"/>
    <x v="261"/>
    <s v="Q3 -2024"/>
    <d v="2024-09-19T00:00:00"/>
    <d v="2024-09-19T00:00:00"/>
    <x v="7"/>
    <x v="3"/>
    <x v="9"/>
    <s v="Berlin"/>
    <s v="Europe&gt;Germany&gt;Berlin"/>
    <s v="Small Business"/>
    <x v="3"/>
    <x v="6"/>
    <x v="3"/>
    <x v="364"/>
    <n v="1024.01"/>
    <n v="1580.97"/>
    <n v="1580.97"/>
    <s v="High"/>
    <n v="3.6999999999999998E-2"/>
    <x v="186"/>
    <n v="27"/>
    <x v="365"/>
    <n v="27648.27"/>
    <n v="13458.530970000003"/>
    <n v="0.3274039976942531"/>
    <d v="2023-01-22T00:00:00"/>
    <x v="18"/>
  </r>
  <r>
    <x v="365"/>
    <x v="279"/>
    <x v="279"/>
    <s v="Q2 -2024"/>
    <d v="2024-05-26T00:00:00"/>
    <d v="2024-06-02T00:00:00"/>
    <x v="2"/>
    <x v="1"/>
    <x v="2"/>
    <s v="Abuja"/>
    <s v="Africa&gt;Nigeria&gt;Abuja"/>
    <s v="Enterprise"/>
    <x v="2"/>
    <x v="3"/>
    <x v="0"/>
    <x v="365"/>
    <n v="1227.08"/>
    <n v="1896.62"/>
    <n v="1896.62"/>
    <s v="High"/>
    <n v="0"/>
    <x v="5"/>
    <n v="18"/>
    <x v="366"/>
    <n v="22087.439999999999"/>
    <n v="12051.719999999998"/>
    <n v="0.353017473189147"/>
    <d v="2023-01-15T00:00:00"/>
    <x v="14"/>
  </r>
  <r>
    <x v="366"/>
    <x v="280"/>
    <x v="280"/>
    <s v="Q4 -2024"/>
    <d v="2024-10-29T00:00:00"/>
    <d v="2024-10-29T00:00:00"/>
    <x v="11"/>
    <x v="1"/>
    <x v="2"/>
    <s v="Port Harcourt"/>
    <s v="Africa&gt;Nigeria&gt;Port Harcourt"/>
    <s v="Enterprise"/>
    <x v="1"/>
    <x v="8"/>
    <x v="3"/>
    <x v="366"/>
    <n v="1023.06"/>
    <n v="1355.61"/>
    <n v="1355.61"/>
    <s v="Medium"/>
    <n v="0.153"/>
    <x v="187"/>
    <n v="23"/>
    <x v="367"/>
    <n v="23530.379999999997"/>
    <n v="2878.2584100000022"/>
    <n v="0.10898927711888809"/>
    <d v="2023-01-15T00:00:00"/>
    <x v="12"/>
  </r>
  <r>
    <x v="367"/>
    <x v="281"/>
    <x v="281"/>
    <s v="Q2 -2024"/>
    <d v="2024-05-16T00:00:00"/>
    <d v="2024-05-16T00:00:00"/>
    <x v="1"/>
    <x v="3"/>
    <x v="8"/>
    <s v="Birmingham"/>
    <s v="Europe&gt;United Kingdom&gt;Birmingham"/>
    <s v="Non-Profit"/>
    <x v="3"/>
    <x v="10"/>
    <x v="4"/>
    <x v="367"/>
    <n v="210.76"/>
    <n v="221.58"/>
    <n v="221.58"/>
    <s v="Low"/>
    <n v="8.8999999999999996E-2"/>
    <x v="83"/>
    <n v="5"/>
    <x v="368"/>
    <n v="1053.8"/>
    <n v="-44.50309999999979"/>
    <n v="-4.4093170205912434E-2"/>
    <d v="2023-01-19T00:00:00"/>
    <x v="19"/>
  </r>
  <r>
    <x v="368"/>
    <x v="282"/>
    <x v="282"/>
    <s v="Q1 -2024"/>
    <d v="2024-03-04T00:00:00"/>
    <d v="2024-03-04T00:00:00"/>
    <x v="19"/>
    <x v="0"/>
    <x v="1"/>
    <s v="Delhi"/>
    <s v="Asia&gt;India&gt;Delhi"/>
    <s v="Small Business"/>
    <x v="4"/>
    <x v="3"/>
    <x v="5"/>
    <x v="368"/>
    <n v="1231.8"/>
    <n v="2015.99"/>
    <n v="2015.99"/>
    <s v="High"/>
    <n v="0.26100000000000001"/>
    <x v="188"/>
    <n v="6"/>
    <x v="369"/>
    <n v="7390.7999999999993"/>
    <n v="1548.0996600000017"/>
    <n v="0.17318682599464391"/>
    <d v="2023-01-29T00:00:00"/>
    <x v="13"/>
  </r>
  <r>
    <x v="369"/>
    <x v="283"/>
    <x v="283"/>
    <s v="Q1 -2024"/>
    <d v="2024-02-28T00:00:00"/>
    <d v="2024-02-28T00:00:00"/>
    <x v="0"/>
    <x v="1"/>
    <x v="6"/>
    <s v="Kisumu"/>
    <s v="Africa&gt;Kenya&gt;Kisumu"/>
    <s v="Non-Profit"/>
    <x v="2"/>
    <x v="4"/>
    <x v="3"/>
    <x v="369"/>
    <n v="834.93"/>
    <n v="1588.53"/>
    <n v="1588.53"/>
    <s v="High"/>
    <n v="0.126"/>
    <x v="41"/>
    <n v="6"/>
    <x v="370"/>
    <n v="5009.58"/>
    <n v="3320.6713199999995"/>
    <n v="0.39862798761274343"/>
    <d v="2023-01-20T00:00:00"/>
    <x v="13"/>
  </r>
  <r>
    <x v="370"/>
    <x v="284"/>
    <x v="284"/>
    <s v="Q4 -2024"/>
    <d v="2025-01-08T00:00:00"/>
    <d v="2025-01-08T00:00:00"/>
    <x v="21"/>
    <x v="0"/>
    <x v="7"/>
    <s v="Shenzhen"/>
    <s v="Asia&gt;China&gt;Shenzhen"/>
    <s v="Enterprise"/>
    <x v="2"/>
    <x v="4"/>
    <x v="4"/>
    <x v="370"/>
    <n v="1201.31"/>
    <n v="2764.65"/>
    <n v="2764.65"/>
    <s v="High"/>
    <n v="0"/>
    <x v="5"/>
    <n v="21"/>
    <x v="371"/>
    <n v="25227.51"/>
    <n v="32830.14"/>
    <n v="0.56547483406579491"/>
    <d v="2023-01-12T00:00:00"/>
    <x v="17"/>
  </r>
  <r>
    <x v="371"/>
    <x v="212"/>
    <x v="212"/>
    <s v="Q4 -2024"/>
    <d v="2024-12-10T00:00:00"/>
    <d v="2024-12-10T00:00:00"/>
    <x v="5"/>
    <x v="0"/>
    <x v="1"/>
    <s v="Hyderabad"/>
    <s v="Asia&gt;India&gt;Hyderabad"/>
    <s v="Small Business"/>
    <x v="0"/>
    <x v="3"/>
    <x v="0"/>
    <x v="371"/>
    <n v="851.49"/>
    <n v="901.79"/>
    <n v="901.79"/>
    <s v="Medium"/>
    <n v="0.245"/>
    <x v="168"/>
    <n v="16"/>
    <x v="372"/>
    <n v="13623.84"/>
    <n v="-2730.2168000000001"/>
    <n v="-0.25062522816100341"/>
    <d v="2023-01-29T00:00:00"/>
    <x v="16"/>
  </r>
  <r>
    <x v="372"/>
    <x v="285"/>
    <x v="285"/>
    <s v="Q3 -2024"/>
    <d v="2024-09-08T00:00:00"/>
    <d v="2024-09-08T00:00:00"/>
    <x v="1"/>
    <x v="2"/>
    <x v="4"/>
    <s v="Austin"/>
    <s v="Americas&gt;USA&gt;Austin"/>
    <s v="Consumer"/>
    <x v="3"/>
    <x v="7"/>
    <x v="2"/>
    <x v="372"/>
    <n v="462.94"/>
    <n v="1015.7"/>
    <n v="1015.7"/>
    <s v="Medium"/>
    <n v="0.14299999999999999"/>
    <x v="122"/>
    <n v="14"/>
    <x v="373"/>
    <n v="6481.16"/>
    <n v="5705.2086000000018"/>
    <n v="0.46816314090483041"/>
    <d v="2023-01-13T00:00:00"/>
    <x v="18"/>
  </r>
  <r>
    <x v="373"/>
    <x v="222"/>
    <x v="222"/>
    <s v="Q4 -2024"/>
    <d v="2024-11-14T00:00:00"/>
    <d v="2024-11-14T00:00:00"/>
    <x v="0"/>
    <x v="0"/>
    <x v="0"/>
    <s v="Osaka"/>
    <s v="Asia&gt;Japan&gt;Osaka"/>
    <s v="Non-Profit"/>
    <x v="3"/>
    <x v="12"/>
    <x v="5"/>
    <x v="373"/>
    <n v="1406.4"/>
    <n v="1564.76"/>
    <n v="1564.76"/>
    <s v="High"/>
    <n v="0.185"/>
    <x v="44"/>
    <n v="17"/>
    <x v="374"/>
    <n v="23908.800000000003"/>
    <n v="-2229.0502000000051"/>
    <n v="-0.10281715520536151"/>
    <d v="2023-03-03T00:00:00"/>
    <x v="18"/>
  </r>
  <r>
    <x v="374"/>
    <x v="286"/>
    <x v="286"/>
    <s v="Q3 -2024"/>
    <d v="2024-08-08T00:00:00"/>
    <d v="2024-08-08T00:00:00"/>
    <x v="20"/>
    <x v="3"/>
    <x v="10"/>
    <s v="Marseille"/>
    <s v="Europe&gt;France&gt;Marseille"/>
    <s v="Enterprise"/>
    <x v="4"/>
    <x v="7"/>
    <x v="4"/>
    <x v="374"/>
    <n v="501.5"/>
    <n v="1201.47"/>
    <n v="1201.47"/>
    <s v="Medium"/>
    <n v="0.126"/>
    <x v="41"/>
    <n v="5"/>
    <x v="375"/>
    <n v="2507.5"/>
    <n v="2742.9239000000007"/>
    <n v="0.52241951359394057"/>
    <d v="2023-01-10T00:00:00"/>
    <x v="21"/>
  </r>
  <r>
    <x v="375"/>
    <x v="287"/>
    <x v="287"/>
    <s v="Q4 -2024"/>
    <d v="2024-10-23T00:00:00"/>
    <d v="2024-10-23T00:00:00"/>
    <x v="16"/>
    <x v="1"/>
    <x v="5"/>
    <s v="Durban"/>
    <s v="Africa&gt;South Africa&gt;Durban"/>
    <s v="Corporate"/>
    <x v="4"/>
    <x v="0"/>
    <x v="2"/>
    <x v="375"/>
    <n v="1095.6099999999999"/>
    <n v="2366.5100000000002"/>
    <n v="2366.5100000000002"/>
    <s v="High"/>
    <n v="0.152"/>
    <x v="164"/>
    <n v="9"/>
    <x v="376"/>
    <n v="9860.49"/>
    <n v="8200.7143200000046"/>
    <n v="0.4540513564158607"/>
    <d v="2023-01-07T00:00:00"/>
    <x v="23"/>
  </r>
  <r>
    <x v="376"/>
    <x v="202"/>
    <x v="202"/>
    <s v="Q1 -2024"/>
    <d v="2024-03-29T00:00:00"/>
    <d v="2024-03-29T00:00:00"/>
    <x v="22"/>
    <x v="2"/>
    <x v="4"/>
    <s v="New York"/>
    <s v="Americas&gt;USA&gt;New York"/>
    <s v="Corporate"/>
    <x v="0"/>
    <x v="8"/>
    <x v="3"/>
    <x v="376"/>
    <n v="710.98"/>
    <n v="1481.45"/>
    <n v="1481.45"/>
    <s v="Medium"/>
    <n v="0.21099999999999999"/>
    <x v="176"/>
    <n v="9"/>
    <x v="377"/>
    <n v="6398.82"/>
    <n v="4120.9564500000015"/>
    <n v="0.39173422264120461"/>
    <d v="2023-01-13T00:00:00"/>
    <x v="22"/>
  </r>
  <r>
    <x v="377"/>
    <x v="288"/>
    <x v="288"/>
    <s v="Q3 -2024"/>
    <d v="2024-10-07T00:00:00"/>
    <d v="2024-10-07T00:00:00"/>
    <x v="15"/>
    <x v="1"/>
    <x v="6"/>
    <s v="Kisumu"/>
    <s v="Africa&gt;Kenya&gt;Kisumu"/>
    <s v="Consumer"/>
    <x v="0"/>
    <x v="11"/>
    <x v="1"/>
    <x v="377"/>
    <n v="1248.3900000000001"/>
    <n v="1805.11"/>
    <n v="1805.11"/>
    <s v="High"/>
    <n v="0.20300000000000001"/>
    <x v="17"/>
    <n v="11"/>
    <x v="378"/>
    <n v="13732.29"/>
    <n v="2093.1093699999965"/>
    <n v="0.13226265707820786"/>
    <d v="2023-01-20T00:00:00"/>
    <x v="18"/>
  </r>
  <r>
    <x v="378"/>
    <x v="289"/>
    <x v="289"/>
    <s v="Q3 -2024"/>
    <d v="2024-08-09T00:00:00"/>
    <d v="2024-08-09T00:00:00"/>
    <x v="1"/>
    <x v="1"/>
    <x v="6"/>
    <s v="Mombasa"/>
    <s v="Africa&gt;Kenya&gt;Mombasa"/>
    <s v="Consumer"/>
    <x v="4"/>
    <x v="7"/>
    <x v="4"/>
    <x v="378"/>
    <n v="643.21"/>
    <n v="1112.81"/>
    <n v="1112.81"/>
    <s v="Medium"/>
    <n v="0.14099999999999999"/>
    <x v="50"/>
    <n v="4"/>
    <x v="379"/>
    <n v="2572.84"/>
    <n v="1250.7751599999997"/>
    <n v="0.32711847496702562"/>
    <d v="2023-01-20T00:00:00"/>
    <x v="21"/>
  </r>
  <r>
    <x v="379"/>
    <x v="290"/>
    <x v="290"/>
    <s v="Q2 -2024"/>
    <d v="2024-05-27T00:00:00"/>
    <d v="2024-05-27T00:00:00"/>
    <x v="5"/>
    <x v="2"/>
    <x v="4"/>
    <s v="Austin"/>
    <s v="Americas&gt;USA&gt;Austin"/>
    <s v="Non-Profit"/>
    <x v="2"/>
    <x v="14"/>
    <x v="5"/>
    <x v="379"/>
    <n v="1484.23"/>
    <n v="3472.81"/>
    <n v="3472.81"/>
    <s v="High"/>
    <n v="0.25600000000000001"/>
    <x v="189"/>
    <n v="12"/>
    <x v="380"/>
    <n v="17810.760000000002"/>
    <n v="13194.487679999998"/>
    <n v="0.42555659661803413"/>
    <d v="2023-01-13T00:00:00"/>
    <x v="14"/>
  </r>
  <r>
    <x v="380"/>
    <x v="220"/>
    <x v="220"/>
    <s v="Q1 -2024"/>
    <d v="2024-03-25T00:00:00"/>
    <d v="2024-03-25T00:00:00"/>
    <x v="22"/>
    <x v="3"/>
    <x v="9"/>
    <s v="Munich"/>
    <s v="Europe&gt;Germany&gt;Munich"/>
    <s v="Corporate"/>
    <x v="2"/>
    <x v="12"/>
    <x v="2"/>
    <x v="380"/>
    <n v="712.84"/>
    <n v="927.51"/>
    <n v="927.51"/>
    <s v="Medium"/>
    <n v="0.24299999999999999"/>
    <x v="88"/>
    <n v="27"/>
    <x v="381"/>
    <n v="19246.68"/>
    <n v="-289.30311000000074"/>
    <n v="-1.5260714163076427E-2"/>
    <d v="2023-01-22T00:00:00"/>
    <x v="22"/>
  </r>
  <r>
    <x v="381"/>
    <x v="291"/>
    <x v="291"/>
    <s v="Q2 -2024"/>
    <d v="2024-06-25T00:00:00"/>
    <d v="2024-06-25T00:00:00"/>
    <x v="17"/>
    <x v="3"/>
    <x v="8"/>
    <s v="Birmingham"/>
    <s v="Europe&gt;United Kingdom&gt;Birmingham"/>
    <s v="Small Business"/>
    <x v="4"/>
    <x v="11"/>
    <x v="0"/>
    <x v="381"/>
    <n v="951.44"/>
    <n v="1646.43"/>
    <n v="1646.43"/>
    <s v="High"/>
    <n v="0.11"/>
    <x v="159"/>
    <n v="24"/>
    <x v="382"/>
    <n v="22834.560000000001"/>
    <n v="12333.184799999999"/>
    <n v="0.35069592520473475"/>
    <d v="2023-01-19T00:00:00"/>
    <x v="15"/>
  </r>
  <r>
    <x v="382"/>
    <x v="292"/>
    <x v="292"/>
    <s v="Q2 -2024"/>
    <d v="2024-06-23T00:00:00"/>
    <d v="2024-06-23T00:00:00"/>
    <x v="22"/>
    <x v="1"/>
    <x v="6"/>
    <s v="Nairobi"/>
    <s v="Africa&gt;Kenya&gt;Nairobi"/>
    <s v="Consumer"/>
    <x v="1"/>
    <x v="6"/>
    <x v="4"/>
    <x v="382"/>
    <n v="1208.74"/>
    <n v="1594.78"/>
    <n v="1594.78"/>
    <s v="High"/>
    <n v="5.8999999999999997E-2"/>
    <x v="54"/>
    <n v="39"/>
    <x v="383"/>
    <n v="47140.86"/>
    <n v="11385.971219999999"/>
    <n v="0.1945427589817838"/>
    <d v="2023-01-20T00:00:00"/>
    <x v="14"/>
  </r>
  <r>
    <x v="383"/>
    <x v="163"/>
    <x v="163"/>
    <s v="Q1 -2024"/>
    <d v="2024-01-01T00:00:00"/>
    <d v="2024-01-08T00:00:00"/>
    <x v="1"/>
    <x v="2"/>
    <x v="4"/>
    <s v="Chicago"/>
    <s v="Americas&gt;USA&gt;Chicago"/>
    <s v="Education"/>
    <x v="4"/>
    <x v="12"/>
    <x v="6"/>
    <x v="383"/>
    <n v="404.77"/>
    <n v="433.88"/>
    <n v="433.88"/>
    <s v="Low"/>
    <n v="0.215"/>
    <x v="190"/>
    <n v="22"/>
    <x v="384"/>
    <n v="8904.9399999999987"/>
    <n v="-1411.8323999999975"/>
    <n v="-0.18841747314558746"/>
    <d v="2023-01-13T00:00:00"/>
    <x v="4"/>
  </r>
  <r>
    <x v="384"/>
    <x v="293"/>
    <x v="293"/>
    <s v="Q4 -2024"/>
    <d v="2024-11-09T00:00:00"/>
    <d v="2024-11-09T00:00:00"/>
    <x v="29"/>
    <x v="0"/>
    <x v="7"/>
    <s v="Shanghai"/>
    <s v="Asia&gt;China&gt;Shanghai"/>
    <s v="Non-Profit"/>
    <x v="2"/>
    <x v="3"/>
    <x v="1"/>
    <x v="384"/>
    <n v="391.64"/>
    <n v="504.76"/>
    <n v="504.76"/>
    <s v="Low"/>
    <n v="4.0000000000000001E-3"/>
    <x v="73"/>
    <n v="13"/>
    <x v="385"/>
    <n v="5091.32"/>
    <n v="1444.3124800000005"/>
    <n v="0.22099046793402319"/>
    <d v="2023-01-12T00:00:00"/>
    <x v="23"/>
  </r>
  <r>
    <x v="385"/>
    <x v="249"/>
    <x v="249"/>
    <s v="Q3 -2024"/>
    <d v="2024-09-13T00:00:00"/>
    <d v="2024-09-13T00:00:00"/>
    <x v="26"/>
    <x v="3"/>
    <x v="8"/>
    <s v="London"/>
    <s v="Europe&gt;United Kingdom&gt;London"/>
    <s v="Consumer"/>
    <x v="4"/>
    <x v="3"/>
    <x v="6"/>
    <x v="385"/>
    <n v="1133.08"/>
    <n v="976.17"/>
    <n v="976.17"/>
    <s v="Medium"/>
    <n v="4.2000000000000003E-2"/>
    <x v="89"/>
    <n v="27"/>
    <x v="386"/>
    <n v="30593.159999999996"/>
    <n v="-5343.5467799999969"/>
    <n v="-0.21162885678452373"/>
    <d v="2023-01-19T00:00:00"/>
    <x v="18"/>
  </r>
  <r>
    <x v="386"/>
    <x v="294"/>
    <x v="294"/>
    <s v="Q4 -2024"/>
    <d v="2024-10-28T00:00:00"/>
    <d v="2024-10-28T00:00:00"/>
    <x v="26"/>
    <x v="0"/>
    <x v="7"/>
    <s v="Shanghai"/>
    <s v="Asia&gt;China&gt;Shanghai"/>
    <s v="Small Business"/>
    <x v="1"/>
    <x v="9"/>
    <x v="6"/>
    <x v="386"/>
    <n v="1331.77"/>
    <n v="2606.11"/>
    <n v="2606.11"/>
    <s v="High"/>
    <n v="0.02"/>
    <x v="85"/>
    <n v="6"/>
    <x v="387"/>
    <n v="7990.62"/>
    <n v="7333.3067999999994"/>
    <n v="0.47855271665745619"/>
    <d v="2023-01-12T00:00:00"/>
    <x v="12"/>
  </r>
  <r>
    <x v="387"/>
    <x v="295"/>
    <x v="295"/>
    <s v="Q4 -2024"/>
    <d v="2024-11-06T00:00:00"/>
    <d v="2024-11-06T00:00:00"/>
    <x v="22"/>
    <x v="2"/>
    <x v="4"/>
    <s v="Chicago"/>
    <s v="Americas&gt;USA&gt;Chicago"/>
    <s v="Education"/>
    <x v="5"/>
    <x v="14"/>
    <x v="3"/>
    <x v="387"/>
    <n v="942.02"/>
    <n v="1028.46"/>
    <n v="1028.46"/>
    <s v="Medium"/>
    <n v="0"/>
    <x v="5"/>
    <n v="9"/>
    <x v="388"/>
    <n v="8478.18"/>
    <n v="777.95999999999913"/>
    <n v="8.4047994088248354E-2"/>
    <d v="2023-01-13T00:00:00"/>
    <x v="12"/>
  </r>
  <r>
    <x v="388"/>
    <x v="296"/>
    <x v="296"/>
    <s v="Q3 -2024"/>
    <d v="2024-09-04T00:00:00"/>
    <d v="2024-09-04T00:00:00"/>
    <x v="4"/>
    <x v="3"/>
    <x v="9"/>
    <s v="Frankfurt"/>
    <s v="Europe&gt;Germany&gt;Frankfurt"/>
    <s v="Non-Profit"/>
    <x v="0"/>
    <x v="11"/>
    <x v="1"/>
    <x v="388"/>
    <n v="90.04"/>
    <n v="194.62"/>
    <n v="194.62"/>
    <s v="Low"/>
    <n v="4.2999999999999997E-2"/>
    <x v="191"/>
    <n v="32"/>
    <x v="389"/>
    <n v="2881.28"/>
    <n v="3078.7628799999998"/>
    <n v="0.51656723650954672"/>
    <d v="2023-01-22T00:00:00"/>
    <x v="18"/>
  </r>
  <r>
    <x v="389"/>
    <x v="297"/>
    <x v="297"/>
    <s v="Q1 -2024"/>
    <d v="2024-04-17T00:00:00"/>
    <d v="2024-04-17T00:00:00"/>
    <x v="3"/>
    <x v="3"/>
    <x v="9"/>
    <s v="Frankfurt"/>
    <s v="Europe&gt;Germany&gt;Frankfurt"/>
    <s v="Education"/>
    <x v="3"/>
    <x v="7"/>
    <x v="3"/>
    <x v="389"/>
    <n v="1025.51"/>
    <n v="1436.54"/>
    <n v="1436.54"/>
    <s v="Medium"/>
    <n v="0.13900000000000001"/>
    <x v="37"/>
    <n v="28"/>
    <x v="390"/>
    <n v="28714.28"/>
    <n v="5917.8263200000001"/>
    <n v="0.17087688127656453"/>
    <d v="2023-01-22T00:00:00"/>
    <x v="20"/>
  </r>
  <r>
    <x v="390"/>
    <x v="298"/>
    <x v="298"/>
    <s v="Q1 -2024"/>
    <d v="2024-02-11T00:00:00"/>
    <d v="2024-02-11T00:00:00"/>
    <x v="13"/>
    <x v="3"/>
    <x v="9"/>
    <s v="Frankfurt"/>
    <s v="Europe&gt;Germany&gt;Frankfurt"/>
    <s v="Non-Profit"/>
    <x v="1"/>
    <x v="1"/>
    <x v="3"/>
    <x v="390"/>
    <n v="504.93"/>
    <n v="819.06"/>
    <n v="819.06"/>
    <s v="Medium"/>
    <n v="0.22600000000000001"/>
    <x v="120"/>
    <n v="15"/>
    <x v="391"/>
    <n v="7573.95"/>
    <n v="1935.3365999999996"/>
    <n v="0.20352069312959814"/>
    <d v="2023-01-22T00:00:00"/>
    <x v="4"/>
  </r>
  <r>
    <x v="391"/>
    <x v="299"/>
    <x v="299"/>
    <s v="Q4 -2024"/>
    <d v="2024-10-24T00:00:00"/>
    <d v="2024-10-24T00:00:00"/>
    <x v="21"/>
    <x v="3"/>
    <x v="10"/>
    <s v="Paris"/>
    <s v="Europe&gt;France&gt;Paris"/>
    <s v="Education"/>
    <x v="1"/>
    <x v="3"/>
    <x v="2"/>
    <x v="391"/>
    <n v="816.7"/>
    <n v="1010.75"/>
    <n v="1010.75"/>
    <s v="Medium"/>
    <n v="4.7E-2"/>
    <x v="38"/>
    <n v="43"/>
    <x v="392"/>
    <n v="35118.1"/>
    <n v="6301.4242499999964"/>
    <n v="0.15213656757537472"/>
    <d v="2023-01-10T00:00:00"/>
    <x v="12"/>
  </r>
  <r>
    <x v="392"/>
    <x v="300"/>
    <x v="300"/>
    <s v="Q1 -2024"/>
    <d v="2024-02-19T00:00:00"/>
    <d v="2024-02-19T00:00:00"/>
    <x v="19"/>
    <x v="0"/>
    <x v="7"/>
    <s v="Shenzhen"/>
    <s v="Asia&gt;China&gt;Shenzhen"/>
    <s v="Small Business"/>
    <x v="2"/>
    <x v="7"/>
    <x v="4"/>
    <x v="392"/>
    <n v="993.75"/>
    <n v="1310.29"/>
    <n v="1310.29"/>
    <s v="Medium"/>
    <n v="0.215"/>
    <x v="190"/>
    <n v="19"/>
    <x v="393"/>
    <n v="18881.25"/>
    <n v="661.72535000000062"/>
    <n v="3.3860010471742245E-2"/>
    <d v="2023-01-12T00:00:00"/>
    <x v="13"/>
  </r>
  <r>
    <x v="393"/>
    <x v="213"/>
    <x v="213"/>
    <s v="Q1 -2024"/>
    <d v="2024-02-21T00:00:00"/>
    <d v="2024-02-21T00:00:00"/>
    <x v="23"/>
    <x v="3"/>
    <x v="10"/>
    <s v="Paris"/>
    <s v="Europe&gt;France&gt;Paris"/>
    <s v="Small Business"/>
    <x v="4"/>
    <x v="0"/>
    <x v="6"/>
    <x v="393"/>
    <n v="656.2"/>
    <n v="1467.17"/>
    <n v="1467.17"/>
    <s v="Medium"/>
    <n v="1.7999999999999999E-2"/>
    <x v="192"/>
    <n v="5"/>
    <x v="394"/>
    <n v="3281"/>
    <n v="3922.8047000000006"/>
    <n v="0.54454623124360946"/>
    <d v="2023-01-10T00:00:00"/>
    <x v="13"/>
  </r>
  <r>
    <x v="394"/>
    <x v="301"/>
    <x v="301"/>
    <s v="Q4 -2024"/>
    <d v="2024-11-07T00:00:00"/>
    <d v="2024-11-07T00:00:00"/>
    <x v="10"/>
    <x v="3"/>
    <x v="10"/>
    <s v="Lyon"/>
    <s v="Europe&gt;France&gt;Lyon"/>
    <s v="Corporate"/>
    <x v="2"/>
    <x v="2"/>
    <x v="3"/>
    <x v="394"/>
    <n v="740.68"/>
    <n v="1837.19"/>
    <n v="1837.19"/>
    <s v="High"/>
    <n v="0.19700000000000001"/>
    <x v="10"/>
    <n v="17"/>
    <x v="395"/>
    <n v="12591.56"/>
    <n v="12487.920689999997"/>
    <n v="0.4979337827748298"/>
    <d v="2023-01-10T00:00:00"/>
    <x v="12"/>
  </r>
  <r>
    <x v="395"/>
    <x v="302"/>
    <x v="302"/>
    <s v="Q3 -2024"/>
    <d v="2024-10-05T00:00:00"/>
    <d v="2024-10-05T00:00:00"/>
    <x v="16"/>
    <x v="0"/>
    <x v="7"/>
    <s v="Shanghai"/>
    <s v="Asia&gt;China&gt;Shanghai"/>
    <s v="Small Business"/>
    <x v="2"/>
    <x v="7"/>
    <x v="4"/>
    <x v="395"/>
    <n v="1405.56"/>
    <n v="2968.87"/>
    <n v="2968.87"/>
    <s v="High"/>
    <n v="0.16900000000000001"/>
    <x v="45"/>
    <n v="5"/>
    <x v="396"/>
    <n v="7027.7999999999993"/>
    <n v="5307.8548499999997"/>
    <n v="0.4302856163327235"/>
    <d v="2023-01-12T00:00:00"/>
    <x v="23"/>
  </r>
  <r>
    <x v="396"/>
    <x v="303"/>
    <x v="303"/>
    <s v="Q4 -2024"/>
    <d v="2024-11-21T00:00:00"/>
    <d v="2024-11-21T00:00:00"/>
    <x v="25"/>
    <x v="0"/>
    <x v="1"/>
    <s v="Mumbai"/>
    <s v="Asia&gt;India&gt;Mumbai"/>
    <s v="Corporate"/>
    <x v="3"/>
    <x v="7"/>
    <x v="4"/>
    <x v="396"/>
    <n v="903.41"/>
    <n v="1860.41"/>
    <n v="1860.41"/>
    <s v="High"/>
    <n v="0.108"/>
    <x v="93"/>
    <n v="5"/>
    <x v="397"/>
    <n v="4517.05"/>
    <n v="3780.3786000000009"/>
    <n v="0.455608451996803"/>
    <d v="2023-01-29T00:00:00"/>
    <x v="12"/>
  </r>
  <r>
    <x v="397"/>
    <x v="304"/>
    <x v="304"/>
    <s v="Q3 -2024"/>
    <d v="2024-10-14T00:00:00"/>
    <d v="2024-10-14T00:00:00"/>
    <x v="12"/>
    <x v="2"/>
    <x v="11"/>
    <s v="Rio de Janeiro"/>
    <s v="Americas&gt;Brazil&gt;Rio de Janeiro"/>
    <s v="Small Business"/>
    <x v="0"/>
    <x v="4"/>
    <x v="1"/>
    <x v="397"/>
    <n v="386.96"/>
    <n v="937.46"/>
    <n v="937.46"/>
    <s v="Medium"/>
    <n v="0.26600000000000001"/>
    <x v="193"/>
    <n v="41"/>
    <x v="398"/>
    <n v="15865.359999999999"/>
    <n v="12346.561240000001"/>
    <n v="0.43763631462626335"/>
    <d v="2023-01-29T00:00:00"/>
    <x v="18"/>
  </r>
  <r>
    <x v="398"/>
    <x v="305"/>
    <x v="305"/>
    <s v="Q4 -2024"/>
    <d v="2024-12-15T00:00:00"/>
    <d v="2024-12-15T00:00:00"/>
    <x v="12"/>
    <x v="3"/>
    <x v="10"/>
    <s v="Paris"/>
    <s v="Europe&gt;France&gt;Paris"/>
    <s v="Corporate"/>
    <x v="2"/>
    <x v="10"/>
    <x v="1"/>
    <x v="398"/>
    <n v="1203.58"/>
    <n v="1856.16"/>
    <n v="1856.16"/>
    <s v="High"/>
    <n v="0.129"/>
    <x v="90"/>
    <n v="22"/>
    <x v="399"/>
    <n v="26478.76"/>
    <n v="9088.9779200000085"/>
    <n v="0.25553994860295032"/>
    <d v="2023-01-10T00:00:00"/>
    <x v="16"/>
  </r>
  <r>
    <x v="399"/>
    <x v="291"/>
    <x v="291"/>
    <s v="Q2 -2024"/>
    <d v="2024-06-28T00:00:00"/>
    <d v="2024-06-28T00:00:00"/>
    <x v="2"/>
    <x v="1"/>
    <x v="2"/>
    <s v="Port Harcourt"/>
    <s v="Africa&gt;Nigeria&gt;Port Harcourt"/>
    <s v="Non-Profit"/>
    <x v="3"/>
    <x v="8"/>
    <x v="0"/>
    <x v="399"/>
    <n v="242.31"/>
    <n v="587.95000000000005"/>
    <n v="587.95000000000005"/>
    <s v="Low"/>
    <n v="0.22900000000000001"/>
    <x v="137"/>
    <n v="6"/>
    <x v="400"/>
    <n v="1453.8600000000001"/>
    <n v="1265.9967000000001"/>
    <n v="0.46546448568411714"/>
    <d v="2023-01-15T00:00:00"/>
    <x v="15"/>
  </r>
  <r>
    <x v="400"/>
    <x v="212"/>
    <x v="212"/>
    <s v="Q4 -2024"/>
    <d v="2024-12-30T00:00:00"/>
    <d v="2024-12-30T00:00:00"/>
    <x v="9"/>
    <x v="3"/>
    <x v="10"/>
    <s v="Marseille"/>
    <s v="Europe&gt;France&gt;Marseille"/>
    <s v="Consumer"/>
    <x v="4"/>
    <x v="3"/>
    <x v="1"/>
    <x v="400"/>
    <n v="117.64"/>
    <n v="175.67"/>
    <n v="175.67"/>
    <s v="Low"/>
    <n v="0"/>
    <x v="5"/>
    <n v="10"/>
    <x v="401"/>
    <n v="1176.4000000000001"/>
    <n v="580.29999999999973"/>
    <n v="0.33033528775545046"/>
    <d v="2023-01-10T00:00:00"/>
    <x v="16"/>
  </r>
  <r>
    <x v="401"/>
    <x v="306"/>
    <x v="306"/>
    <s v="Q1 -2024"/>
    <d v="2024-03-16T00:00:00"/>
    <d v="2024-03-16T00:00:00"/>
    <x v="6"/>
    <x v="2"/>
    <x v="3"/>
    <s v="Vancouver"/>
    <s v="Americas&gt;Canada&gt;Vancouver"/>
    <s v="Non-Profit"/>
    <x v="3"/>
    <x v="2"/>
    <x v="1"/>
    <x v="401"/>
    <n v="248.24"/>
    <n v="464.05"/>
    <n v="464.05"/>
    <s v="Low"/>
    <n v="0.16900000000000001"/>
    <x v="45"/>
    <n v="11"/>
    <x v="402"/>
    <n v="2730.6400000000003"/>
    <n v="1511.2410499999996"/>
    <n v="0.3562667203975462"/>
    <d v="2023-01-02T00:00:00"/>
    <x v="20"/>
  </r>
  <r>
    <x v="402"/>
    <x v="260"/>
    <x v="260"/>
    <s v="Q3 -2024"/>
    <d v="2024-09-07T00:00:00"/>
    <d v="2024-09-07T00:00:00"/>
    <x v="8"/>
    <x v="3"/>
    <x v="10"/>
    <s v="Lyon"/>
    <s v="Europe&gt;France&gt;Lyon"/>
    <s v="Corporate"/>
    <x v="3"/>
    <x v="5"/>
    <x v="2"/>
    <x v="402"/>
    <n v="297.58999999999997"/>
    <n v="666.41"/>
    <n v="666.41"/>
    <s v="Low"/>
    <n v="0"/>
    <x v="5"/>
    <n v="10"/>
    <x v="403"/>
    <n v="2975.8999999999996"/>
    <n v="3688.2"/>
    <n v="0.55344307558409989"/>
    <d v="2023-01-10T00:00:00"/>
    <x v="18"/>
  </r>
  <r>
    <x v="403"/>
    <x v="307"/>
    <x v="307"/>
    <s v="Q4 -2024"/>
    <d v="2024-11-08T00:00:00"/>
    <d v="2024-11-08T00:00:00"/>
    <x v="7"/>
    <x v="0"/>
    <x v="0"/>
    <s v="Osaka"/>
    <s v="Asia&gt;Japan&gt;Osaka"/>
    <s v="Small Business"/>
    <x v="0"/>
    <x v="5"/>
    <x v="6"/>
    <x v="403"/>
    <n v="82.14"/>
    <n v="166.04"/>
    <n v="166.04"/>
    <s v="Low"/>
    <n v="0"/>
    <x v="5"/>
    <n v="10"/>
    <x v="404"/>
    <n v="821.4"/>
    <n v="838.99999999999989"/>
    <n v="0.50529992772825827"/>
    <d v="2023-03-03T00:00:00"/>
    <x v="18"/>
  </r>
  <r>
    <x v="404"/>
    <x v="308"/>
    <x v="308"/>
    <s v="Q3 -2024"/>
    <d v="2024-07-24T00:00:00"/>
    <d v="2024-07-31T00:00:00"/>
    <x v="1"/>
    <x v="1"/>
    <x v="6"/>
    <s v="Mombasa"/>
    <s v="Africa&gt;Kenya&gt;Mombasa"/>
    <s v="Non-Profit"/>
    <x v="3"/>
    <x v="5"/>
    <x v="4"/>
    <x v="404"/>
    <n v="1494.4"/>
    <n v="3661.07"/>
    <n v="3661.07"/>
    <s v="High"/>
    <n v="7.1999999999999995E-2"/>
    <x v="107"/>
    <n v="7"/>
    <x v="405"/>
    <n v="10460.800000000001"/>
    <n v="13321.51072"/>
    <n v="0.56014366630897339"/>
    <d v="2023-01-20T00:00:00"/>
    <x v="21"/>
  </r>
  <r>
    <x v="405"/>
    <x v="309"/>
    <x v="309"/>
    <s v="Q4 -2024"/>
    <d v="2024-12-20T00:00:00"/>
    <d v="2024-12-20T00:00:00"/>
    <x v="2"/>
    <x v="0"/>
    <x v="7"/>
    <s v="Shenzhen"/>
    <s v="Asia&gt;China&gt;Shenzhen"/>
    <s v="Small Business"/>
    <x v="3"/>
    <x v="5"/>
    <x v="6"/>
    <x v="405"/>
    <n v="717.55"/>
    <n v="546.42999999999995"/>
    <n v="546.42999999999995"/>
    <s v="Low"/>
    <n v="4.7E-2"/>
    <x v="38"/>
    <n v="18"/>
    <x v="406"/>
    <n v="12915.9"/>
    <n v="-3542.4397800000006"/>
    <n v="-0.37792231437026369"/>
    <d v="2023-01-12T00:00:00"/>
    <x v="17"/>
  </r>
  <r>
    <x v="406"/>
    <x v="310"/>
    <x v="310"/>
    <s v="Q3 -2024"/>
    <d v="2024-10-02T00:00:00"/>
    <d v="2024-10-02T00:00:00"/>
    <x v="8"/>
    <x v="1"/>
    <x v="6"/>
    <s v="Mombasa"/>
    <s v="Africa&gt;Kenya&gt;Mombasa"/>
    <s v="Small Business"/>
    <x v="0"/>
    <x v="8"/>
    <x v="5"/>
    <x v="406"/>
    <n v="1338.99"/>
    <n v="1765.76"/>
    <n v="1765.76"/>
    <s v="High"/>
    <n v="0.126"/>
    <x v="41"/>
    <n v="24"/>
    <x v="407"/>
    <n v="32135.760000000002"/>
    <n v="4902.8217599999989"/>
    <n v="0.1323706666677725"/>
    <d v="2023-01-20T00:00:00"/>
    <x v="18"/>
  </r>
  <r>
    <x v="407"/>
    <x v="311"/>
    <x v="311"/>
    <s v="Q1 -2024"/>
    <d v="2024-03-09T00:00:00"/>
    <d v="2024-03-09T00:00:00"/>
    <x v="4"/>
    <x v="3"/>
    <x v="10"/>
    <s v="Marseille"/>
    <s v="Europe&gt;France&gt;Marseille"/>
    <s v="Small Business"/>
    <x v="1"/>
    <x v="1"/>
    <x v="3"/>
    <x v="407"/>
    <n v="322.44"/>
    <n v="395.61"/>
    <n v="395.61"/>
    <s v="Low"/>
    <n v="0"/>
    <x v="5"/>
    <n v="34"/>
    <x v="408"/>
    <n v="10962.96"/>
    <n v="2487.7800000000007"/>
    <n v="0.18495487980586947"/>
    <d v="2023-01-10T00:00:00"/>
    <x v="22"/>
  </r>
  <r>
    <x v="408"/>
    <x v="312"/>
    <x v="312"/>
    <s v="Q3 -2024"/>
    <d v="2024-08-23T00:00:00"/>
    <d v="2024-08-23T00:00:00"/>
    <x v="13"/>
    <x v="0"/>
    <x v="1"/>
    <s v="Hyderabad"/>
    <s v="Asia&gt;India&gt;Hyderabad"/>
    <s v="Corporate"/>
    <x v="0"/>
    <x v="5"/>
    <x v="6"/>
    <x v="408"/>
    <n v="1339.24"/>
    <n v="1558.89"/>
    <n v="1558.89"/>
    <s v="High"/>
    <n v="0.192"/>
    <x v="51"/>
    <n v="24"/>
    <x v="409"/>
    <n v="32141.760000000002"/>
    <n v="-1911.76512"/>
    <n v="-6.3240669659021781E-2"/>
    <d v="2023-01-29T00:00:00"/>
    <x v="15"/>
  </r>
  <r>
    <x v="409"/>
    <x v="172"/>
    <x v="172"/>
    <s v="Q2 -2024"/>
    <d v="2024-06-15T00:00:00"/>
    <d v="2024-06-15T00:00:00"/>
    <x v="4"/>
    <x v="1"/>
    <x v="6"/>
    <s v="Mombasa"/>
    <s v="Africa&gt;Kenya&gt;Mombasa"/>
    <s v="Education"/>
    <x v="2"/>
    <x v="2"/>
    <x v="5"/>
    <x v="409"/>
    <n v="1295.18"/>
    <n v="3024.03"/>
    <n v="3024.03"/>
    <s v="High"/>
    <n v="0.192"/>
    <x v="51"/>
    <n v="8"/>
    <x v="410"/>
    <n v="10361.44"/>
    <n v="9185.8899200000033"/>
    <n v="0.46993067378483178"/>
    <d v="2023-01-20T00:00:00"/>
    <x v="14"/>
  </r>
  <r>
    <x v="410"/>
    <x v="279"/>
    <x v="279"/>
    <s v="Q2 -2024"/>
    <d v="2024-06-18T00:00:00"/>
    <d v="2024-06-18T00:00:00"/>
    <x v="16"/>
    <x v="3"/>
    <x v="9"/>
    <s v="Frankfurt"/>
    <s v="Europe&gt;Germany&gt;Frankfurt"/>
    <s v="Small Business"/>
    <x v="2"/>
    <x v="1"/>
    <x v="5"/>
    <x v="410"/>
    <n v="986.85"/>
    <n v="2422.1"/>
    <n v="2422.1"/>
    <s v="High"/>
    <n v="7.5999999999999998E-2"/>
    <x v="133"/>
    <n v="10"/>
    <x v="411"/>
    <n v="9868.5"/>
    <n v="12511.704000000002"/>
    <n v="0.55905227673527913"/>
    <d v="2023-01-22T00:00:00"/>
    <x v="14"/>
  </r>
  <r>
    <x v="411"/>
    <x v="313"/>
    <x v="313"/>
    <s v="Q2 -2024"/>
    <d v="2024-05-10T00:00:00"/>
    <d v="2024-05-10T00:00:00"/>
    <x v="19"/>
    <x v="1"/>
    <x v="6"/>
    <s v="Kisumu"/>
    <s v="Africa&gt;Kenya&gt;Kisumu"/>
    <s v="Non-Profit"/>
    <x v="2"/>
    <x v="13"/>
    <x v="3"/>
    <x v="411"/>
    <n v="513.30999999999995"/>
    <n v="1186.26"/>
    <n v="1186.26"/>
    <s v="Medium"/>
    <n v="9.4E-2"/>
    <x v="16"/>
    <n v="15"/>
    <x v="412"/>
    <n v="7699.65"/>
    <n v="8421.6234000000022"/>
    <n v="0.52239194702820446"/>
    <d v="2023-01-20T00:00:00"/>
    <x v="19"/>
  </r>
  <r>
    <x v="412"/>
    <x v="314"/>
    <x v="314"/>
    <s v="Q1 -2024"/>
    <d v="2024-04-13T00:00:00"/>
    <d v="2024-04-13T00:00:00"/>
    <x v="14"/>
    <x v="3"/>
    <x v="10"/>
    <s v="Paris"/>
    <s v="Europe&gt;France&gt;Paris"/>
    <s v="Small Business"/>
    <x v="2"/>
    <x v="4"/>
    <x v="1"/>
    <x v="412"/>
    <n v="287.61"/>
    <n v="628.54"/>
    <n v="628.54"/>
    <s v="Low"/>
    <n v="0.13500000000000001"/>
    <x v="15"/>
    <n v="21"/>
    <x v="413"/>
    <n v="6039.81"/>
    <n v="5377.619099999999"/>
    <n v="0.47100087531964613"/>
    <d v="2023-01-10T00:00:00"/>
    <x v="20"/>
  </r>
  <r>
    <x v="413"/>
    <x v="315"/>
    <x v="315"/>
    <s v="Q4 -2024"/>
    <d v="2025-01-12T00:00:00"/>
    <d v="2025-01-12T00:00:00"/>
    <x v="29"/>
    <x v="0"/>
    <x v="7"/>
    <s v="Shenzhen"/>
    <s v="Asia&gt;China&gt;Shenzhen"/>
    <s v="Education"/>
    <x v="2"/>
    <x v="5"/>
    <x v="2"/>
    <x v="413"/>
    <n v="1412.15"/>
    <n v="1631.04"/>
    <n v="1631.04"/>
    <s v="High"/>
    <n v="8.9999999999999993E-3"/>
    <x v="194"/>
    <n v="6"/>
    <x v="414"/>
    <n v="8472.9000000000015"/>
    <n v="1225.2638399999978"/>
    <n v="0.12633977526203535"/>
    <d v="2023-01-12T00:00:00"/>
    <x v="17"/>
  </r>
  <r>
    <x v="414"/>
    <x v="180"/>
    <x v="180"/>
    <s v="Q4 -2024"/>
    <d v="2024-12-19T00:00:00"/>
    <d v="2024-12-19T00:00:00"/>
    <x v="25"/>
    <x v="1"/>
    <x v="2"/>
    <s v="Lagos"/>
    <s v="Africa&gt;Nigeria&gt;Lagos"/>
    <s v="Corporate"/>
    <x v="0"/>
    <x v="2"/>
    <x v="3"/>
    <x v="414"/>
    <n v="488.68"/>
    <n v="984.36"/>
    <n v="984.36"/>
    <s v="Medium"/>
    <n v="5.8999999999999997E-2"/>
    <x v="54"/>
    <n v="14"/>
    <x v="415"/>
    <n v="6841.52"/>
    <n v="6126.4386400000003"/>
    <n v="0.47242891576649876"/>
    <d v="2023-01-15T00:00:00"/>
    <x v="16"/>
  </r>
  <r>
    <x v="415"/>
    <x v="185"/>
    <x v="185"/>
    <s v="Q1 -2024"/>
    <d v="2024-01-27T00:00:00"/>
    <d v="2024-02-03T00:00:00"/>
    <x v="1"/>
    <x v="1"/>
    <x v="5"/>
    <s v="Cape Town"/>
    <s v="Africa&gt;South Africa&gt;Cape Town"/>
    <s v="Enterprise"/>
    <x v="3"/>
    <x v="2"/>
    <x v="2"/>
    <x v="415"/>
    <n v="109.75"/>
    <n v="124.25"/>
    <n v="124.25"/>
    <s v="Low"/>
    <n v="0.12"/>
    <x v="182"/>
    <n v="19"/>
    <x v="416"/>
    <n v="2085.25"/>
    <n v="-7.7899999999999636"/>
    <n v="-3.7497713554051405E-3"/>
    <d v="2023-01-07T00:00:00"/>
    <x v="13"/>
  </r>
  <r>
    <x v="416"/>
    <x v="181"/>
    <x v="181"/>
    <s v="Q1 -2024"/>
    <d v="2024-01-22T00:00:00"/>
    <d v="2024-01-22T00:00:00"/>
    <x v="25"/>
    <x v="0"/>
    <x v="1"/>
    <s v="Mumbai"/>
    <s v="Asia&gt;India&gt;Mumbai"/>
    <s v="Enterprise"/>
    <x v="4"/>
    <x v="5"/>
    <x v="2"/>
    <x v="416"/>
    <n v="313.60000000000002"/>
    <n v="334.28"/>
    <n v="334.28"/>
    <s v="Low"/>
    <n v="0.14000000000000001"/>
    <x v="28"/>
    <n v="22"/>
    <x v="417"/>
    <n v="6899.2000000000007"/>
    <n v="-574.62240000000111"/>
    <n v="-9.0855458868905517E-2"/>
    <d v="2023-01-29T00:00:00"/>
    <x v="4"/>
  </r>
  <r>
    <x v="417"/>
    <x v="232"/>
    <x v="232"/>
    <s v="Q2 -2024"/>
    <d v="2024-05-16T00:00:00"/>
    <d v="2024-05-16T00:00:00"/>
    <x v="20"/>
    <x v="0"/>
    <x v="1"/>
    <s v="Bengaluru"/>
    <s v="Asia&gt;India&gt;Bengaluru"/>
    <s v="Small Business"/>
    <x v="0"/>
    <x v="11"/>
    <x v="2"/>
    <x v="417"/>
    <n v="901.19"/>
    <n v="2125.44"/>
    <n v="2125.44"/>
    <s v="High"/>
    <n v="7.0999999999999994E-2"/>
    <x v="60"/>
    <n v="12"/>
    <x v="418"/>
    <n v="10814.28"/>
    <n v="12880.125119999999"/>
    <n v="0.54359352154100415"/>
    <d v="2023-01-29T00:00:00"/>
    <x v="19"/>
  </r>
  <r>
    <x v="418"/>
    <x v="316"/>
    <x v="316"/>
    <s v="Q1 -2024"/>
    <d v="2024-03-26T00:00:00"/>
    <d v="2024-03-26T00:00:00"/>
    <x v="23"/>
    <x v="1"/>
    <x v="2"/>
    <s v="Port Harcourt"/>
    <s v="Africa&gt;Nigeria&gt;Port Harcourt"/>
    <s v="Consumer"/>
    <x v="4"/>
    <x v="9"/>
    <x v="5"/>
    <x v="418"/>
    <n v="65.64"/>
    <n v="151.88"/>
    <n v="151.88"/>
    <s v="Low"/>
    <n v="0.16700000000000001"/>
    <x v="180"/>
    <n v="23"/>
    <x v="419"/>
    <n v="1509.72"/>
    <n v="1400.1489199999999"/>
    <n v="0.48117250587356353"/>
    <d v="2023-01-15T00:00:00"/>
    <x v="22"/>
  </r>
  <r>
    <x v="419"/>
    <x v="317"/>
    <x v="317"/>
    <s v="Q3 -2024"/>
    <d v="2024-07-19T00:00:00"/>
    <d v="2024-07-19T00:00:00"/>
    <x v="27"/>
    <x v="1"/>
    <x v="6"/>
    <s v="Kisumu"/>
    <s v="Africa&gt;Kenya&gt;Kisumu"/>
    <s v="Small Business"/>
    <x v="0"/>
    <x v="0"/>
    <x v="5"/>
    <x v="419"/>
    <n v="857.24"/>
    <n v="758.23"/>
    <n v="758.23"/>
    <s v="Medium"/>
    <n v="0.125"/>
    <x v="20"/>
    <n v="6"/>
    <x v="420"/>
    <n v="5143.4400000000005"/>
    <n v="-1162.7325000000005"/>
    <n v="-0.29209192084572921"/>
    <d v="2023-01-20T00:00:00"/>
    <x v="15"/>
  </r>
  <r>
    <x v="420"/>
    <x v="318"/>
    <x v="318"/>
    <s v="Q2 -2024"/>
    <d v="2024-05-19T00:00:00"/>
    <d v="2024-05-19T00:00:00"/>
    <x v="23"/>
    <x v="3"/>
    <x v="9"/>
    <s v="Frankfurt"/>
    <s v="Europe&gt;Germany&gt;Frankfurt"/>
    <s v="Enterprise"/>
    <x v="4"/>
    <x v="14"/>
    <x v="4"/>
    <x v="420"/>
    <n v="668.97"/>
    <n v="1667.44"/>
    <n v="1667.44"/>
    <s v="High"/>
    <n v="3.4000000000000002E-2"/>
    <x v="123"/>
    <n v="15"/>
    <x v="421"/>
    <n v="10034.550000000001"/>
    <n v="14126.6556"/>
    <n v="0.58468339013679016"/>
    <d v="2023-01-22T00:00:00"/>
    <x v="19"/>
  </r>
  <r>
    <x v="421"/>
    <x v="268"/>
    <x v="268"/>
    <s v="Q3 -2024"/>
    <d v="2024-09-07T00:00:00"/>
    <d v="2024-09-07T00:00:00"/>
    <x v="27"/>
    <x v="0"/>
    <x v="1"/>
    <s v="Mumbai"/>
    <s v="Asia&gt;India&gt;Mumbai"/>
    <s v="Education"/>
    <x v="1"/>
    <x v="12"/>
    <x v="6"/>
    <x v="421"/>
    <n v="1066.6500000000001"/>
    <n v="2569.77"/>
    <n v="2569.77"/>
    <s v="High"/>
    <n v="0.13400000000000001"/>
    <x v="32"/>
    <n v="9"/>
    <x v="422"/>
    <n v="9599.85"/>
    <n v="10428.937380000001"/>
    <n v="0.52069739331368348"/>
    <d v="2023-01-29T00:00:00"/>
    <x v="18"/>
  </r>
  <r>
    <x v="422"/>
    <x v="319"/>
    <x v="319"/>
    <s v="Q4 -2024"/>
    <d v="2024-12-12T00:00:00"/>
    <d v="2024-12-12T00:00:00"/>
    <x v="24"/>
    <x v="3"/>
    <x v="9"/>
    <s v="Frankfurt"/>
    <s v="Europe&gt;Germany&gt;Frankfurt"/>
    <s v="Enterprise"/>
    <x v="4"/>
    <x v="12"/>
    <x v="1"/>
    <x v="422"/>
    <n v="72.06"/>
    <n v="122.74"/>
    <n v="122.74"/>
    <s v="Low"/>
    <n v="0.23799999999999999"/>
    <x v="195"/>
    <n v="8"/>
    <x v="423"/>
    <n v="576.48"/>
    <n v="171.74303999999995"/>
    <n v="0.22953455162246802"/>
    <d v="2023-01-22T00:00:00"/>
    <x v="16"/>
  </r>
  <r>
    <x v="423"/>
    <x v="320"/>
    <x v="320"/>
    <s v="Q1 -2024"/>
    <d v="2024-03-19T00:00:00"/>
    <d v="2024-03-19T00:00:00"/>
    <x v="19"/>
    <x v="0"/>
    <x v="7"/>
    <s v="Beijing"/>
    <s v="Asia&gt;China&gt;Beijing"/>
    <s v="Consumer"/>
    <x v="1"/>
    <x v="10"/>
    <x v="5"/>
    <x v="423"/>
    <n v="988.83"/>
    <n v="1206.04"/>
    <n v="1206.04"/>
    <s v="Medium"/>
    <n v="6.3E-2"/>
    <x v="150"/>
    <n v="34"/>
    <x v="424"/>
    <n v="33620.22"/>
    <n v="4801.8023200000025"/>
    <n v="0.12497526236406606"/>
    <d v="2023-01-12T00:00:00"/>
    <x v="22"/>
  </r>
  <r>
    <x v="424"/>
    <x v="321"/>
    <x v="321"/>
    <s v="Q1 -2024"/>
    <d v="2024-01-12T00:00:00"/>
    <d v="2024-01-12T00:00:00"/>
    <x v="26"/>
    <x v="0"/>
    <x v="1"/>
    <s v="Bengaluru"/>
    <s v="Asia&gt;India&gt;Bengaluru"/>
    <s v="Corporate"/>
    <x v="3"/>
    <x v="1"/>
    <x v="1"/>
    <x v="424"/>
    <n v="802.32"/>
    <n v="602.34"/>
    <n v="602.34"/>
    <s v="Low"/>
    <n v="0.12"/>
    <x v="182"/>
    <n v="25"/>
    <x v="425"/>
    <n v="20058"/>
    <n v="-6806.52"/>
    <n v="-0.51364224977134632"/>
    <d v="2023-01-29T00:00:00"/>
    <x v="4"/>
  </r>
  <r>
    <x v="425"/>
    <x v="322"/>
    <x v="322"/>
    <s v="Q2 -2024"/>
    <d v="2024-06-20T00:00:00"/>
    <d v="2024-06-20T00:00:00"/>
    <x v="18"/>
    <x v="1"/>
    <x v="6"/>
    <s v="Kisumu"/>
    <s v="Africa&gt;Kenya&gt;Kisumu"/>
    <s v="Small Business"/>
    <x v="3"/>
    <x v="5"/>
    <x v="4"/>
    <x v="425"/>
    <n v="231.63"/>
    <n v="537.39"/>
    <n v="537.39"/>
    <s v="Low"/>
    <n v="0.08"/>
    <x v="196"/>
    <n v="12"/>
    <x v="426"/>
    <n v="2779.56"/>
    <n v="3153.2256000000002"/>
    <n v="0.53149158129024587"/>
    <d v="2023-01-20T00:00:00"/>
    <x v="14"/>
  </r>
  <r>
    <x v="426"/>
    <x v="323"/>
    <x v="323"/>
    <s v="Q1 -2024"/>
    <d v="2024-01-23T00:00:00"/>
    <d v="2024-01-23T00:00:00"/>
    <x v="4"/>
    <x v="3"/>
    <x v="10"/>
    <s v="Marseille"/>
    <s v="Europe&gt;France&gt;Marseille"/>
    <s v="Corporate"/>
    <x v="3"/>
    <x v="0"/>
    <x v="1"/>
    <x v="426"/>
    <n v="720"/>
    <n v="907.59"/>
    <n v="907.59"/>
    <s v="Medium"/>
    <n v="0.154"/>
    <x v="184"/>
    <n v="10"/>
    <x v="427"/>
    <n v="7200"/>
    <n v="478.21139999999923"/>
    <n v="6.2281614179052078E-2"/>
    <d v="2023-01-10T00:00:00"/>
    <x v="13"/>
  </r>
  <r>
    <x v="427"/>
    <x v="324"/>
    <x v="324"/>
    <s v="Q2 -2024"/>
    <d v="2024-06-24T00:00:00"/>
    <d v="2024-06-24T00:00:00"/>
    <x v="16"/>
    <x v="2"/>
    <x v="3"/>
    <s v="Toronto"/>
    <s v="Americas&gt;Canada&gt;Toronto"/>
    <s v="Small Business"/>
    <x v="3"/>
    <x v="10"/>
    <x v="3"/>
    <x v="427"/>
    <n v="1205.5"/>
    <n v="2210.17"/>
    <n v="2210.17"/>
    <s v="High"/>
    <n v="0.104"/>
    <x v="103"/>
    <n v="23"/>
    <x v="428"/>
    <n v="27726.5"/>
    <n v="17820.683360000003"/>
    <n v="0.39125763758314652"/>
    <d v="2023-01-02T00:00:00"/>
    <x v="15"/>
  </r>
  <r>
    <x v="428"/>
    <x v="325"/>
    <x v="325"/>
    <s v="Q1 -2024"/>
    <d v="2024-02-13T00:00:00"/>
    <d v="2024-02-13T00:00:00"/>
    <x v="28"/>
    <x v="3"/>
    <x v="10"/>
    <s v="Marseille"/>
    <s v="Europe&gt;France&gt;Marseille"/>
    <s v="Corporate"/>
    <x v="0"/>
    <x v="7"/>
    <x v="1"/>
    <x v="428"/>
    <n v="643.53"/>
    <n v="1439.01"/>
    <n v="1439.01"/>
    <s v="Medium"/>
    <n v="0"/>
    <x v="5"/>
    <n v="15"/>
    <x v="429"/>
    <n v="9652.9499999999989"/>
    <n v="11932.200000000003"/>
    <n v="0.55279671440782208"/>
    <d v="2023-01-10T00:00:00"/>
    <x v="13"/>
  </r>
  <r>
    <x v="429"/>
    <x v="326"/>
    <x v="326"/>
    <s v="Q1 -2024"/>
    <d v="2024-02-03T00:00:00"/>
    <d v="2024-02-03T00:00:00"/>
    <x v="19"/>
    <x v="1"/>
    <x v="5"/>
    <s v="Cape Town"/>
    <s v="Africa&gt;South Africa&gt;Cape Town"/>
    <s v="Non-Profit"/>
    <x v="1"/>
    <x v="11"/>
    <x v="1"/>
    <x v="429"/>
    <n v="666.23"/>
    <n v="1382.91"/>
    <n v="1382.91"/>
    <s v="Medium"/>
    <n v="0.17599999999999999"/>
    <x v="140"/>
    <n v="13"/>
    <x v="430"/>
    <n v="8660.99"/>
    <n v="6152.7419200000022"/>
    <n v="0.41534043907553048"/>
    <d v="2023-01-07T00:00:00"/>
    <x v="13"/>
  </r>
  <r>
    <x v="430"/>
    <x v="243"/>
    <x v="243"/>
    <s v="Q3 -2024"/>
    <d v="2024-08-08T00:00:00"/>
    <d v="2024-08-08T00:00:00"/>
    <x v="9"/>
    <x v="3"/>
    <x v="10"/>
    <s v="Marseille"/>
    <s v="Europe&gt;France&gt;Marseille"/>
    <s v="Corporate"/>
    <x v="3"/>
    <x v="5"/>
    <x v="2"/>
    <x v="430"/>
    <n v="1062.3800000000001"/>
    <n v="1503.96"/>
    <n v="1503.96"/>
    <s v="Medium"/>
    <n v="0.18"/>
    <x v="175"/>
    <n v="6"/>
    <x v="431"/>
    <n v="6374.2800000000007"/>
    <n v="1025.2031999999999"/>
    <n v="0.13855064905073369"/>
    <d v="2023-01-10T00:00:00"/>
    <x v="15"/>
  </r>
  <r>
    <x v="431"/>
    <x v="179"/>
    <x v="179"/>
    <s v="Q3 -2024"/>
    <d v="2024-07-12T00:00:00"/>
    <d v="2024-07-19T00:00:00"/>
    <x v="1"/>
    <x v="0"/>
    <x v="0"/>
    <s v="Nagoya"/>
    <s v="Asia&gt;Japan&gt;Nagoya"/>
    <s v="Small Business"/>
    <x v="4"/>
    <x v="3"/>
    <x v="6"/>
    <x v="431"/>
    <n v="105.13"/>
    <n v="244.13"/>
    <n v="244.13"/>
    <s v="Low"/>
    <n v="7.0999999999999994E-2"/>
    <x v="60"/>
    <n v="14"/>
    <x v="432"/>
    <n v="1471.82"/>
    <n v="1703.3347799999999"/>
    <n v="0.53645724319618837"/>
    <d v="2023-03-03T00:00:00"/>
    <x v="14"/>
  </r>
  <r>
    <x v="432"/>
    <x v="327"/>
    <x v="327"/>
    <s v="Q1 -2024"/>
    <d v="2024-04-24T00:00:00"/>
    <d v="2024-04-24T00:00:00"/>
    <x v="12"/>
    <x v="2"/>
    <x v="4"/>
    <s v="Austin"/>
    <s v="Americas&gt;USA&gt;Austin"/>
    <s v="Non-Profit"/>
    <x v="2"/>
    <x v="10"/>
    <x v="4"/>
    <x v="432"/>
    <n v="160.82"/>
    <n v="258.52"/>
    <n v="258.52"/>
    <s v="Low"/>
    <n v="0.13"/>
    <x v="69"/>
    <n v="17"/>
    <x v="433"/>
    <n v="2733.94"/>
    <n v="1089.5708"/>
    <n v="0.28496605789631874"/>
    <d v="2023-01-13T00:00:00"/>
    <x v="20"/>
  </r>
  <r>
    <x v="433"/>
    <x v="308"/>
    <x v="308"/>
    <s v="Q3 -2024"/>
    <d v="2024-08-02T00:00:00"/>
    <d v="2024-08-02T00:00:00"/>
    <x v="24"/>
    <x v="2"/>
    <x v="3"/>
    <s v="Montreal"/>
    <s v="Americas&gt;Canada&gt;Montreal"/>
    <s v="Consumer"/>
    <x v="3"/>
    <x v="5"/>
    <x v="0"/>
    <x v="433"/>
    <n v="986.81"/>
    <n v="2050.31"/>
    <n v="2050.31"/>
    <s v="High"/>
    <n v="0.10299999999999999"/>
    <x v="0"/>
    <n v="43"/>
    <x v="434"/>
    <n v="42432.829999999994"/>
    <n v="36649.677010000007"/>
    <n v="0.46343595310358138"/>
    <d v="2023-01-02T00:00:00"/>
    <x v="21"/>
  </r>
  <r>
    <x v="434"/>
    <x v="328"/>
    <x v="328"/>
    <s v="Q4 -2024"/>
    <d v="2025-01-11T00:00:00"/>
    <d v="2025-01-11T00:00:00"/>
    <x v="8"/>
    <x v="3"/>
    <x v="9"/>
    <s v="Berlin"/>
    <s v="Europe&gt;Germany&gt;Berlin"/>
    <s v="Education"/>
    <x v="0"/>
    <x v="4"/>
    <x v="5"/>
    <x v="434"/>
    <n v="501.81"/>
    <n v="921.62"/>
    <n v="921.62"/>
    <s v="Medium"/>
    <n v="0.01"/>
    <x v="29"/>
    <n v="9"/>
    <x v="435"/>
    <n v="4516.29"/>
    <n v="3695.3442000000005"/>
    <n v="0.45001325071202031"/>
    <d v="2023-01-22T00:00:00"/>
    <x v="17"/>
  </r>
  <r>
    <x v="435"/>
    <x v="329"/>
    <x v="329"/>
    <s v="Q1 -2024"/>
    <d v="2024-04-09T00:00:00"/>
    <d v="2024-04-09T00:00:00"/>
    <x v="9"/>
    <x v="3"/>
    <x v="10"/>
    <s v="Lyon"/>
    <s v="Europe&gt;France&gt;Lyon"/>
    <s v="Corporate"/>
    <x v="3"/>
    <x v="9"/>
    <x v="2"/>
    <x v="435"/>
    <n v="1176.56"/>
    <n v="1911.89"/>
    <n v="1911.89"/>
    <s v="High"/>
    <n v="0.11899999999999999"/>
    <x v="141"/>
    <n v="20"/>
    <x v="436"/>
    <n v="23531.199999999997"/>
    <n v="10156.301800000008"/>
    <n v="0.30148575160892477"/>
    <d v="2023-01-10T00:00:00"/>
    <x v="20"/>
  </r>
  <r>
    <x v="436"/>
    <x v="199"/>
    <x v="199"/>
    <s v="Q1 -2024"/>
    <d v="2024-03-22T00:00:00"/>
    <d v="2024-03-22T00:00:00"/>
    <x v="4"/>
    <x v="3"/>
    <x v="8"/>
    <s v="Manchester"/>
    <s v="Europe&gt;United Kingdom&gt;Manchester"/>
    <s v="Consumer"/>
    <x v="2"/>
    <x v="1"/>
    <x v="4"/>
    <x v="436"/>
    <n v="985.45"/>
    <n v="1802.44"/>
    <n v="1802.44"/>
    <s v="High"/>
    <n v="8.9999999999999993E-3"/>
    <x v="194"/>
    <n v="19"/>
    <x v="437"/>
    <n v="18723.55"/>
    <n v="15214.592760000003"/>
    <n v="0.44830363486867486"/>
    <d v="2023-01-19T00:00:00"/>
    <x v="22"/>
  </r>
  <r>
    <x v="437"/>
    <x v="330"/>
    <x v="330"/>
    <s v="Q2 -2024"/>
    <d v="2024-07-07T00:00:00"/>
    <d v="2024-07-07T00:00:00"/>
    <x v="14"/>
    <x v="0"/>
    <x v="7"/>
    <s v="Shenzhen"/>
    <s v="Asia&gt;China&gt;Shenzhen"/>
    <s v="Corporate"/>
    <x v="2"/>
    <x v="5"/>
    <x v="2"/>
    <x v="437"/>
    <n v="550.22"/>
    <n v="1025.05"/>
    <n v="1025.05"/>
    <s v="Medium"/>
    <n v="0"/>
    <x v="5"/>
    <n v="27"/>
    <x v="438"/>
    <n v="14855.94"/>
    <n v="12820.409999999998"/>
    <n v="0.46322618408858102"/>
    <d v="2023-01-12T00:00:00"/>
    <x v="14"/>
  </r>
  <r>
    <x v="438"/>
    <x v="331"/>
    <x v="331"/>
    <s v="Q3 -2024"/>
    <d v="2024-08-20T00:00:00"/>
    <d v="2024-08-20T00:00:00"/>
    <x v="30"/>
    <x v="0"/>
    <x v="0"/>
    <s v="Osaka"/>
    <s v="Asia&gt;Japan&gt;Osaka"/>
    <s v="Small Business"/>
    <x v="0"/>
    <x v="7"/>
    <x v="6"/>
    <x v="438"/>
    <n v="1233.3599999999999"/>
    <n v="2120.4"/>
    <n v="2120.4"/>
    <s v="High"/>
    <n v="0.17899999999999999"/>
    <x v="197"/>
    <n v="20"/>
    <x v="439"/>
    <n v="24667.199999999997"/>
    <n v="10149.768000000004"/>
    <n v="0.29151785991244278"/>
    <d v="2023-03-03T00:00:00"/>
    <x v="15"/>
  </r>
  <r>
    <x v="439"/>
    <x v="332"/>
    <x v="332"/>
    <s v="Q2 -2024"/>
    <d v="2024-07-26T00:00:00"/>
    <d v="2024-07-26T00:00:00"/>
    <x v="15"/>
    <x v="1"/>
    <x v="5"/>
    <s v="Durban"/>
    <s v="Africa&gt;South Africa&gt;Durban"/>
    <s v="Enterprise"/>
    <x v="1"/>
    <x v="12"/>
    <x v="6"/>
    <x v="439"/>
    <n v="5.36"/>
    <n v="4.37"/>
    <n v="4.37"/>
    <s v="Low"/>
    <n v="0.11799999999999999"/>
    <x v="117"/>
    <n v="9"/>
    <x v="440"/>
    <n v="48.24"/>
    <n v="-13.550940000000004"/>
    <n v="-0.39064016148030545"/>
    <d v="2023-01-07T00:00:00"/>
    <x v="15"/>
  </r>
  <r>
    <x v="440"/>
    <x v="333"/>
    <x v="333"/>
    <s v="Q1 -2024"/>
    <d v="2024-01-27T00:00:00"/>
    <d v="2024-01-27T00:00:00"/>
    <x v="13"/>
    <x v="3"/>
    <x v="8"/>
    <s v="Manchester"/>
    <s v="Europe&gt;United Kingdom&gt;Manchester"/>
    <s v="Education"/>
    <x v="1"/>
    <x v="6"/>
    <x v="0"/>
    <x v="440"/>
    <n v="657.45"/>
    <n v="1325.96"/>
    <n v="1325.96"/>
    <s v="Medium"/>
    <n v="0.16700000000000001"/>
    <x v="180"/>
    <n v="21"/>
    <x v="441"/>
    <n v="13806.45"/>
    <n v="9388.5682799999995"/>
    <n v="0.40476658249048808"/>
    <d v="2023-01-19T00:00:00"/>
    <x v="4"/>
  </r>
  <r>
    <x v="441"/>
    <x v="301"/>
    <x v="301"/>
    <s v="Q4 -2024"/>
    <d v="2024-11-05T00:00:00"/>
    <d v="2024-11-05T00:00:00"/>
    <x v="18"/>
    <x v="3"/>
    <x v="8"/>
    <s v="London"/>
    <s v="Europe&gt;United Kingdom&gt;London"/>
    <s v="Corporate"/>
    <x v="0"/>
    <x v="8"/>
    <x v="1"/>
    <x v="441"/>
    <n v="840.68"/>
    <n v="1493.53"/>
    <n v="1493.53"/>
    <s v="Medium"/>
    <n v="0"/>
    <x v="5"/>
    <n v="27"/>
    <x v="442"/>
    <n v="22698.359999999997"/>
    <n v="17626.95"/>
    <n v="0.43711877230454027"/>
    <d v="2023-01-19T00:00:00"/>
    <x v="12"/>
  </r>
  <r>
    <x v="442"/>
    <x v="206"/>
    <x v="206"/>
    <s v="Q4 -2024"/>
    <d v="2025-01-16T00:00:00"/>
    <d v="2025-01-16T00:00:00"/>
    <x v="9"/>
    <x v="3"/>
    <x v="8"/>
    <s v="Manchester"/>
    <s v="Europe&gt;United Kingdom&gt;Manchester"/>
    <s v="Corporate"/>
    <x v="0"/>
    <x v="6"/>
    <x v="3"/>
    <x v="442"/>
    <n v="722.87"/>
    <n v="-33.659999999999997"/>
    <n v="33.659999999999997"/>
    <s v="Low"/>
    <n v="0.10199999999999999"/>
    <x v="115"/>
    <n v="28"/>
    <x v="443"/>
    <n v="20240.36"/>
    <n v="-19394.01296"/>
    <n v="-22.914965189693348"/>
    <d v="2023-01-19T00:00:00"/>
    <x v="16"/>
  </r>
  <r>
    <x v="443"/>
    <x v="334"/>
    <x v="334"/>
    <s v="Q2 -2024"/>
    <d v="2024-05-07T00:00:00"/>
    <d v="2024-05-07T00:00:00"/>
    <x v="12"/>
    <x v="1"/>
    <x v="5"/>
    <s v="Johannesburg"/>
    <s v="Africa&gt;South Africa&gt;Johannesburg"/>
    <s v="Education"/>
    <x v="1"/>
    <x v="0"/>
    <x v="4"/>
    <x v="443"/>
    <n v="1376.51"/>
    <n v="1455.91"/>
    <n v="1455.91"/>
    <s v="Medium"/>
    <n v="0.185"/>
    <x v="44"/>
    <n v="17"/>
    <x v="444"/>
    <n v="23400.67"/>
    <n v="-3229.0369499999979"/>
    <n v="-0.1600781127634085"/>
    <d v="2023-01-07T00:00:00"/>
    <x v="19"/>
  </r>
  <r>
    <x v="444"/>
    <x v="335"/>
    <x v="335"/>
    <s v="Q4 -2024"/>
    <d v="2024-11-08T00:00:00"/>
    <d v="2024-11-08T00:00:00"/>
    <x v="9"/>
    <x v="3"/>
    <x v="8"/>
    <s v="Manchester"/>
    <s v="Europe&gt;United Kingdom&gt;Manchester"/>
    <s v="Small Business"/>
    <x v="1"/>
    <x v="5"/>
    <x v="2"/>
    <x v="444"/>
    <n v="343.85"/>
    <n v="538.04"/>
    <n v="538.04"/>
    <s v="Low"/>
    <n v="0.13900000000000001"/>
    <x v="37"/>
    <n v="5"/>
    <x v="445"/>
    <n v="1719.25"/>
    <n v="597.01219999999967"/>
    <n v="0.25774810813732563"/>
    <d v="2023-01-19T00:00:00"/>
    <x v="23"/>
  </r>
  <r>
    <x v="445"/>
    <x v="336"/>
    <x v="336"/>
    <s v="Q3 -2024"/>
    <d v="2024-08-15T00:00:00"/>
    <d v="2024-08-15T00:00:00"/>
    <x v="20"/>
    <x v="0"/>
    <x v="0"/>
    <s v="Tokyo"/>
    <s v="Asia&gt;Japan&gt;Tokyo"/>
    <s v="Corporate"/>
    <x v="4"/>
    <x v="3"/>
    <x v="3"/>
    <x v="445"/>
    <n v="1252.52"/>
    <n v="1417.24"/>
    <n v="1417.24"/>
    <s v="Medium"/>
    <n v="0.192"/>
    <x v="51"/>
    <n v="5"/>
    <x v="446"/>
    <n v="6262.6"/>
    <n v="-536.95039999999972"/>
    <n v="-9.3779821943696953E-2"/>
    <d v="2023-03-03T00:00:00"/>
    <x v="14"/>
  </r>
  <r>
    <x v="446"/>
    <x v="337"/>
    <x v="337"/>
    <s v="Q1 -2024"/>
    <d v="2024-04-11T00:00:00"/>
    <d v="2024-04-11T00:00:00"/>
    <x v="20"/>
    <x v="2"/>
    <x v="4"/>
    <s v="San Francisco"/>
    <s v="Americas&gt;USA&gt;San Francisco"/>
    <s v="Small Business"/>
    <x v="3"/>
    <x v="2"/>
    <x v="6"/>
    <x v="446"/>
    <n v="1338.35"/>
    <n v="2247.14"/>
    <n v="2247.14"/>
    <s v="High"/>
    <n v="0.115"/>
    <x v="64"/>
    <n v="40"/>
    <x v="447"/>
    <n v="53534"/>
    <n v="26014.755999999994"/>
    <n v="0.32702907384246205"/>
    <d v="2023-01-13T00:00:00"/>
    <x v="20"/>
  </r>
  <r>
    <x v="447"/>
    <x v="300"/>
    <x v="300"/>
    <s v="Q1 -2024"/>
    <d v="2024-02-21T00:00:00"/>
    <d v="2024-02-21T00:00:00"/>
    <x v="22"/>
    <x v="3"/>
    <x v="9"/>
    <s v="Frankfurt"/>
    <s v="Europe&gt;Germany&gt;Frankfurt"/>
    <s v="Corporate"/>
    <x v="0"/>
    <x v="7"/>
    <x v="2"/>
    <x v="447"/>
    <n v="39.229999999999997"/>
    <n v="30.09"/>
    <n v="30.09"/>
    <s v="Low"/>
    <n v="0.17699999999999999"/>
    <x v="198"/>
    <n v="13"/>
    <x v="448"/>
    <n v="509.98999999999995"/>
    <n v="-188.05708999999996"/>
    <n v="-0.58414993981199359"/>
    <d v="2023-01-22T00:00:00"/>
    <x v="13"/>
  </r>
  <r>
    <x v="448"/>
    <x v="306"/>
    <x v="306"/>
    <s v="Q1 -2024"/>
    <d v="2024-03-23T00:00:00"/>
    <d v="2024-03-23T00:00:00"/>
    <x v="16"/>
    <x v="2"/>
    <x v="4"/>
    <s v="Chicago"/>
    <s v="Americas&gt;USA&gt;Chicago"/>
    <s v="Small Business"/>
    <x v="2"/>
    <x v="3"/>
    <x v="2"/>
    <x v="448"/>
    <n v="225.01"/>
    <n v="333.48"/>
    <n v="333.48"/>
    <s v="Low"/>
    <n v="0.11899999999999999"/>
    <x v="141"/>
    <n v="12"/>
    <x v="449"/>
    <n v="2700.12"/>
    <n v="825.43056000000024"/>
    <n v="0.23412813004729685"/>
    <d v="2023-01-13T00:00:00"/>
    <x v="22"/>
  </r>
  <r>
    <x v="449"/>
    <x v="338"/>
    <x v="338"/>
    <s v="Q4 -2024"/>
    <d v="2024-12-07T00:00:00"/>
    <d v="2024-12-07T00:00:00"/>
    <x v="30"/>
    <x v="0"/>
    <x v="7"/>
    <s v="Shanghai"/>
    <s v="Asia&gt;China&gt;Shanghai"/>
    <s v="Corporate"/>
    <x v="1"/>
    <x v="0"/>
    <x v="0"/>
    <x v="449"/>
    <n v="769.9"/>
    <n v="814.36"/>
    <n v="814.36"/>
    <s v="Medium"/>
    <n v="0"/>
    <x v="5"/>
    <n v="5"/>
    <x v="450"/>
    <n v="3849.5"/>
    <n v="222.30000000000018"/>
    <n v="5.4595019401738831E-2"/>
    <d v="2023-01-12T00:00:00"/>
    <x v="16"/>
  </r>
  <r>
    <x v="450"/>
    <x v="339"/>
    <x v="339"/>
    <s v="Q4 -2024"/>
    <d v="2024-10-11T00:00:00"/>
    <d v="2024-10-11T00:00:00"/>
    <x v="18"/>
    <x v="3"/>
    <x v="8"/>
    <s v="Manchester"/>
    <s v="Europe&gt;United Kingdom&gt;Manchester"/>
    <s v="Non-Profit"/>
    <x v="1"/>
    <x v="11"/>
    <x v="2"/>
    <x v="450"/>
    <n v="1389.46"/>
    <n v="1784.7"/>
    <n v="1784.7"/>
    <s v="High"/>
    <n v="0.14599999999999999"/>
    <x v="97"/>
    <n v="33"/>
    <x v="451"/>
    <n v="45852.18"/>
    <n v="4444.2353999999978"/>
    <n v="8.8360877503011831E-2"/>
    <d v="2023-01-19T00:00:00"/>
    <x v="23"/>
  </r>
  <r>
    <x v="451"/>
    <x v="340"/>
    <x v="340"/>
    <s v="Q4 -2024"/>
    <d v="2024-11-08T00:00:00"/>
    <d v="2024-11-08T00:00:00"/>
    <x v="12"/>
    <x v="1"/>
    <x v="2"/>
    <s v="Lagos"/>
    <s v="Africa&gt;Nigeria&gt;Lagos"/>
    <s v="Enterprise"/>
    <x v="2"/>
    <x v="2"/>
    <x v="6"/>
    <x v="451"/>
    <n v="859.35"/>
    <n v="1825.61"/>
    <n v="1825.61"/>
    <s v="High"/>
    <n v="0.187"/>
    <x v="181"/>
    <n v="24"/>
    <x v="452"/>
    <n v="20624.400000000001"/>
    <n v="14996.902319999994"/>
    <n v="0.42100937762681989"/>
    <d v="2023-01-15T00:00:00"/>
    <x v="23"/>
  </r>
  <r>
    <x v="452"/>
    <x v="341"/>
    <x v="341"/>
    <s v="Q1 -2024"/>
    <d v="2024-03-03T00:00:00"/>
    <d v="2024-03-03T00:00:00"/>
    <x v="16"/>
    <x v="1"/>
    <x v="6"/>
    <s v="Kisumu"/>
    <s v="Africa&gt;Kenya&gt;Kisumu"/>
    <s v="Enterprise"/>
    <x v="2"/>
    <x v="12"/>
    <x v="5"/>
    <x v="452"/>
    <n v="516.86"/>
    <n v="852.54"/>
    <n v="852.54"/>
    <s v="Medium"/>
    <n v="5.0999999999999997E-2"/>
    <x v="72"/>
    <n v="14"/>
    <x v="453"/>
    <n v="7236.04"/>
    <n v="4090.8064399999994"/>
    <n v="0.36116022775355994"/>
    <d v="2023-01-20T00:00:00"/>
    <x v="13"/>
  </r>
  <r>
    <x v="453"/>
    <x v="211"/>
    <x v="211"/>
    <s v="Q2 -2024"/>
    <d v="2024-06-03T00:00:00"/>
    <d v="2024-06-03T00:00:00"/>
    <x v="21"/>
    <x v="1"/>
    <x v="5"/>
    <s v="Johannesburg"/>
    <s v="Africa&gt;South Africa&gt;Johannesburg"/>
    <s v="Small Business"/>
    <x v="1"/>
    <x v="3"/>
    <x v="1"/>
    <x v="453"/>
    <n v="180.89"/>
    <n v="249.57"/>
    <n v="249.57"/>
    <s v="Low"/>
    <n v="2.1999999999999999E-2"/>
    <x v="162"/>
    <n v="8"/>
    <x v="454"/>
    <n v="1447.12"/>
    <n v="505.51567999999997"/>
    <n v="0.25888888806948362"/>
    <d v="2023-01-07T00:00:00"/>
    <x v="14"/>
  </r>
  <r>
    <x v="454"/>
    <x v="342"/>
    <x v="342"/>
    <s v="Q4 -2024"/>
    <d v="2025-01-13T00:00:00"/>
    <d v="2025-01-13T00:00:00"/>
    <x v="23"/>
    <x v="0"/>
    <x v="1"/>
    <s v="Bengaluru"/>
    <s v="Asia&gt;India&gt;Bengaluru"/>
    <s v="Corporate"/>
    <x v="4"/>
    <x v="6"/>
    <x v="6"/>
    <x v="454"/>
    <n v="126.15"/>
    <n v="284.23"/>
    <n v="284.23"/>
    <s v="Low"/>
    <n v="0.113"/>
    <x v="25"/>
    <n v="22"/>
    <x v="455"/>
    <n v="2775.3"/>
    <n v="2771.1642200000006"/>
    <n v="0.49962716968541088"/>
    <d v="2023-01-29T00:00:00"/>
    <x v="16"/>
  </r>
  <r>
    <x v="455"/>
    <x v="272"/>
    <x v="272"/>
    <s v="Q3 -2024"/>
    <d v="2024-10-04T00:00:00"/>
    <d v="2024-10-04T00:00:00"/>
    <x v="14"/>
    <x v="1"/>
    <x v="5"/>
    <s v="Cape Town"/>
    <s v="Africa&gt;South Africa&gt;Cape Town"/>
    <s v="Corporate"/>
    <x v="4"/>
    <x v="6"/>
    <x v="3"/>
    <x v="455"/>
    <n v="1174.17"/>
    <n v="1641.61"/>
    <n v="1641.61"/>
    <s v="High"/>
    <n v="0.122"/>
    <x v="157"/>
    <n v="9"/>
    <x v="456"/>
    <n v="10567.53"/>
    <n v="2404.4722199999997"/>
    <n v="0.18535860380079394"/>
    <d v="2023-01-07T00:00:00"/>
    <x v="18"/>
  </r>
  <r>
    <x v="456"/>
    <x v="343"/>
    <x v="343"/>
    <s v="Q2 -2024"/>
    <d v="2024-05-24T00:00:00"/>
    <d v="2024-05-24T00:00:00"/>
    <x v="30"/>
    <x v="3"/>
    <x v="8"/>
    <s v="Manchester"/>
    <s v="Europe&gt;United Kingdom&gt;Manchester"/>
    <s v="Education"/>
    <x v="4"/>
    <x v="4"/>
    <x v="1"/>
    <x v="456"/>
    <n v="111.02"/>
    <n v="172.88"/>
    <n v="172.88"/>
    <s v="Low"/>
    <n v="0.19700000000000001"/>
    <x v="10"/>
    <n v="29"/>
    <x v="457"/>
    <n v="3219.58"/>
    <n v="806.27655999999934"/>
    <n v="0.20027453735212053"/>
    <d v="2023-01-19T00:00:00"/>
    <x v="19"/>
  </r>
  <r>
    <x v="457"/>
    <x v="344"/>
    <x v="344"/>
    <s v="Q1 -2024"/>
    <d v="2024-02-09T00:00:00"/>
    <d v="2024-02-09T00:00:00"/>
    <x v="18"/>
    <x v="1"/>
    <x v="6"/>
    <s v="Mombasa"/>
    <s v="Africa&gt;Kenya&gt;Mombasa"/>
    <s v="Corporate"/>
    <x v="3"/>
    <x v="3"/>
    <x v="2"/>
    <x v="457"/>
    <n v="1233.52"/>
    <n v="1543.76"/>
    <n v="1543.76"/>
    <s v="Medium"/>
    <n v="0.126"/>
    <x v="41"/>
    <n v="13"/>
    <x v="458"/>
    <n v="16035.76"/>
    <n v="1504.4411200000013"/>
    <n v="8.5771030201277493E-2"/>
    <d v="2023-01-20T00:00:00"/>
    <x v="13"/>
  </r>
  <r>
    <x v="458"/>
    <x v="249"/>
    <x v="249"/>
    <s v="Q3 -2024"/>
    <d v="2024-10-01T00:00:00"/>
    <d v="2024-10-01T00:00:00"/>
    <x v="0"/>
    <x v="0"/>
    <x v="7"/>
    <s v="Shenzhen"/>
    <s v="Asia&gt;China&gt;Shenzhen"/>
    <s v="Consumer"/>
    <x v="3"/>
    <x v="11"/>
    <x v="1"/>
    <x v="458"/>
    <n v="1166.18"/>
    <n v="1335.02"/>
    <n v="1335.02"/>
    <s v="Medium"/>
    <n v="0.128"/>
    <x v="148"/>
    <n v="6"/>
    <x v="459"/>
    <n v="6997.08"/>
    <n v="-12.25536000000011"/>
    <n v="-1.7545694604582242E-3"/>
    <d v="2023-01-12T00:00:00"/>
    <x v="18"/>
  </r>
  <r>
    <x v="459"/>
    <x v="345"/>
    <x v="345"/>
    <s v="Q3 -2024"/>
    <d v="2024-09-12T00:00:00"/>
    <d v="2024-09-12T00:00:00"/>
    <x v="12"/>
    <x v="0"/>
    <x v="1"/>
    <s v="Mumbai"/>
    <s v="Asia&gt;India&gt;Mumbai"/>
    <s v="Consumer"/>
    <x v="4"/>
    <x v="14"/>
    <x v="5"/>
    <x v="459"/>
    <n v="1154.03"/>
    <n v="1590.36"/>
    <n v="1590.36"/>
    <s v="High"/>
    <n v="0.314"/>
    <x v="34"/>
    <n v="18"/>
    <x v="460"/>
    <n v="20772.54"/>
    <n v="-734.00400000000081"/>
    <n v="-3.6629622044245191E-2"/>
    <d v="2023-01-29T00:00:00"/>
    <x v="21"/>
  </r>
  <r>
    <x v="460"/>
    <x v="346"/>
    <x v="346"/>
    <s v="Q4 -2024"/>
    <d v="2024-11-02T00:00:00"/>
    <d v="2024-11-02T00:00:00"/>
    <x v="29"/>
    <x v="1"/>
    <x v="2"/>
    <s v="Abuja"/>
    <s v="Africa&gt;Nigeria&gt;Abuja"/>
    <s v="Corporate"/>
    <x v="1"/>
    <x v="3"/>
    <x v="0"/>
    <x v="460"/>
    <n v="412.09"/>
    <n v="968.94"/>
    <n v="968.94"/>
    <s v="Medium"/>
    <n v="9.9000000000000005E-2"/>
    <x v="199"/>
    <n v="23"/>
    <x v="461"/>
    <n v="9478.07"/>
    <n v="10601.273620000004"/>
    <n v="0.52796913189137418"/>
    <d v="2023-01-15T00:00:00"/>
    <x v="23"/>
  </r>
  <r>
    <x v="461"/>
    <x v="198"/>
    <x v="198"/>
    <s v="Q4 -2024"/>
    <d v="2024-11-14T00:00:00"/>
    <d v="2024-11-14T00:00:00"/>
    <x v="23"/>
    <x v="1"/>
    <x v="6"/>
    <s v="Mombasa"/>
    <s v="Africa&gt;Kenya&gt;Mombasa"/>
    <s v="Corporate"/>
    <x v="3"/>
    <x v="7"/>
    <x v="1"/>
    <x v="461"/>
    <n v="1396.48"/>
    <n v="3204.5"/>
    <n v="3204.5"/>
    <s v="High"/>
    <n v="0.318"/>
    <x v="34"/>
    <n v="14"/>
    <x v="462"/>
    <n v="19550.72"/>
    <n v="11853.379999999997"/>
    <n v="0.3774468938769141"/>
    <d v="2023-01-20T00:00:00"/>
    <x v="12"/>
  </r>
  <r>
    <x v="462"/>
    <x v="168"/>
    <x v="168"/>
    <s v="Q1 -2024"/>
    <d v="2024-01-29T00:00:00"/>
    <d v="2024-01-29T00:00:00"/>
    <x v="3"/>
    <x v="2"/>
    <x v="4"/>
    <s v="Chicago"/>
    <s v="Americas&gt;USA&gt;Chicago"/>
    <s v="Education"/>
    <x v="1"/>
    <x v="0"/>
    <x v="1"/>
    <x v="462"/>
    <n v="493.76"/>
    <n v="625.04"/>
    <n v="625.04"/>
    <s v="Low"/>
    <n v="0.25800000000000001"/>
    <x v="200"/>
    <n v="10"/>
    <x v="463"/>
    <n v="4937.6000000000004"/>
    <n v="-299.80320000000029"/>
    <n v="-6.464345311549663E-2"/>
    <d v="2023-01-13T00:00:00"/>
    <x v="4"/>
  </r>
  <r>
    <x v="463"/>
    <x v="347"/>
    <x v="347"/>
    <s v="Q2 -2025"/>
    <d v="2025-05-24T00:00:00"/>
    <d v="2025-05-24T00:00:00"/>
    <x v="5"/>
    <x v="3"/>
    <x v="10"/>
    <s v="Paris"/>
    <s v="Europe&gt;France&gt;Paris"/>
    <s v="Small Business"/>
    <x v="4"/>
    <x v="4"/>
    <x v="2"/>
    <x v="463"/>
    <n v="170.39"/>
    <n v="388.04"/>
    <n v="388.04"/>
    <s v="Low"/>
    <n v="8.4000000000000005E-2"/>
    <x v="125"/>
    <n v="15"/>
    <x v="464"/>
    <n v="2555.85"/>
    <n v="2775.8196000000003"/>
    <n v="0.52062858508711796"/>
    <d v="2023-01-10T00:00:00"/>
    <x v="24"/>
  </r>
  <r>
    <x v="464"/>
    <x v="348"/>
    <x v="348"/>
    <s v="Q1 -2025"/>
    <d v="2025-04-09T00:00:00"/>
    <d v="2025-04-09T00:00:00"/>
    <x v="8"/>
    <x v="0"/>
    <x v="0"/>
    <s v="Tokyo"/>
    <s v="Asia&gt;Japan&gt;Tokyo"/>
    <s v="Small Business"/>
    <x v="1"/>
    <x v="1"/>
    <x v="2"/>
    <x v="464"/>
    <n v="1055.45"/>
    <n v="1210.04"/>
    <n v="1210.04"/>
    <s v="Medium"/>
    <n v="8.9999999999999993E-3"/>
    <x v="194"/>
    <n v="18"/>
    <x v="465"/>
    <n v="18998.100000000002"/>
    <n v="2586.5935199999985"/>
    <n v="0.1198346188053727"/>
    <d v="2023-03-03T00:00:00"/>
    <x v="25"/>
  </r>
  <r>
    <x v="465"/>
    <x v="349"/>
    <x v="349"/>
    <s v="Q3 -2025"/>
    <d v="2025-07-23T00:00:00"/>
    <d v="2025-07-23T00:00:00"/>
    <x v="1"/>
    <x v="2"/>
    <x v="3"/>
    <s v="Vancouver"/>
    <s v="Americas&gt;Canada&gt;Vancouver"/>
    <s v="Consumer"/>
    <x v="2"/>
    <x v="7"/>
    <x v="2"/>
    <x v="465"/>
    <n v="1364.89"/>
    <n v="2757.54"/>
    <n v="2757.54"/>
    <s v="High"/>
    <n v="0.17199999999999999"/>
    <x v="201"/>
    <n v="61"/>
    <x v="466"/>
    <n v="83258.290000000008"/>
    <n v="56019.54032"/>
    <n v="0.4022143379983118"/>
    <d v="2023-01-02T00:00:00"/>
    <x v="26"/>
  </r>
  <r>
    <x v="466"/>
    <x v="350"/>
    <x v="350"/>
    <s v="Q1 -2025"/>
    <d v="2025-01-05T00:00:00"/>
    <d v="2025-01-05T00:00:00"/>
    <x v="18"/>
    <x v="0"/>
    <x v="1"/>
    <s v="Delhi"/>
    <s v="Asia&gt;India&gt;Delhi"/>
    <s v="Education"/>
    <x v="0"/>
    <x v="9"/>
    <x v="2"/>
    <x v="466"/>
    <n v="1428.33"/>
    <n v="3028.05"/>
    <n v="3028.05"/>
    <s v="High"/>
    <n v="0"/>
    <x v="5"/>
    <n v="11"/>
    <x v="467"/>
    <n v="15711.63"/>
    <n v="17596.920000000006"/>
    <n v="0.52830039134096207"/>
    <d v="2023-01-29T00:00:00"/>
    <x v="17"/>
  </r>
  <r>
    <x v="467"/>
    <x v="351"/>
    <x v="351"/>
    <s v="Q2 -2025"/>
    <d v="2025-04-12T00:00:00"/>
    <d v="2025-04-12T00:00:00"/>
    <x v="10"/>
    <x v="3"/>
    <x v="10"/>
    <s v="Lyon"/>
    <s v="Europe&gt;France&gt;Lyon"/>
    <s v="Small Business"/>
    <x v="1"/>
    <x v="7"/>
    <x v="3"/>
    <x v="467"/>
    <n v="86.68"/>
    <n v="213.32"/>
    <n v="213.32"/>
    <s v="Low"/>
    <n v="3.7999999999999999E-2"/>
    <x v="129"/>
    <n v="8"/>
    <x v="468"/>
    <n v="693.44"/>
    <n v="948.27071999999976"/>
    <n v="0.57761133459614611"/>
    <d v="2023-01-10T00:00:00"/>
    <x v="27"/>
  </r>
  <r>
    <x v="468"/>
    <x v="352"/>
    <x v="352"/>
    <s v="Q1 -2025"/>
    <d v="2025-02-14T00:00:00"/>
    <d v="2025-02-14T00:00:00"/>
    <x v="28"/>
    <x v="1"/>
    <x v="6"/>
    <s v="Nairobi"/>
    <s v="Africa&gt;Kenya&gt;Nairobi"/>
    <s v="Small Business"/>
    <x v="0"/>
    <x v="5"/>
    <x v="0"/>
    <x v="468"/>
    <n v="1030.44"/>
    <n v="2562.84"/>
    <n v="2562.84"/>
    <s v="High"/>
    <n v="0.14799999999999999"/>
    <x v="94"/>
    <n v="13"/>
    <x v="469"/>
    <n v="13395.720000000001"/>
    <n v="14990.295839999995"/>
    <n v="0.52808734852027039"/>
    <d v="2023-01-20T00:00:00"/>
    <x v="25"/>
  </r>
  <r>
    <x v="469"/>
    <x v="353"/>
    <x v="353"/>
    <s v="Q1 -2025"/>
    <d v="2025-02-06T00:00:00"/>
    <d v="2025-02-06T00:00:00"/>
    <x v="15"/>
    <x v="2"/>
    <x v="11"/>
    <s v="Brasília"/>
    <s v="Americas&gt;Brazil&gt;Brasília"/>
    <s v="Non-Profit"/>
    <x v="0"/>
    <x v="12"/>
    <x v="4"/>
    <x v="469"/>
    <n v="725.62"/>
    <n v="1559.19"/>
    <n v="1559.19"/>
    <s v="High"/>
    <n v="0.19"/>
    <x v="42"/>
    <n v="12"/>
    <x v="470"/>
    <n v="8707.44"/>
    <n v="6447.8868000000002"/>
    <n v="0.42545349797405885"/>
    <d v="2023-01-29T00:00:00"/>
    <x v="17"/>
  </r>
  <r>
    <x v="470"/>
    <x v="354"/>
    <x v="354"/>
    <s v="Q3 -2025"/>
    <d v="2025-07-16T00:00:00"/>
    <d v="2025-07-16T00:00:00"/>
    <x v="2"/>
    <x v="3"/>
    <x v="8"/>
    <s v="London"/>
    <s v="Europe&gt;United Kingdom&gt;London"/>
    <s v="Enterprise"/>
    <x v="2"/>
    <x v="4"/>
    <x v="1"/>
    <x v="470"/>
    <n v="930.03"/>
    <n v="1086.68"/>
    <n v="1086.68"/>
    <s v="Medium"/>
    <n v="0.109"/>
    <x v="77"/>
    <n v="26"/>
    <x v="471"/>
    <n v="24180.78"/>
    <n v="993.24888000000283"/>
    <n v="3.9455300728168656E-2"/>
    <d v="2023-01-19T00:00:00"/>
    <x v="28"/>
  </r>
  <r>
    <x v="471"/>
    <x v="354"/>
    <x v="354"/>
    <s v="Q3 -2025"/>
    <d v="2025-08-03T00:00:00"/>
    <d v="2025-08-03T00:00:00"/>
    <x v="7"/>
    <x v="1"/>
    <x v="6"/>
    <s v="Nakuru"/>
    <s v="Africa&gt;Kenya&gt;Nakuru"/>
    <s v="Small Business"/>
    <x v="0"/>
    <x v="14"/>
    <x v="5"/>
    <x v="471"/>
    <n v="389.93"/>
    <n v="486.13"/>
    <n v="486.13"/>
    <s v="Low"/>
    <n v="0.13200000000000001"/>
    <x v="56"/>
    <n v="17"/>
    <x v="472"/>
    <n v="6628.81"/>
    <n v="544.52427999999873"/>
    <n v="7.5909508569562828E-2"/>
    <d v="2023-01-20T00:00:00"/>
    <x v="28"/>
  </r>
  <r>
    <x v="472"/>
    <x v="355"/>
    <x v="355"/>
    <s v="Q1 -2025"/>
    <d v="2025-04-02T00:00:00"/>
    <d v="2025-04-02T00:00:00"/>
    <x v="26"/>
    <x v="1"/>
    <x v="2"/>
    <s v="Lagos"/>
    <s v="Africa&gt;Nigeria&gt;Lagos"/>
    <s v="Non-Profit"/>
    <x v="4"/>
    <x v="10"/>
    <x v="5"/>
    <x v="472"/>
    <n v="259.93"/>
    <n v="255.94"/>
    <n v="255.94"/>
    <s v="Low"/>
    <n v="7.1999999999999995E-2"/>
    <x v="107"/>
    <n v="22"/>
    <x v="473"/>
    <n v="5718.46"/>
    <n v="-493.1889599999995"/>
    <n v="-9.4385335463861311E-2"/>
    <d v="2023-01-15T00:00:00"/>
    <x v="27"/>
  </r>
  <r>
    <x v="473"/>
    <x v="356"/>
    <x v="356"/>
    <s v="Q2 -2025"/>
    <d v="2025-04-14T00:00:00"/>
    <d v="2025-04-14T00:00:00"/>
    <x v="18"/>
    <x v="0"/>
    <x v="0"/>
    <s v="Osaka"/>
    <s v="Asia&gt;Japan&gt;Osaka"/>
    <s v="Enterprise"/>
    <x v="2"/>
    <x v="10"/>
    <x v="2"/>
    <x v="473"/>
    <n v="138.9"/>
    <n v="289.92"/>
    <n v="289.92"/>
    <s v="Low"/>
    <n v="2.9000000000000001E-2"/>
    <x v="57"/>
    <n v="12"/>
    <x v="474"/>
    <n v="1666.8000000000002"/>
    <n v="1711.3478399999999"/>
    <n v="0.50659353025828491"/>
    <d v="2023-03-03T00:00:00"/>
    <x v="29"/>
  </r>
  <r>
    <x v="474"/>
    <x v="357"/>
    <x v="357"/>
    <s v="Q1 -2025"/>
    <d v="2025-04-04T00:00:00"/>
    <d v="2025-04-04T00:00:00"/>
    <x v="21"/>
    <x v="0"/>
    <x v="1"/>
    <s v="Mumbai"/>
    <s v="Asia&gt;India&gt;Mumbai"/>
    <s v="Education"/>
    <x v="4"/>
    <x v="5"/>
    <x v="5"/>
    <x v="474"/>
    <n v="23.83"/>
    <n v="47.29"/>
    <n v="47.29"/>
    <s v="Low"/>
    <n v="6.4000000000000001E-2"/>
    <x v="119"/>
    <n v="19"/>
    <x v="475"/>
    <n v="452.77"/>
    <n v="388.23536000000001"/>
    <n v="0.46163244429262618"/>
    <d v="2023-01-29T00:00:00"/>
    <x v="29"/>
  </r>
  <r>
    <x v="475"/>
    <x v="358"/>
    <x v="358"/>
    <s v="Q2 -2025"/>
    <d v="2025-07-12T00:00:00"/>
    <d v="2025-07-12T00:00:00"/>
    <x v="7"/>
    <x v="3"/>
    <x v="8"/>
    <s v="Unknown"/>
    <s v="Europe&gt;United Kingdom&gt;Unknown"/>
    <s v="Non-Profit"/>
    <x v="3"/>
    <x v="15"/>
    <x v="6"/>
    <x v="475"/>
    <n v="801.24"/>
    <n v="1959.09"/>
    <n v="1959.09"/>
    <s v="High"/>
    <n v="0.123"/>
    <x v="66"/>
    <n v="23"/>
    <x v="476"/>
    <n v="18428.52"/>
    <n v="21088.284389999997"/>
    <n v="0.53365358650651762"/>
    <d v="2023-01-19T00:00:00"/>
    <x v="28"/>
  </r>
  <r>
    <x v="476"/>
    <x v="359"/>
    <x v="359"/>
    <s v="Q2 -2025"/>
    <d v="2025-07-05T00:00:00"/>
    <d v="2025-07-05T00:00:00"/>
    <x v="24"/>
    <x v="3"/>
    <x v="9"/>
    <s v="Munich"/>
    <s v="Europe&gt;Germany&gt;Munich"/>
    <s v="Small Business"/>
    <x v="3"/>
    <x v="10"/>
    <x v="3"/>
    <x v="476"/>
    <n v="314.93"/>
    <n v="687.95"/>
    <n v="687.95"/>
    <s v="Low"/>
    <n v="0.20499999999999999"/>
    <x v="202"/>
    <n v="8"/>
    <x v="477"/>
    <n v="2519.44"/>
    <n v="1855.922"/>
    <n v="0.424175645352316"/>
    <d v="2023-01-22T00:00:00"/>
    <x v="28"/>
  </r>
  <r>
    <x v="477"/>
    <x v="359"/>
    <x v="359"/>
    <s v="Q2 -2025"/>
    <d v="2025-07-11T00:00:00"/>
    <d v="2025-07-11T00:00:00"/>
    <x v="6"/>
    <x v="0"/>
    <x v="7"/>
    <s v="Shanghai"/>
    <s v="Asia&gt;China&gt;Shanghai"/>
    <s v="Small Business"/>
    <x v="4"/>
    <x v="11"/>
    <x v="6"/>
    <x v="477"/>
    <n v="1227.7"/>
    <n v="2197.23"/>
    <n v="2197.23"/>
    <s v="High"/>
    <n v="9.9000000000000005E-2"/>
    <x v="199"/>
    <n v="22"/>
    <x v="478"/>
    <n v="27009.4"/>
    <n v="16544.093059999999"/>
    <n v="0.37985685871873898"/>
    <d v="2023-01-12T00:00:00"/>
    <x v="28"/>
  </r>
  <r>
    <x v="478"/>
    <x v="360"/>
    <x v="360"/>
    <s v="Q3 -2025"/>
    <d v="2025-08-28T00:00:00"/>
    <d v="2025-08-28T00:00:00"/>
    <x v="3"/>
    <x v="3"/>
    <x v="10"/>
    <s v="Paris"/>
    <s v="Europe&gt;France&gt;Paris"/>
    <s v="Education"/>
    <x v="2"/>
    <x v="3"/>
    <x v="6"/>
    <x v="478"/>
    <n v="416.16"/>
    <n v="571.9"/>
    <n v="571.9"/>
    <s v="Low"/>
    <n v="7.0999999999999994E-2"/>
    <x v="60"/>
    <n v="2"/>
    <x v="479"/>
    <n v="832.32"/>
    <n v="230.27020000000005"/>
    <n v="0.21670649701079497"/>
    <d v="2023-01-10T00:00:00"/>
    <x v="30"/>
  </r>
  <r>
    <x v="479"/>
    <x v="361"/>
    <x v="361"/>
    <s v="Q2 -2025"/>
    <d v="2025-05-27T00:00:00"/>
    <d v="2025-05-27T00:00:00"/>
    <x v="3"/>
    <x v="2"/>
    <x v="3"/>
    <s v="Vancouver"/>
    <s v="Americas&gt;Canada&gt;Vancouver"/>
    <s v="Education"/>
    <x v="3"/>
    <x v="14"/>
    <x v="2"/>
    <x v="479"/>
    <n v="862.89"/>
    <n v="1426.03"/>
    <n v="1426.03"/>
    <s v="Medium"/>
    <n v="5.6000000000000001E-2"/>
    <x v="4"/>
    <n v="19"/>
    <x v="480"/>
    <n v="16394.91"/>
    <n v="9182.3640799999994"/>
    <n v="0.35900479665188778"/>
    <d v="2023-01-02T00:00:00"/>
    <x v="24"/>
  </r>
  <r>
    <x v="480"/>
    <x v="362"/>
    <x v="362"/>
    <s v="Q1 -2025"/>
    <d v="2025-02-17T00:00:00"/>
    <d v="2025-02-17T00:00:00"/>
    <x v="3"/>
    <x v="3"/>
    <x v="8"/>
    <s v="London"/>
    <s v="Europe&gt;United Kingdom&gt;London"/>
    <s v="Enterprise"/>
    <x v="0"/>
    <x v="7"/>
    <x v="2"/>
    <x v="49"/>
    <n v="378.26"/>
    <n v="541.55999999999995"/>
    <n v="541.55999999999995"/>
    <s v="Low"/>
    <n v="0.16300000000000001"/>
    <x v="155"/>
    <n v="25"/>
    <x v="481"/>
    <n v="9456.5"/>
    <n v="1875.6429999999982"/>
    <n v="0.16551529573885526"/>
    <d v="2023-01-19T00:00:00"/>
    <x v="25"/>
  </r>
  <r>
    <x v="481"/>
    <x v="363"/>
    <x v="363"/>
    <s v="Q1 -2025"/>
    <d v="2025-04-08T00:00:00"/>
    <d v="2025-04-08T00:00:00"/>
    <x v="12"/>
    <x v="0"/>
    <x v="7"/>
    <s v="Unknown"/>
    <s v="Asia&gt;China&gt;Unknown"/>
    <s v="Corporate"/>
    <x v="1"/>
    <x v="6"/>
    <x v="1"/>
    <x v="480"/>
    <n v="80.59"/>
    <n v="157.82"/>
    <n v="157.82"/>
    <s v="Low"/>
    <n v="0.217"/>
    <x v="203"/>
    <n v="6"/>
    <x v="482"/>
    <n v="483.54"/>
    <n v="257.89835999999997"/>
    <n v="0.34783519967863541"/>
    <d v="2023-01-12T00:00:00"/>
    <x v="27"/>
  </r>
  <r>
    <x v="482"/>
    <x v="364"/>
    <x v="364"/>
    <s v="Q2 -2025"/>
    <d v="2025-06-06T00:00:00"/>
    <d v="2025-06-06T00:00:00"/>
    <x v="2"/>
    <x v="3"/>
    <x v="10"/>
    <s v="Paris"/>
    <s v="Europe&gt;France&gt;Paris"/>
    <s v="Consumer"/>
    <x v="1"/>
    <x v="10"/>
    <x v="2"/>
    <x v="481"/>
    <n v="379.45"/>
    <n v="742.23"/>
    <n v="742.23"/>
    <s v="Medium"/>
    <n v="0.09"/>
    <x v="91"/>
    <n v="13"/>
    <x v="483"/>
    <n v="4932.8499999999995"/>
    <n v="3847.7309000000014"/>
    <n v="0.43820915083192286"/>
    <d v="2023-01-10T00:00:00"/>
    <x v="24"/>
  </r>
  <r>
    <x v="483"/>
    <x v="365"/>
    <x v="365"/>
    <s v="Q3 -2025"/>
    <d v="2025-09-16T00:00:00"/>
    <d v="2025-09-16T00:00:00"/>
    <x v="24"/>
    <x v="0"/>
    <x v="0"/>
    <s v="Osaka"/>
    <s v="Asia&gt;Japan&gt;Osaka"/>
    <s v="Corporate"/>
    <x v="1"/>
    <x v="14"/>
    <x v="5"/>
    <x v="482"/>
    <n v="1225.57"/>
    <n v="2705.57"/>
    <n v="2705.57"/>
    <s v="High"/>
    <n v="0.183"/>
    <x v="204"/>
    <n v="16"/>
    <x v="484"/>
    <n v="19609.12"/>
    <n v="15758.091040000003"/>
    <n v="0.44555650775453404"/>
    <d v="2023-03-03T00:00:00"/>
    <x v="26"/>
  </r>
  <r>
    <x v="484"/>
    <x v="366"/>
    <x v="366"/>
    <s v="Q3 -2025"/>
    <d v="2025-09-28T00:00:00"/>
    <d v="2025-09-28T00:00:00"/>
    <x v="3"/>
    <x v="1"/>
    <x v="6"/>
    <s v="Nairobi"/>
    <s v="Africa&gt;Kenya&gt;Nairobi"/>
    <s v="Non-Profit"/>
    <x v="1"/>
    <x v="5"/>
    <x v="4"/>
    <x v="483"/>
    <n v="891.46"/>
    <n v="728.61"/>
    <n v="728.61"/>
    <s v="Medium"/>
    <n v="0.185"/>
    <x v="44"/>
    <n v="6"/>
    <x v="485"/>
    <n v="5348.76"/>
    <n v="-1785.8571000000006"/>
    <n v="-0.50123653383874167"/>
    <d v="2023-01-20T00:00:00"/>
    <x v="30"/>
  </r>
  <r>
    <x v="485"/>
    <x v="367"/>
    <x v="367"/>
    <s v="Q2 -2025"/>
    <d v="2025-05-16T00:00:00"/>
    <d v="2025-05-16T00:00:00"/>
    <x v="9"/>
    <x v="2"/>
    <x v="3"/>
    <s v="Montreal"/>
    <s v="Americas&gt;Canada&gt;Montreal"/>
    <s v="Enterprise"/>
    <x v="1"/>
    <x v="4"/>
    <x v="1"/>
    <x v="484"/>
    <n v="763.32"/>
    <n v="568.29"/>
    <n v="568.29"/>
    <s v="Low"/>
    <n v="0.13100000000000001"/>
    <x v="39"/>
    <n v="16"/>
    <x v="486"/>
    <n v="12213.12"/>
    <n v="-4311.6158400000013"/>
    <n v="-0.54567026134426555"/>
    <d v="2023-01-02T00:00:00"/>
    <x v="31"/>
  </r>
  <r>
    <x v="486"/>
    <x v="368"/>
    <x v="368"/>
    <s v="Q2 -2025"/>
    <d v="2025-04-17T00:00:00"/>
    <d v="2025-04-17T00:00:00"/>
    <x v="27"/>
    <x v="2"/>
    <x v="11"/>
    <s v="São Paulo"/>
    <s v="Americas&gt;Brazil&gt;São Paulo"/>
    <s v="Corporate"/>
    <x v="1"/>
    <x v="11"/>
    <x v="5"/>
    <x v="485"/>
    <n v="719.41"/>
    <n v="1125.99"/>
    <n v="1125.99"/>
    <s v="Medium"/>
    <n v="4.1000000000000002E-2"/>
    <x v="9"/>
    <n v="21"/>
    <x v="487"/>
    <n v="15107.609999999999"/>
    <n v="7568.7026100000021"/>
    <n v="0.33377131194876403"/>
    <d v="2023-01-29T00:00:00"/>
    <x v="27"/>
  </r>
  <r>
    <x v="487"/>
    <x v="369"/>
    <x v="369"/>
    <s v="Q3 -2025"/>
    <d v="2025-09-30T00:00:00"/>
    <d v="2025-09-30T00:00:00"/>
    <x v="22"/>
    <x v="0"/>
    <x v="0"/>
    <s v="Nagoya"/>
    <s v="Asia&gt;Japan&gt;Nagoya"/>
    <s v="Non-Profit"/>
    <x v="4"/>
    <x v="3"/>
    <x v="3"/>
    <x v="486"/>
    <n v="1212.99"/>
    <n v="1653.64"/>
    <n v="1653.64"/>
    <s v="High"/>
    <n v="0.107"/>
    <x v="78"/>
    <n v="8"/>
    <x v="488"/>
    <n v="9703.92"/>
    <n v="2109.6841600000007"/>
    <n v="0.17858090819931455"/>
    <d v="2023-03-03T00:00:00"/>
    <x v="26"/>
  </r>
  <r>
    <x v="488"/>
    <x v="370"/>
    <x v="370"/>
    <s v="Q2 -2025"/>
    <d v="2025-05-19T00:00:00"/>
    <d v="2025-05-19T00:00:00"/>
    <x v="16"/>
    <x v="3"/>
    <x v="9"/>
    <s v="Berlin"/>
    <s v="Europe&gt;Germany&gt;Berlin"/>
    <s v="Corporate"/>
    <x v="1"/>
    <x v="12"/>
    <x v="5"/>
    <x v="487"/>
    <n v="350.76"/>
    <n v="492.18"/>
    <n v="492.18"/>
    <s v="Low"/>
    <n v="5.2999999999999999E-2"/>
    <x v="126"/>
    <n v="11"/>
    <x v="489"/>
    <n v="3858.3599999999997"/>
    <n v="1268.6790600000004"/>
    <n v="0.24744868239798437"/>
    <d v="2023-01-22T00:00:00"/>
    <x v="31"/>
  </r>
  <r>
    <x v="489"/>
    <x v="371"/>
    <x v="371"/>
    <s v="Q2 -2025"/>
    <d v="2025-06-05T00:00:00"/>
    <d v="2025-06-05T00:00:00"/>
    <x v="16"/>
    <x v="0"/>
    <x v="0"/>
    <s v="Osaka"/>
    <s v="Asia&gt;Japan&gt;Osaka"/>
    <s v="Enterprise"/>
    <x v="3"/>
    <x v="7"/>
    <x v="5"/>
    <x v="488"/>
    <n v="1466.5"/>
    <n v="2778.74"/>
    <n v="2778.74"/>
    <s v="High"/>
    <n v="0.13500000000000001"/>
    <x v="15"/>
    <n v="4"/>
    <x v="490"/>
    <n v="5866"/>
    <n v="3748.4403999999995"/>
    <n v="0.38987608680792279"/>
    <d v="2023-03-03T00:00:00"/>
    <x v="27"/>
  </r>
  <r>
    <x v="490"/>
    <x v="358"/>
    <x v="358"/>
    <s v="Q2 -2025"/>
    <d v="2025-06-21T00:00:00"/>
    <d v="2025-06-21T00:00:00"/>
    <x v="17"/>
    <x v="1"/>
    <x v="5"/>
    <s v="Johannesburg"/>
    <s v="Africa&gt;South Africa&gt;Johannesburg"/>
    <s v="Small Business"/>
    <x v="5"/>
    <x v="7"/>
    <x v="5"/>
    <x v="489"/>
    <n v="1466.27"/>
    <n v="3589.89"/>
    <n v="3589.89"/>
    <s v="High"/>
    <n v="9.7000000000000003E-2"/>
    <x v="205"/>
    <n v="9"/>
    <x v="491"/>
    <n v="13196.43"/>
    <n v="15978.606029999999"/>
    <n v="0.54768076425234147"/>
    <d v="2023-01-07T00:00:00"/>
    <x v="28"/>
  </r>
  <r>
    <x v="491"/>
    <x v="372"/>
    <x v="372"/>
    <s v="Q3 -2025"/>
    <d v="2025-08-16T00:00:00"/>
    <d v="2025-08-16T00:00:00"/>
    <x v="20"/>
    <x v="0"/>
    <x v="1"/>
    <s v="Unknown"/>
    <s v="Asia&gt;India&gt;Unknown"/>
    <s v="Enterprise"/>
    <x v="3"/>
    <x v="2"/>
    <x v="3"/>
    <x v="490"/>
    <n v="24.44"/>
    <n v="28.69"/>
    <n v="28.69"/>
    <s v="Low"/>
    <n v="0.14599999999999999"/>
    <x v="97"/>
    <n v="6"/>
    <x v="492"/>
    <n v="146.64000000000001"/>
    <n v="0.36755999999999744"/>
    <n v="2.5002795774584476E-3"/>
    <d v="2023-01-29T00:00:00"/>
    <x v="26"/>
  </r>
  <r>
    <x v="492"/>
    <x v="373"/>
    <x v="373"/>
    <s v="Q2 -2025"/>
    <d v="2025-04-10T00:00:00"/>
    <d v="2025-04-10T00:00:00"/>
    <x v="1"/>
    <x v="3"/>
    <x v="8"/>
    <s v="Birmingham"/>
    <s v="Europe&gt;United Kingdom&gt;Birmingham"/>
    <s v="Non-Profit"/>
    <x v="3"/>
    <x v="13"/>
    <x v="1"/>
    <x v="491"/>
    <n v="290.14"/>
    <n v="250.73"/>
    <n v="250.73"/>
    <s v="Low"/>
    <n v="3.4000000000000002E-2"/>
    <x v="123"/>
    <n v="17"/>
    <x v="493"/>
    <n v="4932.38"/>
    <n v="-814.89194000000043"/>
    <n v="-0.19790997038131072"/>
    <d v="2023-01-19T00:00:00"/>
    <x v="27"/>
  </r>
  <r>
    <x v="493"/>
    <x v="374"/>
    <x v="374"/>
    <s v="Q1 -2025"/>
    <d v="2025-03-17T00:00:00"/>
    <d v="2025-03-17T00:00:00"/>
    <x v="23"/>
    <x v="2"/>
    <x v="4"/>
    <s v="San Francisco"/>
    <s v="Americas&gt;USA&gt;San Francisco"/>
    <s v="Non-Profit"/>
    <x v="4"/>
    <x v="7"/>
    <x v="5"/>
    <x v="492"/>
    <n v="1205.26"/>
    <n v="1696.35"/>
    <n v="1696.35"/>
    <s v="High"/>
    <n v="1.9E-2"/>
    <x v="206"/>
    <n v="6"/>
    <x v="494"/>
    <n v="7231.5599999999995"/>
    <n v="2753.1560999999983"/>
    <n v="0.27573704374028213"/>
    <d v="2023-01-13T00:00:00"/>
    <x v="29"/>
  </r>
  <r>
    <x v="494"/>
    <x v="375"/>
    <x v="375"/>
    <s v="Q2 -2025"/>
    <d v="2025-07-08T00:00:00"/>
    <d v="2025-07-08T00:00:00"/>
    <x v="19"/>
    <x v="3"/>
    <x v="8"/>
    <s v="London"/>
    <s v="Europe&gt;United Kingdom&gt;London"/>
    <s v="Education"/>
    <x v="3"/>
    <x v="0"/>
    <x v="5"/>
    <x v="493"/>
    <n v="892.73"/>
    <n v="979.84"/>
    <n v="979.84"/>
    <s v="Medium"/>
    <n v="0.17399999999999999"/>
    <x v="112"/>
    <n v="10"/>
    <x v="495"/>
    <n v="8927.2999999999993"/>
    <n v="-833.82159999999931"/>
    <n v="-0.10302388649112838"/>
    <d v="2023-01-19T00:00:00"/>
    <x v="28"/>
  </r>
  <r>
    <x v="495"/>
    <x v="376"/>
    <x v="376"/>
    <s v="Q1 -2025"/>
    <d v="2025-02-27T00:00:00"/>
    <d v="2025-02-27T00:00:00"/>
    <x v="30"/>
    <x v="3"/>
    <x v="10"/>
    <s v="Lyon"/>
    <s v="Europe&gt;France&gt;Lyon"/>
    <s v="Non-Profit"/>
    <x v="3"/>
    <x v="4"/>
    <x v="0"/>
    <x v="494"/>
    <n v="1027.26"/>
    <n v="2200.41"/>
    <n v="2200.41"/>
    <s v="High"/>
    <n v="8.7999999999999995E-2"/>
    <x v="127"/>
    <n v="6"/>
    <x v="496"/>
    <n v="6163.5599999999995"/>
    <n v="5877.0835200000001"/>
    <n v="0.48810377204822358"/>
    <d v="2023-01-10T00:00:00"/>
    <x v="29"/>
  </r>
  <r>
    <x v="496"/>
    <x v="377"/>
    <x v="377"/>
    <s v="Q3 -2025"/>
    <d v="2025-08-16T00:00:00"/>
    <d v="2025-08-16T00:00:00"/>
    <x v="4"/>
    <x v="2"/>
    <x v="3"/>
    <s v="Montreal"/>
    <s v="Americas&gt;Canada&gt;Montreal"/>
    <s v="Enterprise"/>
    <x v="1"/>
    <x v="2"/>
    <x v="6"/>
    <x v="495"/>
    <n v="698.66"/>
    <n v="868.62"/>
    <n v="868.62"/>
    <s v="Medium"/>
    <n v="7.1999999999999995E-2"/>
    <x v="107"/>
    <n v="15"/>
    <x v="497"/>
    <n v="10479.9"/>
    <n v="1611.2903999999999"/>
    <n v="0.13326151906432637"/>
    <d v="2023-01-02T00:00:00"/>
    <x v="30"/>
  </r>
  <r>
    <x v="497"/>
    <x v="378"/>
    <x v="378"/>
    <s v="Q3 -2025"/>
    <d v="2025-08-30T00:00:00"/>
    <d v="2025-08-30T00:00:00"/>
    <x v="23"/>
    <x v="2"/>
    <x v="4"/>
    <s v="San Francisco"/>
    <s v="Americas&gt;USA&gt;San Francisco"/>
    <s v="Corporate"/>
    <x v="4"/>
    <x v="4"/>
    <x v="1"/>
    <x v="496"/>
    <n v="933.29"/>
    <n v="1456.81"/>
    <n v="1456.81"/>
    <s v="Medium"/>
    <n v="0.123"/>
    <x v="66"/>
    <n v="13"/>
    <x v="498"/>
    <n v="12132.77"/>
    <n v="4476.3208099999974"/>
    <n v="0.26951028573489977"/>
    <d v="2023-01-13T00:00:00"/>
    <x v="26"/>
  </r>
  <r>
    <x v="498"/>
    <x v="379"/>
    <x v="379"/>
    <s v="Q2 -2025"/>
    <d v="2025-04-19T00:00:00"/>
    <d v="2025-04-19T00:00:00"/>
    <x v="25"/>
    <x v="1"/>
    <x v="5"/>
    <s v="Durban"/>
    <s v="Africa&gt;South Africa&gt;Durban"/>
    <s v="Enterprise"/>
    <x v="5"/>
    <x v="10"/>
    <x v="6"/>
    <x v="497"/>
    <n v="113.74"/>
    <n v="165.7"/>
    <n v="165.7"/>
    <s v="Low"/>
    <n v="0.124"/>
    <x v="207"/>
    <n v="13"/>
    <x v="499"/>
    <n v="1478.62"/>
    <n v="408.37159999999994"/>
    <n v="0.21641410592394794"/>
    <d v="2023-01-07T00:00:00"/>
    <x v="31"/>
  </r>
  <r>
    <x v="499"/>
    <x v="380"/>
    <x v="380"/>
    <s v="Q2 -2025"/>
    <d v="2025-07-23T00:00:00"/>
    <d v="2025-07-23T00:00:00"/>
    <x v="29"/>
    <x v="2"/>
    <x v="3"/>
    <s v="Vancouver"/>
    <s v="Americas&gt;Canada&gt;Vancouver"/>
    <s v="Non-Profit"/>
    <x v="4"/>
    <x v="9"/>
    <x v="1"/>
    <x v="498"/>
    <n v="255.4"/>
    <n v="322.70999999999998"/>
    <n v="322.70999999999998"/>
    <s v="Low"/>
    <n v="0.115"/>
    <x v="64"/>
    <n v="16"/>
    <x v="500"/>
    <n v="4086.4"/>
    <n v="483.17359999999962"/>
    <n v="0.10573713048412212"/>
    <d v="2023-01-02T00:00:00"/>
    <x v="28"/>
  </r>
  <r>
    <x v="500"/>
    <x v="380"/>
    <x v="380"/>
    <s v="Q2 -2025"/>
    <d v="2025-07-14T00:00:00"/>
    <d v="2025-07-14T00:00:00"/>
    <x v="23"/>
    <x v="1"/>
    <x v="5"/>
    <s v="Johannesburg"/>
    <s v="Africa&gt;South Africa&gt;Johannesburg"/>
    <s v="Enterprise"/>
    <x v="4"/>
    <x v="5"/>
    <x v="4"/>
    <x v="499"/>
    <n v="1151.06"/>
    <n v="2821.36"/>
    <n v="2821.36"/>
    <s v="High"/>
    <n v="0.248"/>
    <x v="208"/>
    <n v="20"/>
    <x v="501"/>
    <n v="23021.199999999997"/>
    <n v="19412.054400000008"/>
    <n v="0.45747267501594235"/>
    <d v="2023-01-07T00:00:00"/>
    <x v="28"/>
  </r>
  <r>
    <x v="501"/>
    <x v="381"/>
    <x v="381"/>
    <s v="Q2 -2025"/>
    <d v="2025-05-27T00:00:00"/>
    <d v="2025-05-27T00:00:00"/>
    <x v="9"/>
    <x v="0"/>
    <x v="1"/>
    <s v="Unknown"/>
    <s v="Asia&gt;India&gt;Unknown"/>
    <s v="Enterprise"/>
    <x v="4"/>
    <x v="7"/>
    <x v="5"/>
    <x v="500"/>
    <n v="481.32"/>
    <n v="1135.99"/>
    <n v="1135.99"/>
    <s v="Medium"/>
    <n v="0.14499999999999999"/>
    <x v="152"/>
    <n v="5"/>
    <x v="502"/>
    <n v="2406.6"/>
    <n v="2449.7572500000001"/>
    <n v="0.50444337677175621"/>
    <d v="2023-01-29T00:00:00"/>
    <x v="27"/>
  </r>
  <r>
    <x v="502"/>
    <x v="382"/>
    <x v="382"/>
    <s v="Q1 -2025"/>
    <d v="2025-02-15T00:00:00"/>
    <d v="2025-02-15T00:00:00"/>
    <x v="8"/>
    <x v="0"/>
    <x v="7"/>
    <s v="Shenzhen"/>
    <s v="Asia&gt;China&gt;Shenzhen"/>
    <s v="Non-Profit"/>
    <x v="3"/>
    <x v="11"/>
    <x v="5"/>
    <x v="501"/>
    <n v="1253.22"/>
    <n v="3104.71"/>
    <n v="3104.71"/>
    <s v="High"/>
    <n v="0"/>
    <x v="5"/>
    <n v="17"/>
    <x v="503"/>
    <n v="21304.74"/>
    <n v="31475.329999999998"/>
    <n v="0.59634877331538205"/>
    <d v="2023-01-12T00:00:00"/>
    <x v="25"/>
  </r>
  <r>
    <x v="503"/>
    <x v="383"/>
    <x v="383"/>
    <s v="Q1 -2025"/>
    <d v="2025-04-17T00:00:00"/>
    <d v="2025-04-17T00:00:00"/>
    <x v="7"/>
    <x v="3"/>
    <x v="8"/>
    <s v="London"/>
    <s v="Europe&gt;United Kingdom&gt;London"/>
    <s v="Consumer"/>
    <x v="0"/>
    <x v="7"/>
    <x v="6"/>
    <x v="502"/>
    <n v="1421.19"/>
    <n v="1808.26"/>
    <n v="1808.26"/>
    <s v="High"/>
    <n v="0.104"/>
    <x v="103"/>
    <n v="13"/>
    <x v="504"/>
    <n v="18475.47"/>
    <n v="2587.1424799999986"/>
    <n v="0.12283103449093123"/>
    <d v="2023-01-19T00:00:00"/>
    <x v="27"/>
  </r>
  <r>
    <x v="504"/>
    <x v="357"/>
    <x v="357"/>
    <s v="Q1 -2025"/>
    <d v="2025-03-25T00:00:00"/>
    <d v="2025-03-25T00:00:00"/>
    <x v="18"/>
    <x v="0"/>
    <x v="7"/>
    <s v="Beijing"/>
    <s v="Asia&gt;China&gt;Beijing"/>
    <s v="Non-Profit"/>
    <x v="2"/>
    <x v="10"/>
    <x v="6"/>
    <x v="503"/>
    <n v="1133.03"/>
    <n v="1921.51"/>
    <n v="1921.51"/>
    <s v="High"/>
    <n v="0.10100000000000001"/>
    <x v="47"/>
    <n v="5"/>
    <x v="505"/>
    <n v="5665.15"/>
    <n v="2972.0374499999998"/>
    <n v="0.3440978289755654"/>
    <d v="2023-01-12T00:00:00"/>
    <x v="27"/>
  </r>
  <r>
    <x v="505"/>
    <x v="376"/>
    <x v="376"/>
    <s v="Q1 -2025"/>
    <d v="2025-03-01T00:00:00"/>
    <d v="2025-03-01T00:00:00"/>
    <x v="6"/>
    <x v="1"/>
    <x v="6"/>
    <s v="Mombasa"/>
    <s v="Africa&gt;Kenya&gt;Mombasa"/>
    <s v="Education"/>
    <x v="3"/>
    <x v="11"/>
    <x v="0"/>
    <x v="504"/>
    <n v="1162.8599999999999"/>
    <n v="1447.68"/>
    <n v="1447.68"/>
    <s v="Medium"/>
    <n v="8.6999999999999994E-2"/>
    <x v="138"/>
    <n v="12"/>
    <x v="506"/>
    <n v="13954.32"/>
    <n v="1906.4620800000012"/>
    <n v="0.12019975247021369"/>
    <d v="2023-01-20T00:00:00"/>
    <x v="25"/>
  </r>
  <r>
    <x v="506"/>
    <x v="384"/>
    <x v="384"/>
    <s v="Q1 -2025"/>
    <d v="2025-03-17T00:00:00"/>
    <d v="2025-03-17T00:00:00"/>
    <x v="29"/>
    <x v="3"/>
    <x v="9"/>
    <s v="Munich"/>
    <s v="Europe&gt;Germany&gt;Munich"/>
    <s v="Consumer"/>
    <x v="0"/>
    <x v="11"/>
    <x v="0"/>
    <x v="505"/>
    <n v="730.42"/>
    <n v="956.7"/>
    <n v="956.7"/>
    <s v="Medium"/>
    <n v="4.2000000000000003E-2"/>
    <x v="89"/>
    <n v="22"/>
    <x v="507"/>
    <n v="16069.24"/>
    <n v="4094.1692000000021"/>
    <n v="0.20304945256975698"/>
    <d v="2023-01-22T00:00:00"/>
    <x v="25"/>
  </r>
  <r>
    <x v="507"/>
    <x v="385"/>
    <x v="385"/>
    <s v="Q1 -2025"/>
    <d v="2025-01-15T00:00:00"/>
    <d v="2025-01-15T00:00:00"/>
    <x v="1"/>
    <x v="0"/>
    <x v="7"/>
    <s v="Beijing"/>
    <s v="Asia&gt;China&gt;Beijing"/>
    <s v="Education"/>
    <x v="2"/>
    <x v="14"/>
    <x v="5"/>
    <x v="506"/>
    <n v="304.77999999999997"/>
    <n v="537.27"/>
    <n v="537.27"/>
    <s v="Low"/>
    <n v="0.187"/>
    <x v="181"/>
    <n v="8"/>
    <x v="508"/>
    <n v="2438.2399999999998"/>
    <n v="1056.16408"/>
    <n v="0.3022444044307549"/>
    <d v="2023-01-12T00:00:00"/>
    <x v="17"/>
  </r>
  <r>
    <x v="508"/>
    <x v="386"/>
    <x v="386"/>
    <s v="Q2 -2025"/>
    <d v="2025-06-09T00:00:00"/>
    <d v="2025-06-09T00:00:00"/>
    <x v="0"/>
    <x v="2"/>
    <x v="4"/>
    <s v="New York"/>
    <s v="Americas&gt;USA&gt;New York"/>
    <s v="Consumer"/>
    <x v="0"/>
    <x v="7"/>
    <x v="6"/>
    <x v="507"/>
    <n v="382.96"/>
    <n v="552.84"/>
    <n v="552.84"/>
    <s v="Low"/>
    <n v="0.17599999999999999"/>
    <x v="140"/>
    <n v="8"/>
    <x v="509"/>
    <n v="3063.68"/>
    <n v="580.64128000000073"/>
    <n v="0.15932768693763483"/>
    <d v="2023-01-13T00:00:00"/>
    <x v="24"/>
  </r>
  <r>
    <x v="509"/>
    <x v="364"/>
    <x v="364"/>
    <s v="Q2 -2025"/>
    <d v="2025-06-27T00:00:00"/>
    <d v="2025-06-27T00:00:00"/>
    <x v="13"/>
    <x v="3"/>
    <x v="9"/>
    <s v="Munich"/>
    <s v="Europe&gt;Germany&gt;Munich"/>
    <s v="Consumer"/>
    <x v="1"/>
    <x v="1"/>
    <x v="4"/>
    <x v="508"/>
    <n v="1362.31"/>
    <n v="3294.57"/>
    <n v="3294.57"/>
    <s v="High"/>
    <n v="0.113"/>
    <x v="25"/>
    <n v="7"/>
    <x v="510"/>
    <n v="9536.17"/>
    <n v="10919.815130000001"/>
    <n v="0.5338200561157721"/>
    <d v="2023-01-22T00:00:00"/>
    <x v="24"/>
  </r>
  <r>
    <x v="510"/>
    <x v="387"/>
    <x v="387"/>
    <s v="Q2 -2025"/>
    <d v="2025-06-14T00:00:00"/>
    <d v="2025-06-14T00:00:00"/>
    <x v="25"/>
    <x v="0"/>
    <x v="1"/>
    <s v="Delhi"/>
    <s v="Asia&gt;India&gt;Delhi"/>
    <s v="Non-Profit"/>
    <x v="0"/>
    <x v="0"/>
    <x v="0"/>
    <x v="509"/>
    <n v="618.69000000000005"/>
    <n v="796.15"/>
    <n v="796.15"/>
    <s v="Medium"/>
    <n v="0.09"/>
    <x v="91"/>
    <n v="11"/>
    <x v="511"/>
    <n v="6805.59"/>
    <n v="1163.8715000000002"/>
    <n v="0.14604142325049191"/>
    <d v="2023-01-29T00:00:00"/>
    <x v="24"/>
  </r>
  <r>
    <x v="511"/>
    <x v="388"/>
    <x v="388"/>
    <s v="Q1 -2025"/>
    <d v="2025-02-04T00:00:00"/>
    <d v="2025-02-04T00:00:00"/>
    <x v="4"/>
    <x v="0"/>
    <x v="0"/>
    <s v="Tokyo"/>
    <s v="Asia&gt;Japan&gt;Tokyo"/>
    <s v="Small Business"/>
    <x v="1"/>
    <x v="11"/>
    <x v="1"/>
    <x v="510"/>
    <n v="122.29"/>
    <n v="224.95"/>
    <n v="224.95"/>
    <s v="Low"/>
    <n v="0.153"/>
    <x v="187"/>
    <n v="28"/>
    <x v="512"/>
    <n v="3424.1200000000003"/>
    <n v="1910.7941999999989"/>
    <n v="0.3581677471026618"/>
    <d v="2023-03-03T00:00:00"/>
    <x v="16"/>
  </r>
  <r>
    <x v="512"/>
    <x v="389"/>
    <x v="389"/>
    <s v="Q3 -2025"/>
    <d v="2025-09-03T00:00:00"/>
    <d v="2025-09-03T00:00:00"/>
    <x v="26"/>
    <x v="3"/>
    <x v="10"/>
    <s v="Marseille"/>
    <s v="Europe&gt;France&gt;Marseille"/>
    <s v="Small Business"/>
    <x v="4"/>
    <x v="5"/>
    <x v="4"/>
    <x v="511"/>
    <n v="1286.56"/>
    <n v="2777.35"/>
    <n v="2777.35"/>
    <s v="High"/>
    <n v="0.13200000000000001"/>
    <x v="56"/>
    <n v="15"/>
    <x v="513"/>
    <n v="19298.399999999998"/>
    <n v="16862.697000000004"/>
    <n v="0.46632150014696744"/>
    <d v="2023-01-10T00:00:00"/>
    <x v="30"/>
  </r>
  <r>
    <x v="513"/>
    <x v="390"/>
    <x v="390"/>
    <s v="Q2 -2025"/>
    <d v="2025-06-24T00:00:00"/>
    <d v="2025-06-24T00:00:00"/>
    <x v="20"/>
    <x v="0"/>
    <x v="0"/>
    <s v="Nagoya"/>
    <s v="Asia&gt;Japan&gt;Nagoya"/>
    <s v="Corporate"/>
    <x v="3"/>
    <x v="12"/>
    <x v="5"/>
    <x v="512"/>
    <n v="400.39"/>
    <n v="712.75"/>
    <n v="712.75"/>
    <s v="Low"/>
    <n v="0.115"/>
    <x v="64"/>
    <n v="19"/>
    <x v="514"/>
    <n v="7607.41"/>
    <n v="4377.4812500000007"/>
    <n v="0.36524997671547504"/>
    <d v="2023-03-03T00:00:00"/>
    <x v="31"/>
  </r>
  <r>
    <x v="514"/>
    <x v="372"/>
    <x v="372"/>
    <s v="Q3 -2025"/>
    <d v="2025-08-21T00:00:00"/>
    <d v="2025-08-21T00:00:00"/>
    <x v="23"/>
    <x v="0"/>
    <x v="7"/>
    <s v="Shanghai"/>
    <s v="Asia&gt;China&gt;Shanghai"/>
    <s v="Corporate"/>
    <x v="3"/>
    <x v="9"/>
    <x v="5"/>
    <x v="513"/>
    <n v="1220.4100000000001"/>
    <n v="2552.2199999999998"/>
    <n v="2552.2199999999998"/>
    <s v="High"/>
    <n v="0.18099999999999999"/>
    <x v="209"/>
    <n v="14"/>
    <x v="515"/>
    <n v="17085.740000000002"/>
    <n v="12178.014519999993"/>
    <n v="0.41614668793360271"/>
    <d v="2023-01-12T00:00:00"/>
    <x v="26"/>
  </r>
  <r>
    <x v="515"/>
    <x v="391"/>
    <x v="391"/>
    <s v="Q3 -2025"/>
    <d v="2025-08-23T00:00:00"/>
    <d v="2025-08-23T00:00:00"/>
    <x v="3"/>
    <x v="2"/>
    <x v="11"/>
    <s v="Brasília"/>
    <s v="Americas&gt;Brazil&gt;Brasília"/>
    <s v="Consumer"/>
    <x v="1"/>
    <x v="0"/>
    <x v="3"/>
    <x v="514"/>
    <n v="86.64"/>
    <n v="213.06"/>
    <n v="213.06"/>
    <s v="Low"/>
    <n v="0.21199999999999999"/>
    <x v="210"/>
    <n v="11"/>
    <x v="516"/>
    <n v="953.04"/>
    <n v="893.76407999999992"/>
    <n v="0.48395175735154322"/>
    <d v="2023-01-29T00:00:00"/>
    <x v="26"/>
  </r>
  <r>
    <x v="516"/>
    <x v="367"/>
    <x v="367"/>
    <s v="Q2 -2025"/>
    <d v="2025-04-26T00:00:00"/>
    <d v="2025-04-26T00:00:00"/>
    <x v="5"/>
    <x v="1"/>
    <x v="2"/>
    <s v="Port Harcourt"/>
    <s v="Africa&gt;Nigeria&gt;Port Harcourt"/>
    <s v="Enterprise"/>
    <x v="4"/>
    <x v="3"/>
    <x v="4"/>
    <x v="515"/>
    <n v="1457.44"/>
    <n v="1996.81"/>
    <n v="1996.81"/>
    <s v="High"/>
    <n v="0.126"/>
    <x v="41"/>
    <n v="23"/>
    <x v="517"/>
    <n v="33521.120000000003"/>
    <n v="6618.7546199999924"/>
    <n v="0.16489225944672353"/>
    <d v="2023-01-15T00:00:00"/>
    <x v="31"/>
  </r>
  <r>
    <x v="517"/>
    <x v="392"/>
    <x v="392"/>
    <s v="Q1 -2025"/>
    <d v="2025-02-16T00:00:00"/>
    <d v="2025-02-16T00:00:00"/>
    <x v="25"/>
    <x v="1"/>
    <x v="2"/>
    <s v="Lagos"/>
    <s v="Africa&gt;Nigeria&gt;Lagos"/>
    <s v="Small Business"/>
    <x v="1"/>
    <x v="14"/>
    <x v="1"/>
    <x v="516"/>
    <n v="90.68"/>
    <n v="118.17"/>
    <n v="118.17"/>
    <s v="Low"/>
    <n v="0.13500000000000001"/>
    <x v="15"/>
    <n v="21"/>
    <x v="518"/>
    <n v="1904.2800000000002"/>
    <n v="242.27804999999989"/>
    <n v="0.11286815653552899"/>
    <d v="2023-01-15T00:00:00"/>
    <x v="25"/>
  </r>
  <r>
    <x v="518"/>
    <x v="393"/>
    <x v="393"/>
    <s v="Q1 -2025"/>
    <d v="2025-04-29T00:00:00"/>
    <d v="2025-04-29T00:00:00"/>
    <x v="9"/>
    <x v="1"/>
    <x v="5"/>
    <s v="Durban"/>
    <s v="Africa&gt;South Africa&gt;Durban"/>
    <s v="Consumer"/>
    <x v="4"/>
    <x v="5"/>
    <x v="3"/>
    <x v="517"/>
    <n v="194.6"/>
    <n v="314.87"/>
    <n v="314.87"/>
    <s v="Low"/>
    <n v="0.29299999999999998"/>
    <x v="211"/>
    <n v="25"/>
    <x v="519"/>
    <n v="4865"/>
    <n v="700.32725000000028"/>
    <n v="0.1258375686712763"/>
    <d v="2023-01-07T00:00:00"/>
    <x v="27"/>
  </r>
  <r>
    <x v="519"/>
    <x v="381"/>
    <x v="381"/>
    <s v="Q2 -2025"/>
    <d v="2025-05-17T00:00:00"/>
    <d v="2025-05-17T00:00:00"/>
    <x v="23"/>
    <x v="2"/>
    <x v="4"/>
    <s v="Austin"/>
    <s v="Americas&gt;USA&gt;Austin"/>
    <s v="Corporate"/>
    <x v="3"/>
    <x v="13"/>
    <x v="5"/>
    <x v="518"/>
    <n v="932.26"/>
    <n v="1624.67"/>
    <n v="1624.67"/>
    <s v="High"/>
    <n v="0.23499999999999999"/>
    <x v="132"/>
    <n v="28"/>
    <x v="520"/>
    <n v="26103.279999999999"/>
    <n v="8697.1514000000025"/>
    <n v="0.24991504559337163"/>
    <d v="2023-01-13T00:00:00"/>
    <x v="31"/>
  </r>
  <r>
    <x v="520"/>
    <x v="394"/>
    <x v="394"/>
    <s v="Q3 -2025"/>
    <d v="2025-08-06T00:00:00"/>
    <d v="2025-08-06T00:00:00"/>
    <x v="4"/>
    <x v="1"/>
    <x v="5"/>
    <s v="Johannesburg"/>
    <s v="Africa&gt;South Africa&gt;Johannesburg"/>
    <s v="Education"/>
    <x v="4"/>
    <x v="6"/>
    <x v="6"/>
    <x v="519"/>
    <n v="1463.9"/>
    <n v="2633.02"/>
    <n v="2633.02"/>
    <s v="High"/>
    <n v="8.4000000000000005E-2"/>
    <x v="125"/>
    <n v="4"/>
    <x v="521"/>
    <n v="5855.6"/>
    <n v="3791.7852800000001"/>
    <n v="0.39303761277791527"/>
    <d v="2023-01-07T00:00:00"/>
    <x v="26"/>
  </r>
  <r>
    <x v="521"/>
    <x v="395"/>
    <x v="395"/>
    <s v="Q2 -2025"/>
    <d v="2025-07-05T00:00:00"/>
    <d v="2025-07-05T00:00:00"/>
    <x v="22"/>
    <x v="0"/>
    <x v="1"/>
    <s v="Delhi"/>
    <s v="Asia&gt;India&gt;Delhi"/>
    <s v="Consumer"/>
    <x v="4"/>
    <x v="11"/>
    <x v="4"/>
    <x v="520"/>
    <n v="982.93"/>
    <n v="2299.3000000000002"/>
    <n v="2299.3000000000002"/>
    <s v="High"/>
    <n v="0.113"/>
    <x v="25"/>
    <n v="6"/>
    <x v="522"/>
    <n v="5897.58"/>
    <n v="6339.2946000000011"/>
    <n v="0.51804850562087157"/>
    <d v="2023-01-29T00:00:00"/>
    <x v="24"/>
  </r>
  <r>
    <x v="522"/>
    <x v="396"/>
    <x v="396"/>
    <s v="Q1 -2025"/>
    <d v="2025-03-09T00:00:00"/>
    <d v="2025-03-09T00:00:00"/>
    <x v="22"/>
    <x v="0"/>
    <x v="1"/>
    <s v="Delhi"/>
    <s v="Asia&gt;India&gt;Delhi"/>
    <s v="Small Business"/>
    <x v="3"/>
    <x v="2"/>
    <x v="3"/>
    <x v="521"/>
    <n v="325.87"/>
    <n v="538.79"/>
    <n v="538.79"/>
    <s v="Low"/>
    <n v="0.17399999999999999"/>
    <x v="112"/>
    <n v="16"/>
    <x v="523"/>
    <n v="5213.92"/>
    <n v="1906.7286400000003"/>
    <n v="0.26777457172778013"/>
    <d v="2023-01-29T00:00:00"/>
    <x v="25"/>
  </r>
  <r>
    <x v="523"/>
    <x v="397"/>
    <x v="397"/>
    <s v="Q2 -2025"/>
    <d v="2025-06-30T00:00:00"/>
    <d v="2025-06-30T00:00:00"/>
    <x v="20"/>
    <x v="1"/>
    <x v="5"/>
    <s v="Johannesburg"/>
    <s v="Africa&gt;South Africa&gt;Johannesburg"/>
    <s v="Small Business"/>
    <x v="3"/>
    <x v="14"/>
    <x v="3"/>
    <x v="522"/>
    <n v="1487.59"/>
    <n v="1480.83"/>
    <n v="1480.83"/>
    <s v="High"/>
    <n v="8.9999999999999993E-3"/>
    <x v="194"/>
    <n v="11"/>
    <x v="524"/>
    <n v="16363.49"/>
    <n v="-220.9621700000007"/>
    <n v="-1.3688201273492908E-2"/>
    <d v="2023-01-07T00:00:00"/>
    <x v="28"/>
  </r>
  <r>
    <x v="524"/>
    <x v="398"/>
    <x v="398"/>
    <s v="Q2 -2025"/>
    <d v="2025-06-08T00:00:00"/>
    <d v="2025-06-08T00:00:00"/>
    <x v="30"/>
    <x v="0"/>
    <x v="0"/>
    <s v="Osaka"/>
    <s v="Asia&gt;Japan&gt;Osaka"/>
    <s v="Corporate"/>
    <x v="0"/>
    <x v="7"/>
    <x v="0"/>
    <x v="523"/>
    <n v="653.6"/>
    <n v="842.09"/>
    <n v="842.09"/>
    <s v="Medium"/>
    <n v="9.8000000000000004E-2"/>
    <x v="121"/>
    <n v="19"/>
    <x v="525"/>
    <n v="12418.4"/>
    <n v="2013.3384200000019"/>
    <n v="0.13950768517324622"/>
    <d v="2023-03-03T00:00:00"/>
    <x v="27"/>
  </r>
  <r>
    <x v="525"/>
    <x v="399"/>
    <x v="399"/>
    <s v="Q2 -2025"/>
    <d v="2025-05-04T00:00:00"/>
    <d v="2025-05-04T00:00:00"/>
    <x v="7"/>
    <x v="0"/>
    <x v="0"/>
    <s v="Osaka"/>
    <s v="Asia&gt;Japan&gt;Osaka"/>
    <s v="Small Business"/>
    <x v="2"/>
    <x v="8"/>
    <x v="2"/>
    <x v="524"/>
    <n v="786.2"/>
    <n v="1075.3"/>
    <n v="1075.3"/>
    <s v="Medium"/>
    <n v="0.08"/>
    <x v="196"/>
    <n v="9"/>
    <x v="526"/>
    <n v="7075.8"/>
    <n v="1827.6839999999984"/>
    <n v="0.20527739478163815"/>
    <d v="2023-03-03T00:00:00"/>
    <x v="29"/>
  </r>
  <r>
    <x v="526"/>
    <x v="400"/>
    <x v="400"/>
    <s v="Q1 -2025"/>
    <d v="2025-03-31T00:00:00"/>
    <d v="2025-03-31T00:00:00"/>
    <x v="12"/>
    <x v="2"/>
    <x v="11"/>
    <s v="Brasília"/>
    <s v="Americas&gt;Brazil&gt;Brasília"/>
    <s v="Non-Profit"/>
    <x v="2"/>
    <x v="5"/>
    <x v="2"/>
    <x v="525"/>
    <n v="331.57"/>
    <n v="548.4"/>
    <n v="548.4"/>
    <s v="Low"/>
    <n v="9.4E-2"/>
    <x v="16"/>
    <n v="10"/>
    <x v="527"/>
    <n v="3315.7"/>
    <n v="1652.8040000000001"/>
    <n v="0.33265626836568918"/>
    <d v="2023-01-29T00:00:00"/>
    <x v="29"/>
  </r>
  <r>
    <x v="527"/>
    <x v="401"/>
    <x v="401"/>
    <s v="Q2 -2025"/>
    <d v="2025-04-22T00:00:00"/>
    <d v="2025-04-29T00:00:00"/>
    <x v="1"/>
    <x v="2"/>
    <x v="4"/>
    <s v="San Francisco"/>
    <s v="Americas&gt;USA&gt;San Francisco"/>
    <s v="Non-Profit"/>
    <x v="1"/>
    <x v="6"/>
    <x v="3"/>
    <x v="526"/>
    <n v="23.24"/>
    <n v="44.57"/>
    <n v="44.57"/>
    <s v="Low"/>
    <n v="0.215"/>
    <x v="190"/>
    <n v="15"/>
    <x v="528"/>
    <n v="348.59999999999997"/>
    <n v="176.21174999999999"/>
    <n v="0.33576182316802167"/>
    <d v="2023-01-13T00:00:00"/>
    <x v="31"/>
  </r>
  <r>
    <x v="528"/>
    <x v="402"/>
    <x v="402"/>
    <s v="Q3 -2025"/>
    <d v="2025-08-15T00:00:00"/>
    <d v="2025-08-15T00:00:00"/>
    <x v="8"/>
    <x v="0"/>
    <x v="0"/>
    <s v="Tokyo"/>
    <s v="Asia&gt;Japan&gt;Tokyo"/>
    <s v="Small Business"/>
    <x v="4"/>
    <x v="5"/>
    <x v="2"/>
    <x v="527"/>
    <n v="275.43"/>
    <n v="608.36"/>
    <n v="608.36"/>
    <s v="Low"/>
    <n v="0.25700000000000001"/>
    <x v="40"/>
    <n v="4"/>
    <x v="529"/>
    <n v="1101.72"/>
    <n v="706.32592"/>
    <n v="0.39065706915231446"/>
    <d v="2023-03-03T00:00:00"/>
    <x v="24"/>
  </r>
  <r>
    <x v="529"/>
    <x v="403"/>
    <x v="403"/>
    <s v="Q1 -2025"/>
    <d v="2025-03-24T00:00:00"/>
    <d v="2025-03-24T00:00:00"/>
    <x v="16"/>
    <x v="1"/>
    <x v="2"/>
    <s v="Abuja"/>
    <s v="Africa&gt;Nigeria&gt;Abuja"/>
    <s v="Enterprise"/>
    <x v="3"/>
    <x v="7"/>
    <x v="0"/>
    <x v="528"/>
    <n v="555.95000000000005"/>
    <n v="468.09"/>
    <n v="468.09"/>
    <s v="Low"/>
    <n v="0.14199999999999999"/>
    <x v="62"/>
    <n v="11"/>
    <x v="530"/>
    <n v="6115.4500000000007"/>
    <n v="-1697.6165800000008"/>
    <n v="-0.38426450674095375"/>
    <d v="2023-01-15T00:00:00"/>
    <x v="29"/>
  </r>
  <r>
    <x v="530"/>
    <x v="404"/>
    <x v="404"/>
    <s v="Q2 -2025"/>
    <d v="2025-05-27T00:00:00"/>
    <d v="2025-05-27T00:00:00"/>
    <x v="21"/>
    <x v="0"/>
    <x v="7"/>
    <s v="Beijing"/>
    <s v="Asia&gt;China&gt;Beijing"/>
    <s v="Enterprise"/>
    <x v="2"/>
    <x v="3"/>
    <x v="5"/>
    <x v="529"/>
    <n v="918.12"/>
    <n v="1337.69"/>
    <n v="1337.69"/>
    <s v="Medium"/>
    <n v="9.5000000000000001E-2"/>
    <x v="212"/>
    <n v="8"/>
    <x v="531"/>
    <n v="7344.96"/>
    <n v="2339.9156000000012"/>
    <n v="0.24160512707050164"/>
    <d v="2023-01-12T00:00:00"/>
    <x v="24"/>
  </r>
  <r>
    <x v="531"/>
    <x v="405"/>
    <x v="405"/>
    <s v="Q1 -2025"/>
    <d v="2025-03-15T00:00:00"/>
    <d v="2025-03-15T00:00:00"/>
    <x v="11"/>
    <x v="0"/>
    <x v="1"/>
    <s v="Bengaluru"/>
    <s v="Asia&gt;India&gt;Bengaluru"/>
    <s v="Corporate"/>
    <x v="1"/>
    <x v="4"/>
    <x v="4"/>
    <x v="530"/>
    <n v="475.66"/>
    <n v="529.14"/>
    <n v="529.14"/>
    <s v="Low"/>
    <n v="0.19600000000000001"/>
    <x v="96"/>
    <n v="11"/>
    <x v="532"/>
    <n v="5232.26"/>
    <n v="-552.54583999999977"/>
    <n v="-0.11807256193613323"/>
    <d v="2023-01-29T00:00:00"/>
    <x v="29"/>
  </r>
  <r>
    <x v="532"/>
    <x v="406"/>
    <x v="406"/>
    <s v="Q1 -2025"/>
    <d v="2025-01-23T00:00:00"/>
    <d v="2025-01-23T00:00:00"/>
    <x v="23"/>
    <x v="0"/>
    <x v="0"/>
    <s v="Osaka"/>
    <s v="Asia&gt;Japan&gt;Osaka"/>
    <s v="Corporate"/>
    <x v="1"/>
    <x v="3"/>
    <x v="5"/>
    <x v="531"/>
    <n v="908.6"/>
    <n v="691.37"/>
    <n v="691.37"/>
    <s v="Low"/>
    <n v="0.25"/>
    <x v="213"/>
    <n v="20"/>
    <x v="533"/>
    <n v="18172"/>
    <n v="-7801.4500000000007"/>
    <n v="-0.75226964818645115"/>
    <d v="2023-03-03T00:00:00"/>
    <x v="16"/>
  </r>
  <r>
    <x v="533"/>
    <x v="381"/>
    <x v="381"/>
    <s v="Q2 -2025"/>
    <d v="2025-05-25T00:00:00"/>
    <d v="2025-05-25T00:00:00"/>
    <x v="14"/>
    <x v="3"/>
    <x v="10"/>
    <s v="Paris"/>
    <s v="Europe&gt;France&gt;Paris"/>
    <s v="Small Business"/>
    <x v="4"/>
    <x v="9"/>
    <x v="5"/>
    <x v="532"/>
    <n v="603.45000000000005"/>
    <n v="1244.08"/>
    <n v="1244.08"/>
    <s v="Medium"/>
    <n v="0.2"/>
    <x v="13"/>
    <n v="11"/>
    <x v="534"/>
    <n v="6637.9500000000007"/>
    <n v="4309.9539999999997"/>
    <n v="0.39367846119220623"/>
    <d v="2023-01-10T00:00:00"/>
    <x v="31"/>
  </r>
  <r>
    <x v="534"/>
    <x v="390"/>
    <x v="390"/>
    <s v="Q2 -2025"/>
    <d v="2025-06-25T00:00:00"/>
    <d v="2025-06-25T00:00:00"/>
    <x v="19"/>
    <x v="0"/>
    <x v="1"/>
    <s v="Hyderabad"/>
    <s v="Asia&gt;India&gt;Hyderabad"/>
    <s v="Enterprise"/>
    <x v="1"/>
    <x v="8"/>
    <x v="5"/>
    <x v="533"/>
    <n v="527.33000000000004"/>
    <n v="911.72"/>
    <n v="911.72"/>
    <s v="Medium"/>
    <n v="0.14399999999999999"/>
    <x v="23"/>
    <n v="25"/>
    <x v="535"/>
    <n v="13183.250000000002"/>
    <n v="6327.5579999999991"/>
    <n v="0.32431040272652978"/>
    <d v="2023-01-29T00:00:00"/>
    <x v="24"/>
  </r>
  <r>
    <x v="535"/>
    <x v="407"/>
    <x v="407"/>
    <s v="Q1 -2025"/>
    <d v="2025-03-27T00:00:00"/>
    <d v="2025-03-27T00:00:00"/>
    <x v="19"/>
    <x v="0"/>
    <x v="0"/>
    <s v="Tokyo"/>
    <s v="Asia&gt;Japan&gt;Tokyo"/>
    <s v="Enterprise"/>
    <x v="1"/>
    <x v="12"/>
    <x v="1"/>
    <x v="534"/>
    <n v="1317.58"/>
    <n v="1897.74"/>
    <n v="1897.74"/>
    <s v="High"/>
    <n v="8.1000000000000003E-2"/>
    <x v="214"/>
    <n v="6"/>
    <x v="536"/>
    <n v="7905.48"/>
    <n v="2558.6583600000013"/>
    <n v="0.24451687009230266"/>
    <d v="2023-03-03T00:00:00"/>
    <x v="25"/>
  </r>
  <r>
    <x v="536"/>
    <x v="408"/>
    <x v="408"/>
    <s v="Q3 -2025"/>
    <d v="2025-08-14T00:00:00"/>
    <d v="2025-08-14T00:00:00"/>
    <x v="25"/>
    <x v="3"/>
    <x v="8"/>
    <s v="London"/>
    <s v="Europe&gt;United Kingdom&gt;London"/>
    <s v="Non-Profit"/>
    <x v="3"/>
    <x v="1"/>
    <x v="2"/>
    <x v="535"/>
    <n v="41.76"/>
    <n v="45.19"/>
    <n v="45.19"/>
    <s v="Low"/>
    <n v="0.17899999999999999"/>
    <x v="197"/>
    <n v="23"/>
    <x v="537"/>
    <n v="960.4799999999999"/>
    <n v="-107.15723000000003"/>
    <n v="-0.12557643340514638"/>
    <d v="2023-01-19T00:00:00"/>
    <x v="26"/>
  </r>
  <r>
    <x v="537"/>
    <x v="373"/>
    <x v="373"/>
    <s v="Q2 -2025"/>
    <d v="2025-04-13T00:00:00"/>
    <d v="2025-04-13T00:00:00"/>
    <x v="25"/>
    <x v="3"/>
    <x v="9"/>
    <s v="Munich"/>
    <s v="Europe&gt;Germany&gt;Munich"/>
    <s v="Consumer"/>
    <x v="4"/>
    <x v="3"/>
    <x v="5"/>
    <x v="536"/>
    <n v="7.02"/>
    <n v="6.28"/>
    <n v="6.28"/>
    <s v="Low"/>
    <n v="0.13400000000000001"/>
    <x v="32"/>
    <n v="14"/>
    <x v="538"/>
    <n v="98.28"/>
    <n v="-22.141279999999995"/>
    <n v="-0.29080184169106066"/>
    <d v="2023-01-22T00:00:00"/>
    <x v="27"/>
  </r>
  <r>
    <x v="538"/>
    <x v="409"/>
    <x v="409"/>
    <s v="Q3 -2025"/>
    <d v="2025-08-18T00:00:00"/>
    <d v="2025-08-18T00:00:00"/>
    <x v="15"/>
    <x v="0"/>
    <x v="7"/>
    <s v="Shenzhen"/>
    <s v="Asia&gt;China&gt;Shenzhen"/>
    <s v="Non-Profit"/>
    <x v="4"/>
    <x v="8"/>
    <x v="6"/>
    <x v="537"/>
    <n v="547.32000000000005"/>
    <n v="419.17"/>
    <n v="419.17"/>
    <s v="Low"/>
    <n v="9.1999999999999998E-2"/>
    <x v="167"/>
    <n v="14"/>
    <x v="539"/>
    <n v="7662.4800000000005"/>
    <n v="-2333.9909600000001"/>
    <n v="-0.43802116181137907"/>
    <d v="2023-01-12T00:00:00"/>
    <x v="26"/>
  </r>
  <r>
    <x v="539"/>
    <x v="410"/>
    <x v="410"/>
    <s v="Q1 -2025"/>
    <d v="2025-02-08T00:00:00"/>
    <d v="2025-02-08T00:00:00"/>
    <x v="13"/>
    <x v="3"/>
    <x v="10"/>
    <s v="Paris"/>
    <s v="Europe&gt;France&gt;Paris"/>
    <s v="Non-Profit"/>
    <x v="5"/>
    <x v="1"/>
    <x v="3"/>
    <x v="538"/>
    <n v="594.74"/>
    <n v="1020.69"/>
    <n v="1020.69"/>
    <s v="Medium"/>
    <n v="0.21099999999999999"/>
    <x v="176"/>
    <n v="6"/>
    <x v="540"/>
    <n v="3568.44"/>
    <n v="1263.5064600000001"/>
    <n v="0.26149016146176424"/>
    <d v="2023-01-10T00:00:00"/>
    <x v="25"/>
  </r>
  <r>
    <x v="540"/>
    <x v="411"/>
    <x v="411"/>
    <s v="Q2 -2025"/>
    <d v="2025-04-11T00:00:00"/>
    <d v="2025-04-11T00:00:00"/>
    <x v="26"/>
    <x v="3"/>
    <x v="10"/>
    <s v="Lyon"/>
    <s v="Europe&gt;France&gt;Lyon"/>
    <s v="Education"/>
    <x v="0"/>
    <x v="1"/>
    <x v="6"/>
    <x v="539"/>
    <n v="754.77"/>
    <n v="1666.18"/>
    <n v="1666.18"/>
    <s v="Medium"/>
    <n v="0.13900000000000001"/>
    <x v="37"/>
    <n v="14"/>
    <x v="541"/>
    <n v="10566.779999999999"/>
    <n v="9517.3537200000028"/>
    <n v="0.47387424584424653"/>
    <d v="2023-01-10T00:00:00"/>
    <x v="27"/>
  </r>
  <r>
    <x v="541"/>
    <x v="412"/>
    <x v="412"/>
    <s v="Q1 -2025"/>
    <d v="2025-02-06T00:00:00"/>
    <d v="2025-02-06T00:00:00"/>
    <x v="24"/>
    <x v="1"/>
    <x v="6"/>
    <s v="Kisumu"/>
    <s v="Africa&gt;Kenya&gt;Kisumu"/>
    <s v="Education"/>
    <x v="0"/>
    <x v="12"/>
    <x v="5"/>
    <x v="540"/>
    <n v="1445.27"/>
    <n v="2691.45"/>
    <n v="2691.45"/>
    <s v="High"/>
    <n v="0"/>
    <x v="5"/>
    <n v="9"/>
    <x v="542"/>
    <n v="13007.43"/>
    <n v="11215.619999999999"/>
    <n v="0.46301436028906351"/>
    <d v="2023-01-20T00:00:00"/>
    <x v="25"/>
  </r>
  <r>
    <x v="542"/>
    <x v="352"/>
    <x v="352"/>
    <s v="Q1 -2025"/>
    <d v="2025-02-16T00:00:00"/>
    <d v="2025-02-16T00:00:00"/>
    <x v="13"/>
    <x v="3"/>
    <x v="10"/>
    <s v="Lyon"/>
    <s v="Europe&gt;France&gt;Lyon"/>
    <s v="Corporate"/>
    <x v="1"/>
    <x v="2"/>
    <x v="4"/>
    <x v="541"/>
    <n v="204.11"/>
    <n v="236.87"/>
    <n v="236.87"/>
    <s v="Low"/>
    <n v="0.182"/>
    <x v="169"/>
    <n v="13"/>
    <x v="543"/>
    <n v="2653.4300000000003"/>
    <n v="-134.55441999999994"/>
    <n v="-5.3418446337075494E-2"/>
    <d v="2023-01-10T00:00:00"/>
    <x v="25"/>
  </r>
  <r>
    <x v="543"/>
    <x v="413"/>
    <x v="413"/>
    <s v="Q2 -2025"/>
    <d v="2025-06-29T00:00:00"/>
    <d v="2025-06-29T00:00:00"/>
    <x v="20"/>
    <x v="1"/>
    <x v="2"/>
    <s v="Port Harcourt"/>
    <s v="Africa&gt;Nigeria&gt;Port Harcourt"/>
    <s v="Consumer"/>
    <x v="4"/>
    <x v="8"/>
    <x v="0"/>
    <x v="542"/>
    <n v="730.99"/>
    <n v="1242.8399999999999"/>
    <n v="1242.8399999999999"/>
    <s v="Medium"/>
    <n v="0.12"/>
    <x v="182"/>
    <n v="10"/>
    <x v="544"/>
    <n v="7309.9"/>
    <n v="3627.0920000000006"/>
    <n v="0.33163524303574515"/>
    <d v="2023-01-15T00:00:00"/>
    <x v="24"/>
  </r>
  <r>
    <x v="544"/>
    <x v="414"/>
    <x v="414"/>
    <s v="Q3 -2025"/>
    <d v="2025-08-04T00:00:00"/>
    <d v="2025-08-04T00:00:00"/>
    <x v="16"/>
    <x v="2"/>
    <x v="3"/>
    <s v="Montreal"/>
    <s v="Americas&gt;Canada&gt;Montreal"/>
    <s v="Consumer"/>
    <x v="2"/>
    <x v="7"/>
    <x v="3"/>
    <x v="543"/>
    <n v="90.3"/>
    <n v="131.76"/>
    <n v="131.76"/>
    <s v="Low"/>
    <n v="0.10199999999999999"/>
    <x v="115"/>
    <n v="15"/>
    <x v="545"/>
    <n v="1354.5"/>
    <n v="420.30719999999997"/>
    <n v="0.23681851189244668"/>
    <d v="2023-01-02T00:00:00"/>
    <x v="26"/>
  </r>
  <r>
    <x v="545"/>
    <x v="415"/>
    <x v="415"/>
    <s v="Q3 -2025"/>
    <d v="2025-09-23T00:00:00"/>
    <d v="2025-09-23T00:00:00"/>
    <x v="25"/>
    <x v="1"/>
    <x v="5"/>
    <s v="Durban"/>
    <s v="Africa&gt;South Africa&gt;Durban"/>
    <s v="Non-Profit"/>
    <x v="2"/>
    <x v="6"/>
    <x v="2"/>
    <x v="544"/>
    <n v="1310.3"/>
    <n v="2875.8"/>
    <n v="2875.8"/>
    <s v="High"/>
    <n v="8.3000000000000004E-2"/>
    <x v="109"/>
    <n v="5"/>
    <x v="546"/>
    <n v="6551.5"/>
    <n v="6634.0429999999997"/>
    <n v="0.50313005691157353"/>
    <d v="2023-01-07T00:00:00"/>
    <x v="32"/>
  </r>
  <r>
    <x v="546"/>
    <x v="416"/>
    <x v="416"/>
    <s v="Q2 -2025"/>
    <d v="2025-07-10T00:00:00"/>
    <d v="2025-07-10T00:00:00"/>
    <x v="20"/>
    <x v="3"/>
    <x v="8"/>
    <s v="Birmingham"/>
    <s v="Europe&gt;United Kingdom&gt;Birmingham"/>
    <s v="Non-Profit"/>
    <x v="4"/>
    <x v="6"/>
    <x v="5"/>
    <x v="545"/>
    <n v="546.83000000000004"/>
    <n v="400.84"/>
    <n v="400.84"/>
    <s v="Low"/>
    <n v="7.8E-2"/>
    <x v="100"/>
    <n v="13"/>
    <x v="547"/>
    <n v="7108.7900000000009"/>
    <n v="-2304.3217600000007"/>
    <n v="-0.47962056254533608"/>
    <d v="2023-01-19T00:00:00"/>
    <x v="28"/>
  </r>
  <r>
    <x v="547"/>
    <x v="417"/>
    <x v="417"/>
    <s v="Q2 -2025"/>
    <d v="2025-04-30T00:00:00"/>
    <d v="2025-04-30T00:00:00"/>
    <x v="22"/>
    <x v="1"/>
    <x v="6"/>
    <s v="Kisumu"/>
    <s v="Africa&gt;Kenya&gt;Kisumu"/>
    <s v="Corporate"/>
    <x v="4"/>
    <x v="3"/>
    <x v="6"/>
    <x v="546"/>
    <n v="1119.04"/>
    <n v="1299.02"/>
    <n v="1299.02"/>
    <s v="Medium"/>
    <n v="2.5000000000000001E-2"/>
    <x v="58"/>
    <n v="14"/>
    <x v="548"/>
    <n v="15666.56"/>
    <n v="2065.0630000000001"/>
    <n v="0.11646215352085933"/>
    <d v="2023-01-20T00:00:00"/>
    <x v="27"/>
  </r>
  <r>
    <x v="548"/>
    <x v="418"/>
    <x v="418"/>
    <s v="Q1 -2025"/>
    <d v="2025-03-29T00:00:00"/>
    <d v="2025-03-29T00:00:00"/>
    <x v="6"/>
    <x v="0"/>
    <x v="1"/>
    <s v="Mumbai"/>
    <s v="Asia&gt;India&gt;Mumbai"/>
    <s v="Enterprise"/>
    <x v="3"/>
    <x v="14"/>
    <x v="2"/>
    <x v="547"/>
    <n v="935.83"/>
    <n v="2303.46"/>
    <n v="2303.46"/>
    <s v="High"/>
    <n v="0.105"/>
    <x v="158"/>
    <n v="9"/>
    <x v="549"/>
    <n v="8422.4700000000012"/>
    <n v="10131.900299999998"/>
    <n v="0.54606543559174292"/>
    <d v="2023-01-29T00:00:00"/>
    <x v="29"/>
  </r>
  <r>
    <x v="549"/>
    <x v="370"/>
    <x v="370"/>
    <s v="Q2 -2025"/>
    <d v="2025-05-15T00:00:00"/>
    <d v="2025-05-15T00:00:00"/>
    <x v="3"/>
    <x v="0"/>
    <x v="0"/>
    <s v="Nagoya"/>
    <s v="Asia&gt;Japan&gt;Nagoya"/>
    <s v="Education"/>
    <x v="3"/>
    <x v="13"/>
    <x v="6"/>
    <x v="548"/>
    <n v="691.19"/>
    <n v="1284.3"/>
    <n v="1284.3"/>
    <s v="Medium"/>
    <n v="7.3999999999999996E-2"/>
    <x v="87"/>
    <n v="7"/>
    <x v="550"/>
    <n v="4838.33"/>
    <n v="3486.5026000000016"/>
    <n v="0.41880753253825198"/>
    <d v="2023-03-03T00:00:00"/>
    <x v="29"/>
  </r>
  <r>
    <x v="550"/>
    <x v="419"/>
    <x v="419"/>
    <s v="Q3 -2025"/>
    <d v="2025-08-07T00:00:00"/>
    <d v="2025-08-07T00:00:00"/>
    <x v="3"/>
    <x v="1"/>
    <x v="2"/>
    <s v="Lagos"/>
    <s v="Africa&gt;Nigeria&gt;Lagos"/>
    <s v="Enterprise"/>
    <x v="3"/>
    <x v="8"/>
    <x v="0"/>
    <x v="549"/>
    <n v="1204.95"/>
    <n v="2065.73"/>
    <n v="2065.73"/>
    <s v="High"/>
    <n v="0.13600000000000001"/>
    <x v="124"/>
    <n v="10"/>
    <x v="551"/>
    <n v="12049.5"/>
    <n v="5798.4071999999978"/>
    <n v="0.32487882949100039"/>
    <d v="2023-01-15T00:00:00"/>
    <x v="26"/>
  </r>
  <r>
    <x v="551"/>
    <x v="408"/>
    <x v="408"/>
    <s v="Q3 -2025"/>
    <d v="2025-08-28T00:00:00"/>
    <d v="2025-08-28T00:00:00"/>
    <x v="7"/>
    <x v="0"/>
    <x v="1"/>
    <s v="Mumbai"/>
    <s v="Asia&gt;India&gt;Mumbai"/>
    <s v="Non-Profit"/>
    <x v="1"/>
    <x v="13"/>
    <x v="4"/>
    <x v="550"/>
    <n v="638.54"/>
    <n v="987.24"/>
    <n v="987.24"/>
    <s v="Medium"/>
    <n v="0"/>
    <x v="5"/>
    <n v="11"/>
    <x v="552"/>
    <n v="7023.94"/>
    <n v="3835.7"/>
    <n v="0.35320692030306716"/>
    <d v="2023-01-29T00:00:00"/>
    <x v="26"/>
  </r>
  <r>
    <x v="552"/>
    <x v="420"/>
    <x v="420"/>
    <s v="Q1 -2025"/>
    <d v="2025-01-20T00:00:00"/>
    <d v="2025-01-20T00:00:00"/>
    <x v="4"/>
    <x v="1"/>
    <x v="5"/>
    <s v="Cape Town"/>
    <s v="Africa&gt;South Africa&gt;Cape Town"/>
    <s v="Corporate"/>
    <x v="3"/>
    <x v="4"/>
    <x v="6"/>
    <x v="551"/>
    <n v="432.13"/>
    <n v="1034.6600000000001"/>
    <n v="1034.6600000000001"/>
    <s v="Medium"/>
    <n v="9.1999999999999998E-2"/>
    <x v="167"/>
    <n v="7"/>
    <x v="553"/>
    <n v="3024.91"/>
    <n v="3551.3889600000011"/>
    <n v="0.54002851476204794"/>
    <d v="2023-01-07T00:00:00"/>
    <x v="25"/>
  </r>
  <r>
    <x v="553"/>
    <x v="390"/>
    <x v="390"/>
    <s v="Q2 -2025"/>
    <d v="2025-06-18T00:00:00"/>
    <d v="2025-06-18T00:00:00"/>
    <x v="25"/>
    <x v="3"/>
    <x v="10"/>
    <s v="Marseille"/>
    <s v="Europe&gt;France&gt;Marseille"/>
    <s v="Small Business"/>
    <x v="4"/>
    <x v="7"/>
    <x v="0"/>
    <x v="552"/>
    <n v="1225.5"/>
    <n v="-5.27"/>
    <n v="5.27"/>
    <s v="Low"/>
    <n v="7.4999999999999997E-2"/>
    <x v="98"/>
    <n v="56"/>
    <x v="554"/>
    <n v="68628"/>
    <n v="-68355.013999999996"/>
    <n v="-250.39750756449047"/>
    <d v="2023-01-10T00:00:00"/>
    <x v="24"/>
  </r>
  <r>
    <x v="554"/>
    <x v="351"/>
    <x v="351"/>
    <s v="Q2 -2025"/>
    <d v="2025-05-06T00:00:00"/>
    <d v="2025-05-06T00:00:00"/>
    <x v="15"/>
    <x v="2"/>
    <x v="11"/>
    <s v="Brasília"/>
    <s v="Americas&gt;Brazil&gt;Brasília"/>
    <s v="Enterprise"/>
    <x v="4"/>
    <x v="3"/>
    <x v="4"/>
    <x v="553"/>
    <n v="264.19"/>
    <n v="620.92999999999995"/>
    <n v="620.92999999999995"/>
    <s v="Low"/>
    <n v="0.14199999999999999"/>
    <x v="62"/>
    <n v="12"/>
    <x v="555"/>
    <n v="3170.2799999999997"/>
    <n v="3222.8152799999998"/>
    <n v="0.50410875152794532"/>
    <d v="2023-01-29T00:00:00"/>
    <x v="27"/>
  </r>
  <r>
    <x v="555"/>
    <x v="421"/>
    <x v="421"/>
    <s v="Q3 -2025"/>
    <d v="2025-08-08T00:00:00"/>
    <d v="2025-08-08T00:00:00"/>
    <x v="1"/>
    <x v="0"/>
    <x v="0"/>
    <s v="Osaka"/>
    <s v="Asia&gt;Japan&gt;Osaka"/>
    <s v="Consumer"/>
    <x v="3"/>
    <x v="13"/>
    <x v="4"/>
    <x v="554"/>
    <n v="1225.94"/>
    <n v="1793.08"/>
    <n v="1793.08"/>
    <s v="High"/>
    <n v="0.13600000000000001"/>
    <x v="124"/>
    <n v="22"/>
    <x v="556"/>
    <n v="26970.68"/>
    <n v="7112.1846399999922"/>
    <n v="0.20867332353434462"/>
    <d v="2023-03-03T00:00:00"/>
    <x v="24"/>
  </r>
  <r>
    <x v="556"/>
    <x v="422"/>
    <x v="422"/>
    <s v="Q1 -2025"/>
    <d v="2025-01-24T00:00:00"/>
    <d v="2025-01-24T00:00:00"/>
    <x v="11"/>
    <x v="2"/>
    <x v="4"/>
    <s v="Austin"/>
    <s v="Americas&gt;USA&gt;Austin"/>
    <s v="Enterprise"/>
    <x v="2"/>
    <x v="10"/>
    <x v="0"/>
    <x v="555"/>
    <n v="142.09"/>
    <n v="218.5"/>
    <n v="218.5"/>
    <s v="Low"/>
    <n v="0.11899999999999999"/>
    <x v="141"/>
    <n v="11"/>
    <x v="557"/>
    <n v="1562.99"/>
    <n v="554.49349999999981"/>
    <n v="0.26186437816398561"/>
    <d v="2023-01-13T00:00:00"/>
    <x v="25"/>
  </r>
  <r>
    <x v="557"/>
    <x v="423"/>
    <x v="423"/>
    <s v="Q3 -2025"/>
    <d v="2025-07-31T00:00:00"/>
    <d v="2025-07-31T00:00:00"/>
    <x v="30"/>
    <x v="1"/>
    <x v="6"/>
    <s v="Nairobi"/>
    <s v="Africa&gt;Kenya&gt;Nairobi"/>
    <s v="Small Business"/>
    <x v="4"/>
    <x v="2"/>
    <x v="0"/>
    <x v="556"/>
    <n v="619.64"/>
    <n v="861.16"/>
    <n v="861.16"/>
    <s v="Low"/>
    <n v="0.113"/>
    <x v="25"/>
    <n v="14"/>
    <x v="558"/>
    <n v="8674.9599999999991"/>
    <n v="2018.9248800000005"/>
    <n v="0.18879246435276761"/>
    <d v="2023-01-20T00:00:00"/>
    <x v="28"/>
  </r>
  <r>
    <x v="558"/>
    <x v="424"/>
    <x v="424"/>
    <s v="Q1 -2025"/>
    <d v="2025-02-28T00:00:00"/>
    <d v="2025-02-28T00:00:00"/>
    <x v="19"/>
    <x v="2"/>
    <x v="11"/>
    <s v="São Paulo"/>
    <s v="Americas&gt;Brazil&gt;São Paulo"/>
    <s v="Non-Profit"/>
    <x v="3"/>
    <x v="12"/>
    <x v="3"/>
    <x v="557"/>
    <n v="414.95"/>
    <n v="1027.73"/>
    <n v="1027.73"/>
    <s v="Medium"/>
    <n v="6.3E-2"/>
    <x v="150"/>
    <n v="8"/>
    <x v="559"/>
    <n v="3319.6"/>
    <n v="4384.2640800000008"/>
    <n v="0.56909935513815568"/>
    <d v="2023-01-29T00:00:00"/>
    <x v="25"/>
  </r>
  <r>
    <x v="559"/>
    <x v="425"/>
    <x v="425"/>
    <s v="Q3 -2025"/>
    <d v="2025-07-06T00:00:00"/>
    <d v="2025-07-06T00:00:00"/>
    <x v="10"/>
    <x v="1"/>
    <x v="2"/>
    <s v="Lagos"/>
    <s v="Africa&gt;Nigeria&gt;Lagos"/>
    <s v="Consumer"/>
    <x v="2"/>
    <x v="15"/>
    <x v="4"/>
    <x v="558"/>
    <n v="1313.3"/>
    <n v="2884.34"/>
    <n v="2884.34"/>
    <s v="High"/>
    <n v="0.157"/>
    <x v="7"/>
    <n v="42"/>
    <x v="560"/>
    <n v="55158.6"/>
    <n v="46964.342039999996"/>
    <n v="0.45988042551305253"/>
    <d v="2023-01-15T00:00:00"/>
    <x v="28"/>
  </r>
  <r>
    <x v="560"/>
    <x v="426"/>
    <x v="426"/>
    <s v="Q3 -2025"/>
    <d v="2025-09-12T00:00:00"/>
    <d v="2025-09-12T00:00:00"/>
    <x v="0"/>
    <x v="0"/>
    <x v="7"/>
    <s v="Shenzhen"/>
    <s v="Asia&gt;China&gt;Shenzhen"/>
    <s v="Education"/>
    <x v="0"/>
    <x v="12"/>
    <x v="1"/>
    <x v="559"/>
    <n v="352.66"/>
    <n v="411.18"/>
    <n v="411.18"/>
    <s v="Low"/>
    <n v="0.17299999999999999"/>
    <x v="67"/>
    <n v="13"/>
    <x v="561"/>
    <n v="4584.58"/>
    <n v="-163.98382000000038"/>
    <n v="-3.7095408248758066E-2"/>
    <d v="2023-01-12T00:00:00"/>
    <x v="30"/>
  </r>
  <r>
    <x v="561"/>
    <x v="427"/>
    <x v="427"/>
    <s v="Q1 -2025"/>
    <d v="2025-01-23T00:00:00"/>
    <d v="2025-01-23T00:00:00"/>
    <x v="30"/>
    <x v="2"/>
    <x v="4"/>
    <s v="Austin"/>
    <s v="Americas&gt;USA&gt;Austin"/>
    <s v="Consumer"/>
    <x v="1"/>
    <x v="7"/>
    <x v="5"/>
    <x v="560"/>
    <n v="100.69"/>
    <n v="226.14"/>
    <n v="226.14"/>
    <s v="Low"/>
    <n v="6.5000000000000002E-2"/>
    <x v="215"/>
    <n v="12"/>
    <x v="562"/>
    <n v="1208.28"/>
    <n v="1329.0108000000002"/>
    <n v="0.52379128162999689"/>
    <d v="2023-01-13T00:00:00"/>
    <x v="17"/>
  </r>
  <r>
    <x v="562"/>
    <x v="428"/>
    <x v="428"/>
    <s v="Q1 -2025"/>
    <d v="2025-02-08T00:00:00"/>
    <d v="2025-02-08T00:00:00"/>
    <x v="26"/>
    <x v="3"/>
    <x v="8"/>
    <s v="Manchester"/>
    <s v="Europe&gt;United Kingdom&gt;Manchester"/>
    <s v="Enterprise"/>
    <x v="4"/>
    <x v="11"/>
    <x v="6"/>
    <x v="561"/>
    <n v="586.21"/>
    <n v="727.22"/>
    <n v="727.22"/>
    <s v="Low"/>
    <n v="6.8000000000000005E-2"/>
    <x v="156"/>
    <n v="15"/>
    <x v="563"/>
    <n v="8793.1500000000015"/>
    <n v="1373.3855999999996"/>
    <n v="0.13508884973559721"/>
    <d v="2023-01-19T00:00:00"/>
    <x v="25"/>
  </r>
  <r>
    <x v="563"/>
    <x v="429"/>
    <x v="429"/>
    <s v="Q1 -2025"/>
    <d v="2025-04-04T00:00:00"/>
    <d v="2025-04-04T00:00:00"/>
    <x v="26"/>
    <x v="1"/>
    <x v="6"/>
    <s v="Nakuru"/>
    <s v="Africa&gt;Kenya&gt;Nakuru"/>
    <s v="Corporate"/>
    <x v="3"/>
    <x v="14"/>
    <x v="4"/>
    <x v="562"/>
    <n v="862.08"/>
    <n v="1952.83"/>
    <n v="1952.83"/>
    <s v="High"/>
    <n v="0"/>
    <x v="5"/>
    <n v="7"/>
    <x v="564"/>
    <n v="6034.56"/>
    <n v="7635.2499999999991"/>
    <n v="0.5585483631447693"/>
    <d v="2023-01-20T00:00:00"/>
    <x v="27"/>
  </r>
  <r>
    <x v="564"/>
    <x v="430"/>
    <x v="430"/>
    <s v="Q3 -2025"/>
    <d v="2025-09-18T00:00:00"/>
    <d v="2025-09-18T00:00:00"/>
    <x v="10"/>
    <x v="2"/>
    <x v="11"/>
    <s v="Rio de Janeiro"/>
    <s v="Americas&gt;Brazil&gt;Rio de Janeiro"/>
    <s v="Non-Profit"/>
    <x v="3"/>
    <x v="11"/>
    <x v="0"/>
    <x v="563"/>
    <n v="5.5"/>
    <n v="5.92"/>
    <n v="5.92"/>
    <s v="Low"/>
    <n v="0.21199999999999999"/>
    <x v="210"/>
    <n v="4"/>
    <x v="565"/>
    <n v="22"/>
    <n v="-3.3401600000000009"/>
    <n v="-0.17900260666758133"/>
    <d v="2023-01-29T00:00:00"/>
    <x v="30"/>
  </r>
  <r>
    <x v="565"/>
    <x v="431"/>
    <x v="431"/>
    <s v="Q2 -2025"/>
    <d v="2025-05-13T00:00:00"/>
    <d v="2025-05-13T00:00:00"/>
    <x v="1"/>
    <x v="0"/>
    <x v="1"/>
    <s v="Bengaluru"/>
    <s v="Asia&gt;India&gt;Bengaluru"/>
    <s v="Enterprise"/>
    <x v="3"/>
    <x v="5"/>
    <x v="5"/>
    <x v="564"/>
    <n v="935.98"/>
    <n v="2077.69"/>
    <n v="2077.69"/>
    <s v="High"/>
    <n v="0.17499999999999999"/>
    <x v="110"/>
    <n v="24"/>
    <x v="566"/>
    <n v="22463.52"/>
    <n v="18674.741999999995"/>
    <n v="0.45395067978321491"/>
    <d v="2023-01-29T00:00:00"/>
    <x v="31"/>
  </r>
  <r>
    <x v="566"/>
    <x v="426"/>
    <x v="426"/>
    <s v="Q3 -2025"/>
    <d v="2025-09-14T00:00:00"/>
    <d v="2025-09-14T00:00:00"/>
    <x v="28"/>
    <x v="3"/>
    <x v="9"/>
    <s v="Berlin"/>
    <s v="Europe&gt;Germany&gt;Berlin"/>
    <s v="Non-Profit"/>
    <x v="2"/>
    <x v="0"/>
    <x v="3"/>
    <x v="565"/>
    <n v="1397.67"/>
    <n v="3131.37"/>
    <n v="3131.37"/>
    <s v="High"/>
    <n v="0.10299999999999999"/>
    <x v="0"/>
    <n v="20"/>
    <x v="567"/>
    <n v="27953.4"/>
    <n v="28223.377799999995"/>
    <n v="0.50240293062874808"/>
    <d v="2023-01-22T00:00:00"/>
    <x v="26"/>
  </r>
  <r>
    <x v="567"/>
    <x v="380"/>
    <x v="380"/>
    <s v="Q2 -2025"/>
    <d v="2025-07-14T00:00:00"/>
    <d v="2025-07-14T00:00:00"/>
    <x v="23"/>
    <x v="3"/>
    <x v="9"/>
    <s v="Berlin"/>
    <s v="Europe&gt;Germany&gt;Berlin"/>
    <s v="Corporate"/>
    <x v="3"/>
    <x v="2"/>
    <x v="0"/>
    <x v="566"/>
    <n v="385.08"/>
    <n v="893.19"/>
    <n v="893.19"/>
    <s v="Low"/>
    <n v="0.151"/>
    <x v="80"/>
    <n v="8"/>
    <x v="568"/>
    <n v="3080.64"/>
    <n v="2985.9064800000001"/>
    <n v="0.49219213762621666"/>
    <d v="2023-01-22T00:00:00"/>
    <x v="28"/>
  </r>
  <r>
    <x v="568"/>
    <x v="432"/>
    <x v="432"/>
    <s v="Q3 -2025"/>
    <d v="2025-07-17T00:00:00"/>
    <d v="2025-07-17T00:00:00"/>
    <x v="18"/>
    <x v="1"/>
    <x v="5"/>
    <s v="Durban"/>
    <s v="Africa&gt;South Africa&gt;Durban"/>
    <s v="Small Business"/>
    <x v="1"/>
    <x v="12"/>
    <x v="6"/>
    <x v="567"/>
    <n v="1198.9000000000001"/>
    <n v="2941.2"/>
    <n v="2941.2"/>
    <s v="High"/>
    <n v="5.0999999999999997E-2"/>
    <x v="72"/>
    <n v="24"/>
    <x v="569"/>
    <n v="28773.600000000002"/>
    <n v="38215.171199999982"/>
    <n v="0.57047129713583977"/>
    <d v="2023-01-07T00:00:00"/>
    <x v="26"/>
  </r>
  <r>
    <x v="569"/>
    <x v="433"/>
    <x v="433"/>
    <s v="Q1 -2025"/>
    <d v="2025-03-27T00:00:00"/>
    <d v="2025-03-27T00:00:00"/>
    <x v="3"/>
    <x v="2"/>
    <x v="11"/>
    <s v="Rio de Janeiro"/>
    <s v="Americas&gt;Brazil&gt;Rio de Janeiro"/>
    <s v="Enterprise"/>
    <x v="3"/>
    <x v="3"/>
    <x v="6"/>
    <x v="568"/>
    <n v="996.73"/>
    <n v="1217.43"/>
    <n v="1217.43"/>
    <s v="Medium"/>
    <n v="7.0000000000000007E-2"/>
    <x v="118"/>
    <n v="9"/>
    <x v="570"/>
    <n v="8970.57"/>
    <n v="1219.3191000000006"/>
    <n v="0.11965970267527255"/>
    <d v="2023-01-29T00:00:00"/>
    <x v="29"/>
  </r>
  <r>
    <x v="570"/>
    <x v="434"/>
    <x v="434"/>
    <s v="Q3 -2025"/>
    <d v="2025-09-03T00:00:00"/>
    <d v="2025-09-03T00:00:00"/>
    <x v="16"/>
    <x v="3"/>
    <x v="10"/>
    <s v="Paris"/>
    <s v="Europe&gt;France&gt;Paris"/>
    <s v="Education"/>
    <x v="0"/>
    <x v="9"/>
    <x v="5"/>
    <x v="569"/>
    <n v="603.47"/>
    <n v="1344.05"/>
    <n v="1344.05"/>
    <s v="Medium"/>
    <n v="0.20499999999999999"/>
    <x v="202"/>
    <n v="18"/>
    <x v="571"/>
    <n v="10862.460000000001"/>
    <n v="8370.8954999999969"/>
    <n v="0.43522803392262976"/>
    <d v="2023-01-10T00:00:00"/>
    <x v="30"/>
  </r>
  <r>
    <x v="571"/>
    <x v="433"/>
    <x v="433"/>
    <s v="Q1 -2025"/>
    <d v="2025-04-04T00:00:00"/>
    <d v="2025-04-04T00:00:00"/>
    <x v="12"/>
    <x v="0"/>
    <x v="0"/>
    <s v="Osaka"/>
    <s v="Asia&gt;Japan&gt;Osaka"/>
    <s v="Corporate"/>
    <x v="3"/>
    <x v="7"/>
    <x v="1"/>
    <x v="570"/>
    <n v="783.72"/>
    <n v="1355.94"/>
    <n v="1355.94"/>
    <s v="Medium"/>
    <n v="0.187"/>
    <x v="181"/>
    <n v="4"/>
    <x v="572"/>
    <n v="3134.88"/>
    <n v="1274.63688"/>
    <n v="0.28906497348525856"/>
    <d v="2023-03-03T00:00:00"/>
    <x v="25"/>
  </r>
  <r>
    <x v="572"/>
    <x v="363"/>
    <x v="363"/>
    <s v="Q1 -2025"/>
    <d v="2025-03-29T00:00:00"/>
    <d v="2025-03-29T00:00:00"/>
    <x v="20"/>
    <x v="0"/>
    <x v="0"/>
    <s v="Tokyo"/>
    <s v="Asia&gt;Japan&gt;Tokyo"/>
    <s v="Non-Profit"/>
    <x v="3"/>
    <x v="7"/>
    <x v="6"/>
    <x v="571"/>
    <n v="1106.96"/>
    <n v="2726.62"/>
    <n v="2726.62"/>
    <s v="High"/>
    <n v="0.317"/>
    <x v="34"/>
    <n v="7"/>
    <x v="573"/>
    <n v="7748.72"/>
    <n v="5611.7179999999998"/>
    <n v="0.42002500217432992"/>
    <d v="2023-03-03T00:00:00"/>
    <x v="25"/>
  </r>
  <r>
    <x v="573"/>
    <x v="435"/>
    <x v="435"/>
    <s v="Q2 -2025"/>
    <d v="2025-06-10T00:00:00"/>
    <d v="2025-06-10T00:00:00"/>
    <x v="11"/>
    <x v="2"/>
    <x v="3"/>
    <s v="Toronto"/>
    <s v="Americas&gt;Canada&gt;Toronto"/>
    <s v="Consumer"/>
    <x v="1"/>
    <x v="2"/>
    <x v="1"/>
    <x v="572"/>
    <n v="75.180000000000007"/>
    <n v="53.45"/>
    <n v="53.45"/>
    <s v="Low"/>
    <n v="0.157"/>
    <x v="7"/>
    <n v="17"/>
    <x v="574"/>
    <n v="1278.0600000000002"/>
    <n v="-512.06805000000008"/>
    <n v="-0.66850317421743144"/>
    <d v="2023-01-02T00:00:00"/>
    <x v="28"/>
  </r>
  <r>
    <x v="574"/>
    <x v="436"/>
    <x v="436"/>
    <s v="Q2 -2025"/>
    <d v="2025-05-19T00:00:00"/>
    <d v="2025-05-26T00:00:00"/>
    <x v="2"/>
    <x v="1"/>
    <x v="5"/>
    <s v="Johannesburg"/>
    <s v="Africa&gt;South Africa&gt;Johannesburg"/>
    <s v="Non-Profit"/>
    <x v="1"/>
    <x v="2"/>
    <x v="4"/>
    <x v="573"/>
    <n v="1263.8399999999999"/>
    <n v="2281.7199999999998"/>
    <n v="2281.7199999999998"/>
    <s v="High"/>
    <n v="7.8E-2"/>
    <x v="100"/>
    <n v="15"/>
    <x v="575"/>
    <n v="18957.599999999999"/>
    <n v="12598.587599999999"/>
    <n v="0.39924301882398494"/>
    <d v="2023-01-07T00:00:00"/>
    <x v="24"/>
  </r>
  <r>
    <x v="575"/>
    <x v="437"/>
    <x v="437"/>
    <s v="Q3 -2025"/>
    <d v="2025-08-19T00:00:00"/>
    <d v="2025-08-19T00:00:00"/>
    <x v="15"/>
    <x v="0"/>
    <x v="0"/>
    <s v="Nagoya"/>
    <s v="Asia&gt;Japan&gt;Nagoya"/>
    <s v="Consumer"/>
    <x v="4"/>
    <x v="12"/>
    <x v="0"/>
    <x v="574"/>
    <n v="896.09"/>
    <n v="744.27"/>
    <n v="744.27"/>
    <s v="Low"/>
    <n v="8.3000000000000004E-2"/>
    <x v="109"/>
    <n v="11"/>
    <x v="576"/>
    <n v="9856.99"/>
    <n v="-2349.5385100000003"/>
    <n v="-0.31296086469950679"/>
    <d v="2023-03-03T00:00:00"/>
    <x v="24"/>
  </r>
  <r>
    <x v="576"/>
    <x v="438"/>
    <x v="438"/>
    <s v="Q1 -2025"/>
    <d v="2025-02-15T00:00:00"/>
    <d v="2025-02-22T00:00:00"/>
    <x v="2"/>
    <x v="2"/>
    <x v="3"/>
    <s v="Toronto"/>
    <s v="Americas&gt;Canada&gt;Toronto"/>
    <s v="Small Business"/>
    <x v="0"/>
    <x v="6"/>
    <x v="2"/>
    <x v="575"/>
    <n v="1133.47"/>
    <n v="1698.75"/>
    <n v="1698.75"/>
    <s v="Medium"/>
    <n v="4.2999999999999997E-2"/>
    <x v="191"/>
    <n v="5"/>
    <x v="577"/>
    <n v="5667.35"/>
    <n v="2461.1687499999989"/>
    <n v="0.30278194904821976"/>
    <d v="2023-01-02T00:00:00"/>
    <x v="29"/>
  </r>
  <r>
    <x v="577"/>
    <x v="380"/>
    <x v="380"/>
    <s v="Q2 -2025"/>
    <d v="2025-07-10T00:00:00"/>
    <d v="2025-07-10T00:00:00"/>
    <x v="19"/>
    <x v="0"/>
    <x v="7"/>
    <s v="Shanghai"/>
    <s v="Asia&gt;China&gt;Shanghai"/>
    <s v="Enterprise"/>
    <x v="3"/>
    <x v="13"/>
    <x v="2"/>
    <x v="576"/>
    <n v="757.19"/>
    <n v="1735.41"/>
    <n v="1735.41"/>
    <s v="High"/>
    <n v="0.13600000000000001"/>
    <x v="124"/>
    <n v="8"/>
    <x v="578"/>
    <n v="6057.52"/>
    <n v="5937.6339200000002"/>
    <n v="0.4950027285685718"/>
    <d v="2023-01-12T00:00:00"/>
    <x v="28"/>
  </r>
  <r>
    <x v="578"/>
    <x v="439"/>
    <x v="439"/>
    <s v="Q3 -2025"/>
    <d v="2025-09-30T00:00:00"/>
    <d v="2025-09-30T00:00:00"/>
    <x v="23"/>
    <x v="1"/>
    <x v="6"/>
    <s v="Mombasa"/>
    <s v="Africa&gt;Kenya&gt;Mombasa"/>
    <s v="Corporate"/>
    <x v="3"/>
    <x v="11"/>
    <x v="5"/>
    <x v="577"/>
    <n v="1009.48"/>
    <n v="1088.81"/>
    <n v="1088.81"/>
    <s v="Medium"/>
    <n v="0.16"/>
    <x v="179"/>
    <n v="6"/>
    <x v="579"/>
    <n v="6056.88"/>
    <n v="-569.27760000000035"/>
    <n v="-0.10373885688219693"/>
    <d v="2023-01-20T00:00:00"/>
    <x v="30"/>
  </r>
  <r>
    <x v="579"/>
    <x v="440"/>
    <x v="440"/>
    <s v="Q1 -2025"/>
    <d v="2025-03-10T00:00:00"/>
    <d v="2025-03-10T00:00:00"/>
    <x v="5"/>
    <x v="0"/>
    <x v="0"/>
    <s v="Osaka"/>
    <s v="Asia&gt;Japan&gt;Osaka"/>
    <s v="Education"/>
    <x v="1"/>
    <x v="13"/>
    <x v="4"/>
    <x v="578"/>
    <n v="51.86"/>
    <n v="45.98"/>
    <n v="45.98"/>
    <s v="Low"/>
    <n v="0.17299999999999999"/>
    <x v="67"/>
    <n v="7"/>
    <x v="580"/>
    <n v="363.02"/>
    <n v="-96.841780000000028"/>
    <n v="-0.3638230806412337"/>
    <d v="2023-03-03T00:00:00"/>
    <x v="17"/>
  </r>
  <r>
    <x v="580"/>
    <x v="415"/>
    <x v="415"/>
    <s v="Q3 -2025"/>
    <d v="2025-09-26T00:00:00"/>
    <d v="2025-09-26T00:00:00"/>
    <x v="30"/>
    <x v="3"/>
    <x v="8"/>
    <s v="London"/>
    <s v="Europe&gt;United Kingdom&gt;London"/>
    <s v="Small Business"/>
    <x v="3"/>
    <x v="13"/>
    <x v="6"/>
    <x v="579"/>
    <n v="425.15"/>
    <n v="885.92"/>
    <n v="885.92"/>
    <s v="Low"/>
    <n v="0.23899999999999999"/>
    <x v="166"/>
    <n v="13"/>
    <x v="581"/>
    <n v="5526.95"/>
    <n v="3237.4565599999996"/>
    <n v="0.3693868532725848"/>
    <d v="2023-01-19T00:00:00"/>
    <x v="30"/>
  </r>
  <r>
    <x v="581"/>
    <x v="436"/>
    <x v="436"/>
    <s v="Q2 -2025"/>
    <d v="2025-05-19T00:00:00"/>
    <d v="2025-05-26T00:00:00"/>
    <x v="2"/>
    <x v="3"/>
    <x v="8"/>
    <s v="Birmingham"/>
    <s v="Europe&gt;United Kingdom&gt;Birmingham"/>
    <s v="Enterprise"/>
    <x v="2"/>
    <x v="8"/>
    <x v="4"/>
    <x v="580"/>
    <n v="1015.16"/>
    <n v="2148.14"/>
    <n v="2148.14"/>
    <s v="High"/>
    <n v="3.7999999999999999E-2"/>
    <x v="129"/>
    <n v="19"/>
    <x v="582"/>
    <n v="19288.04"/>
    <n v="19975.662919999995"/>
    <n v="0.50875647059322227"/>
    <d v="2023-01-19T00:00:00"/>
    <x v="24"/>
  </r>
  <r>
    <x v="582"/>
    <x v="404"/>
    <x v="404"/>
    <s v="Q2 -2025"/>
    <d v="2025-05-18T00:00:00"/>
    <d v="2025-05-18T00:00:00"/>
    <x v="17"/>
    <x v="0"/>
    <x v="0"/>
    <s v="Tokyo"/>
    <s v="Asia&gt;Japan&gt;Tokyo"/>
    <s v="Enterprise"/>
    <x v="0"/>
    <x v="5"/>
    <x v="1"/>
    <x v="581"/>
    <n v="1144.3800000000001"/>
    <n v="2755.04"/>
    <n v="2755.04"/>
    <s v="High"/>
    <n v="0.15"/>
    <x v="19"/>
    <n v="17"/>
    <x v="583"/>
    <n v="19454.460000000003"/>
    <n v="20355.867999999999"/>
    <n v="0.51132128326096682"/>
    <d v="2023-03-03T00:00:00"/>
    <x v="27"/>
  </r>
  <r>
    <x v="583"/>
    <x v="393"/>
    <x v="393"/>
    <s v="Q1 -2025"/>
    <d v="2025-04-07T00:00:00"/>
    <d v="2025-04-07T00:00:00"/>
    <x v="24"/>
    <x v="2"/>
    <x v="11"/>
    <s v="São Paulo"/>
    <s v="Americas&gt;Brazil&gt;São Paulo"/>
    <s v="Non-Profit"/>
    <x v="3"/>
    <x v="11"/>
    <x v="1"/>
    <x v="582"/>
    <n v="71.62"/>
    <n v="118.37"/>
    <n v="118.37"/>
    <s v="Low"/>
    <n v="0.156"/>
    <x v="216"/>
    <n v="11"/>
    <x v="584"/>
    <n v="787.82"/>
    <n v="311.12708000000009"/>
    <n v="0.28311379652603474"/>
    <d v="2023-01-29T00:00:00"/>
    <x v="27"/>
  </r>
  <r>
    <x v="584"/>
    <x v="441"/>
    <x v="441"/>
    <s v="Q2 -2025"/>
    <d v="2025-05-06T00:00:00"/>
    <d v="2025-05-06T00:00:00"/>
    <x v="30"/>
    <x v="2"/>
    <x v="11"/>
    <s v="Brasília"/>
    <s v="Americas&gt;Brazil&gt;Brasília"/>
    <s v="Consumer"/>
    <x v="2"/>
    <x v="14"/>
    <x v="5"/>
    <x v="583"/>
    <n v="394.13"/>
    <n v="932.29"/>
    <n v="932.29"/>
    <s v="Low"/>
    <n v="0.109"/>
    <x v="77"/>
    <n v="7"/>
    <x v="585"/>
    <n v="2758.91"/>
    <n v="3055.7827299999999"/>
    <n v="0.5255278089303268"/>
    <d v="2023-01-29T00:00:00"/>
    <x v="27"/>
  </r>
  <r>
    <x v="585"/>
    <x v="442"/>
    <x v="442"/>
    <s v="Q3 -2025"/>
    <d v="2025-09-24T00:00:00"/>
    <d v="2025-09-24T00:00:00"/>
    <x v="9"/>
    <x v="1"/>
    <x v="6"/>
    <s v="Nairobi"/>
    <s v="Africa&gt;Kenya&gt;Nairobi"/>
    <s v="Consumer"/>
    <x v="3"/>
    <x v="12"/>
    <x v="2"/>
    <x v="584"/>
    <n v="589.14"/>
    <n v="1300.58"/>
    <n v="1300.58"/>
    <s v="Medium"/>
    <n v="5.5E-2"/>
    <x v="160"/>
    <n v="11"/>
    <x v="586"/>
    <n v="6480.54"/>
    <n v="7038.989099999998"/>
    <n v="0.52065342275863724"/>
    <d v="2023-01-20T00:00:00"/>
    <x v="30"/>
  </r>
  <r>
    <x v="586"/>
    <x v="443"/>
    <x v="443"/>
    <s v="Q2 -2025"/>
    <d v="2025-05-13T00:00:00"/>
    <d v="2025-05-13T00:00:00"/>
    <x v="21"/>
    <x v="1"/>
    <x v="6"/>
    <s v="Nakuru"/>
    <s v="Africa&gt;Kenya&gt;Nakuru"/>
    <s v="Small Business"/>
    <x v="2"/>
    <x v="0"/>
    <x v="0"/>
    <x v="585"/>
    <n v="1057.5999999999999"/>
    <n v="1437.06"/>
    <n v="1437.06"/>
    <s v="Medium"/>
    <n v="0.20499999999999999"/>
    <x v="202"/>
    <n v="4"/>
    <x v="587"/>
    <n v="4230.3999999999996"/>
    <n v="339.45080000000053"/>
    <n v="7.4280499485891424E-2"/>
    <d v="2023-01-20T00:00:00"/>
    <x v="31"/>
  </r>
  <r>
    <x v="587"/>
    <x v="444"/>
    <x v="444"/>
    <s v="Q2 -2025"/>
    <d v="2025-04-30T00:00:00"/>
    <d v="2025-04-30T00:00:00"/>
    <x v="28"/>
    <x v="2"/>
    <x v="11"/>
    <s v="Brasília"/>
    <s v="Americas&gt;Brazil&gt;Brasília"/>
    <s v="Education"/>
    <x v="2"/>
    <x v="4"/>
    <x v="3"/>
    <x v="586"/>
    <n v="855.78"/>
    <n v="977.38"/>
    <n v="977.38"/>
    <s v="Medium"/>
    <n v="0.14699999999999999"/>
    <x v="22"/>
    <n v="38"/>
    <x v="588"/>
    <n v="32519.64"/>
    <n v="-838.84467999999833"/>
    <n v="-2.6478018355506307E-2"/>
    <d v="2023-01-29T00:00:00"/>
    <x v="27"/>
  </r>
  <r>
    <x v="588"/>
    <x v="376"/>
    <x v="376"/>
    <s v="Q1 -2025"/>
    <d v="2025-02-15T00:00:00"/>
    <d v="2025-02-15T00:00:00"/>
    <x v="27"/>
    <x v="3"/>
    <x v="9"/>
    <s v="Frankfurt"/>
    <s v="Europe&gt;Germany&gt;Frankfurt"/>
    <s v="Small Business"/>
    <x v="4"/>
    <x v="11"/>
    <x v="0"/>
    <x v="587"/>
    <n v="815.83"/>
    <n v="1982.18"/>
    <n v="1982.18"/>
    <s v="High"/>
    <n v="0.127"/>
    <x v="177"/>
    <n v="6"/>
    <x v="589"/>
    <n v="4894.9800000000005"/>
    <n v="5487.6788399999996"/>
    <n v="0.52854272923408507"/>
    <d v="2023-01-22T00:00:00"/>
    <x v="25"/>
  </r>
  <r>
    <x v="589"/>
    <x v="445"/>
    <x v="445"/>
    <s v="Q2 -2025"/>
    <d v="2025-05-12T00:00:00"/>
    <d v="2025-05-12T00:00:00"/>
    <x v="23"/>
    <x v="3"/>
    <x v="10"/>
    <s v="Lyon"/>
    <s v="Europe&gt;France&gt;Lyon"/>
    <s v="Enterprise"/>
    <x v="4"/>
    <x v="4"/>
    <x v="3"/>
    <x v="588"/>
    <n v="59.51"/>
    <n v="67.040000000000006"/>
    <n v="67.040000000000006"/>
    <s v="Low"/>
    <n v="0.114"/>
    <x v="82"/>
    <n v="9"/>
    <x v="590"/>
    <n v="535.59"/>
    <n v="-1.0130400000000463"/>
    <n v="-1.8950311663264469E-3"/>
    <d v="2023-01-10T00:00:00"/>
    <x v="31"/>
  </r>
  <r>
    <x v="590"/>
    <x v="446"/>
    <x v="446"/>
    <s v="Q2 -2025"/>
    <d v="2025-05-17T00:00:00"/>
    <d v="2025-05-24T00:00:00"/>
    <x v="2"/>
    <x v="2"/>
    <x v="11"/>
    <s v="São Paulo"/>
    <s v="Americas&gt;Brazil&gt;São Paulo"/>
    <s v="Small Business"/>
    <x v="1"/>
    <x v="11"/>
    <x v="3"/>
    <x v="589"/>
    <n v="383.77"/>
    <n v="952.56"/>
    <n v="952.56"/>
    <s v="Medium"/>
    <n v="0.34599999999999997"/>
    <x v="34"/>
    <n v="10"/>
    <x v="591"/>
    <n v="3837.7"/>
    <n v="2830.2199999999984"/>
    <n v="0.42445320279787385"/>
    <d v="2023-01-29T00:00:00"/>
    <x v="31"/>
  </r>
  <r>
    <x v="591"/>
    <x v="439"/>
    <x v="439"/>
    <s v="Q3 -2025"/>
    <d v="2025-09-12T00:00:00"/>
    <d v="2025-09-12T00:00:00"/>
    <x v="17"/>
    <x v="0"/>
    <x v="0"/>
    <s v="Tokyo"/>
    <s v="Asia&gt;Japan&gt;Tokyo"/>
    <s v="Consumer"/>
    <x v="2"/>
    <x v="2"/>
    <x v="2"/>
    <x v="590"/>
    <n v="1470.15"/>
    <n v="2593.7800000000002"/>
    <n v="2593.7800000000002"/>
    <s v="High"/>
    <n v="0.11"/>
    <x v="159"/>
    <n v="12"/>
    <x v="592"/>
    <n v="17641.800000000003"/>
    <n v="10059.770399999998"/>
    <n v="0.36314801849645306"/>
    <d v="2023-03-03T00:00:00"/>
    <x v="26"/>
  </r>
  <r>
    <x v="592"/>
    <x v="425"/>
    <x v="425"/>
    <s v="Q3 -2025"/>
    <d v="2025-07-23T00:00:00"/>
    <d v="2025-07-23T00:00:00"/>
    <x v="23"/>
    <x v="0"/>
    <x v="7"/>
    <s v="Beijing"/>
    <s v="Asia&gt;China&gt;Beijing"/>
    <s v="Small Business"/>
    <x v="2"/>
    <x v="8"/>
    <x v="2"/>
    <x v="591"/>
    <n v="647.36"/>
    <n v="1383.6"/>
    <n v="1383.6"/>
    <s v="Medium"/>
    <n v="7.3999999999999996E-2"/>
    <x v="87"/>
    <n v="12"/>
    <x v="593"/>
    <n v="7768.32"/>
    <n v="7606.243199999999"/>
    <n v="0.49472906000997802"/>
    <d v="2023-01-12T00:00:00"/>
    <x v="28"/>
  </r>
  <r>
    <x v="593"/>
    <x v="437"/>
    <x v="437"/>
    <s v="Q3 -2025"/>
    <d v="2025-08-17T00:00:00"/>
    <d v="2025-08-17T00:00:00"/>
    <x v="12"/>
    <x v="3"/>
    <x v="8"/>
    <s v="Birmingham"/>
    <s v="Europe&gt;United Kingdom&gt;Birmingham"/>
    <s v="Education"/>
    <x v="2"/>
    <x v="9"/>
    <x v="1"/>
    <x v="592"/>
    <n v="1142.06"/>
    <n v="1455"/>
    <n v="1455"/>
    <s v="Medium"/>
    <n v="7.8E-2"/>
    <x v="100"/>
    <n v="28"/>
    <x v="594"/>
    <n v="31977.68"/>
    <n v="5584.5999999999985"/>
    <n v="0.1486757459877302"/>
    <d v="2023-01-19T00:00:00"/>
    <x v="26"/>
  </r>
  <r>
    <x v="594"/>
    <x v="364"/>
    <x v="364"/>
    <s v="Q2 -2025"/>
    <d v="2025-06-05T00:00:00"/>
    <d v="2025-06-05T00:00:00"/>
    <x v="26"/>
    <x v="3"/>
    <x v="9"/>
    <s v="Munich"/>
    <s v="Europe&gt;Germany&gt;Munich"/>
    <s v="Enterprise"/>
    <x v="3"/>
    <x v="8"/>
    <x v="2"/>
    <x v="593"/>
    <n v="1171.42"/>
    <n v="2187.8000000000002"/>
    <n v="2187.8000000000002"/>
    <s v="High"/>
    <n v="0.23"/>
    <x v="217"/>
    <n v="15"/>
    <x v="595"/>
    <n v="17571.300000000003"/>
    <n v="7697.7899999999972"/>
    <n v="0.30463265594447592"/>
    <d v="2023-01-22T00:00:00"/>
    <x v="24"/>
  </r>
  <r>
    <x v="595"/>
    <x v="447"/>
    <x v="447"/>
    <s v="Q3 -2025"/>
    <d v="2025-09-05T00:00:00"/>
    <d v="2025-09-05T00:00:00"/>
    <x v="24"/>
    <x v="1"/>
    <x v="2"/>
    <s v="Port Harcourt"/>
    <s v="Africa&gt;Nigeria&gt;Port Harcourt"/>
    <s v="Small Business"/>
    <x v="4"/>
    <x v="1"/>
    <x v="4"/>
    <x v="594"/>
    <n v="1271.0999999999999"/>
    <n v="1932.42"/>
    <n v="1932.42"/>
    <s v="High"/>
    <n v="0.25"/>
    <x v="213"/>
    <n v="21"/>
    <x v="596"/>
    <n v="26693.1"/>
    <n v="3742.5149999999994"/>
    <n v="0.12296498690760807"/>
    <d v="2023-01-15T00:00:00"/>
    <x v="30"/>
  </r>
  <r>
    <x v="596"/>
    <x v="448"/>
    <x v="448"/>
    <s v="Q2 -2025"/>
    <d v="2025-06-20T00:00:00"/>
    <d v="2025-06-20T00:00:00"/>
    <x v="0"/>
    <x v="3"/>
    <x v="9"/>
    <s v="Berlin"/>
    <s v="Europe&gt;Germany&gt;Berlin"/>
    <s v="Corporate"/>
    <x v="3"/>
    <x v="0"/>
    <x v="1"/>
    <x v="595"/>
    <n v="483.47"/>
    <n v="1135.43"/>
    <n v="1135.43"/>
    <s v="Medium"/>
    <n v="0.14599999999999999"/>
    <x v="97"/>
    <n v="11"/>
    <x v="597"/>
    <n v="5318.17"/>
    <n v="5348.0594200000014"/>
    <n v="0.50140112399719983"/>
    <d v="2023-01-22T00:00:00"/>
    <x v="24"/>
  </r>
  <r>
    <x v="597"/>
    <x v="449"/>
    <x v="449"/>
    <s v="Q3 -2025"/>
    <d v="2025-09-06T00:00:00"/>
    <d v="2025-09-06T00:00:00"/>
    <x v="9"/>
    <x v="2"/>
    <x v="3"/>
    <s v="Montreal"/>
    <s v="Americas&gt;Canada&gt;Montreal"/>
    <s v="Education"/>
    <x v="3"/>
    <x v="8"/>
    <x v="6"/>
    <x v="596"/>
    <n v="833.73"/>
    <n v="1116.5999999999999"/>
    <n v="1116.5999999999999"/>
    <s v="Medium"/>
    <n v="0.17599999999999999"/>
    <x v="140"/>
    <n v="14"/>
    <x v="598"/>
    <n v="11672.220000000001"/>
    <n v="1208.877599999998"/>
    <n v="9.3848958958279924E-2"/>
    <d v="2023-01-02T00:00:00"/>
    <x v="30"/>
  </r>
  <r>
    <x v="598"/>
    <x v="365"/>
    <x v="365"/>
    <s v="Q3 -2025"/>
    <d v="2025-10-05T00:00:00"/>
    <d v="2025-10-05T00:00:00"/>
    <x v="15"/>
    <x v="2"/>
    <x v="11"/>
    <s v="Rio de Janeiro"/>
    <s v="Americas&gt;Brazil&gt;Rio de Janeiro"/>
    <s v="Education"/>
    <x v="2"/>
    <x v="14"/>
    <x v="3"/>
    <x v="597"/>
    <n v="660.78"/>
    <n v="1630.39"/>
    <n v="1630.39"/>
    <s v="Medium"/>
    <n v="0.218"/>
    <x v="218"/>
    <n v="13"/>
    <x v="599"/>
    <n v="8590.14"/>
    <n v="7984.4047400000018"/>
    <n v="0.48172694123724097"/>
    <d v="2023-01-29T00:00:00"/>
    <x v="30"/>
  </r>
  <r>
    <x v="599"/>
    <x v="450"/>
    <x v="450"/>
    <s v="Q2 -2025"/>
    <d v="2025-05-30T00:00:00"/>
    <d v="2025-05-30T00:00:00"/>
    <x v="4"/>
    <x v="1"/>
    <x v="2"/>
    <s v="Lagos"/>
    <s v="Africa&gt;Nigeria&gt;Lagos"/>
    <s v="Consumer"/>
    <x v="1"/>
    <x v="3"/>
    <x v="0"/>
    <x v="598"/>
    <n v="66.400000000000006"/>
    <n v="141.43"/>
    <n v="141.43"/>
    <s v="Low"/>
    <n v="0.107"/>
    <x v="78"/>
    <n v="8"/>
    <x v="600"/>
    <n v="531.20000000000005"/>
    <n v="479.17592000000002"/>
    <n v="0.47425508715607551"/>
    <d v="2023-01-15T00:00:00"/>
    <x v="24"/>
  </r>
  <r>
    <x v="600"/>
    <x v="430"/>
    <x v="430"/>
    <s v="Q3 -2025"/>
    <d v="2025-09-25T00:00:00"/>
    <d v="2025-09-25T00:00:00"/>
    <x v="5"/>
    <x v="0"/>
    <x v="1"/>
    <s v="Delhi"/>
    <s v="Asia&gt;India&gt;Delhi"/>
    <s v="Consumer"/>
    <x v="0"/>
    <x v="0"/>
    <x v="5"/>
    <x v="599"/>
    <n v="1488.91"/>
    <n v="1483.74"/>
    <n v="1483.74"/>
    <s v="Medium"/>
    <n v="0.16800000000000001"/>
    <x v="144"/>
    <n v="24"/>
    <x v="601"/>
    <n v="35733.840000000004"/>
    <n v="-6106.5196800000049"/>
    <n v="-0.20611110333450519"/>
    <d v="2023-01-29T00:00:00"/>
    <x v="30"/>
  </r>
  <r>
    <x v="601"/>
    <x v="451"/>
    <x v="451"/>
    <s v="Q3 -2025"/>
    <d v="2025-09-30T00:00:00"/>
    <d v="2025-09-30T00:00:00"/>
    <x v="29"/>
    <x v="2"/>
    <x v="11"/>
    <s v="Brasília"/>
    <s v="Americas&gt;Brazil&gt;Brasília"/>
    <s v="Education"/>
    <x v="0"/>
    <x v="4"/>
    <x v="0"/>
    <x v="600"/>
    <n v="780.59"/>
    <n v="631.57000000000005"/>
    <n v="631.57000000000005"/>
    <s v="Low"/>
    <n v="0"/>
    <x v="5"/>
    <n v="12"/>
    <x v="602"/>
    <n v="9367.08"/>
    <n v="-1788.2399999999998"/>
    <n v="-0.23595167598207639"/>
    <d v="2023-01-29T00:00:00"/>
    <x v="30"/>
  </r>
  <r>
    <x v="602"/>
    <x v="452"/>
    <x v="452"/>
    <s v="Q3 -2025"/>
    <d v="2025-08-05T00:00:00"/>
    <d v="2025-08-05T00:00:00"/>
    <x v="19"/>
    <x v="2"/>
    <x v="11"/>
    <s v="Brasília"/>
    <s v="Americas&gt;Brazil&gt;Brasília"/>
    <s v="Enterprise"/>
    <x v="4"/>
    <x v="10"/>
    <x v="0"/>
    <x v="601"/>
    <n v="1068.17"/>
    <n v="2375.37"/>
    <n v="2375.37"/>
    <s v="High"/>
    <n v="0.109"/>
    <x v="77"/>
    <n v="18"/>
    <x v="603"/>
    <n v="19227.060000000001"/>
    <n v="18869.124059999998"/>
    <n v="0.49530220744108822"/>
    <d v="2023-01-29T00:00:00"/>
    <x v="28"/>
  </r>
  <r>
    <x v="603"/>
    <x v="453"/>
    <x v="453"/>
    <s v="Q2 -2025"/>
    <d v="2025-05-04T00:00:00"/>
    <d v="2025-05-04T00:00:00"/>
    <x v="23"/>
    <x v="3"/>
    <x v="8"/>
    <s v="Birmingham"/>
    <s v="Europe&gt;United Kingdom&gt;Birmingham"/>
    <s v="Enterprise"/>
    <x v="4"/>
    <x v="4"/>
    <x v="3"/>
    <x v="602"/>
    <n v="1413.87"/>
    <n v="3275"/>
    <n v="3275"/>
    <s v="High"/>
    <n v="0.255"/>
    <x v="151"/>
    <n v="38"/>
    <x v="604"/>
    <n v="53727.06"/>
    <n v="38988.19"/>
    <n v="0.42051539525590453"/>
    <d v="2023-01-19T00:00:00"/>
    <x v="27"/>
  </r>
  <r>
    <x v="604"/>
    <x v="397"/>
    <x v="397"/>
    <s v="Q2 -2025"/>
    <d v="2025-07-12T00:00:00"/>
    <d v="2025-07-12T00:00:00"/>
    <x v="15"/>
    <x v="3"/>
    <x v="10"/>
    <s v="Marseille"/>
    <s v="Europe&gt;France&gt;Marseille"/>
    <s v="Consumer"/>
    <x v="3"/>
    <x v="14"/>
    <x v="0"/>
    <x v="603"/>
    <n v="318.83"/>
    <n v="699.5"/>
    <n v="699.5"/>
    <s v="Medium"/>
    <n v="0.08"/>
    <x v="196"/>
    <n v="13"/>
    <x v="605"/>
    <n v="4144.79"/>
    <n v="4221.2300000000005"/>
    <n v="0.50456848059172699"/>
    <d v="2023-01-10T00:00:00"/>
    <x v="28"/>
  </r>
  <r>
    <x v="605"/>
    <x v="454"/>
    <x v="454"/>
    <s v="Q2 -2025"/>
    <d v="2025-04-27T00:00:00"/>
    <d v="2025-04-27T00:00:00"/>
    <x v="13"/>
    <x v="2"/>
    <x v="4"/>
    <s v="San Francisco"/>
    <s v="Americas&gt;USA&gt;San Francisco"/>
    <s v="Corporate"/>
    <x v="3"/>
    <x v="9"/>
    <x v="3"/>
    <x v="604"/>
    <n v="156.55000000000001"/>
    <n v="227.45"/>
    <n v="227.45"/>
    <s v="Low"/>
    <n v="1.4E-2"/>
    <x v="12"/>
    <n v="13"/>
    <x v="606"/>
    <n v="2035.15"/>
    <n v="880.30409999999983"/>
    <n v="0.3019440779396938"/>
    <d v="2023-01-13T00:00:00"/>
    <x v="27"/>
  </r>
  <r>
    <x v="606"/>
    <x v="449"/>
    <x v="449"/>
    <s v="Q3 -2025"/>
    <d v="2025-08-19T00:00:00"/>
    <d v="2025-08-19T00:00:00"/>
    <x v="30"/>
    <x v="1"/>
    <x v="6"/>
    <s v="Nakuru"/>
    <s v="Africa&gt;Kenya&gt;Nakuru"/>
    <s v="Corporate"/>
    <x v="5"/>
    <x v="8"/>
    <x v="2"/>
    <x v="605"/>
    <n v="601.51"/>
    <n v="679.35"/>
    <n v="679.35"/>
    <s v="Low"/>
    <n v="0.188"/>
    <x v="21"/>
    <n v="3"/>
    <x v="607"/>
    <n v="1804.53"/>
    <n v="-149.63339999999971"/>
    <n v="-9.0418579626062243E-2"/>
    <d v="2023-01-20T00:00:00"/>
    <x v="26"/>
  </r>
  <r>
    <x v="607"/>
    <x v="455"/>
    <x v="455"/>
    <s v="Q2 -2025"/>
    <d v="2025-05-26T00:00:00"/>
    <d v="2025-05-26T00:00:00"/>
    <x v="6"/>
    <x v="0"/>
    <x v="1"/>
    <s v="Hyderabad"/>
    <s v="Asia&gt;India&gt;Hyderabad"/>
    <s v="Corporate"/>
    <x v="4"/>
    <x v="10"/>
    <x v="1"/>
    <x v="606"/>
    <n v="320.12"/>
    <n v="594.41999999999996"/>
    <n v="594.41999999999996"/>
    <s v="Low"/>
    <n v="0.104"/>
    <x v="103"/>
    <n v="18"/>
    <x v="608"/>
    <n v="5762.16"/>
    <n v="3824.6457599999994"/>
    <n v="0.39894891538931104"/>
    <d v="2023-01-29T00:00:00"/>
    <x v="31"/>
  </r>
  <r>
    <x v="608"/>
    <x v="347"/>
    <x v="347"/>
    <s v="Q2 -2025"/>
    <d v="2025-05-12T00:00:00"/>
    <d v="2025-05-19T00:00:00"/>
    <x v="2"/>
    <x v="2"/>
    <x v="3"/>
    <s v="Vancouver"/>
    <s v="Americas&gt;Canada&gt;Vancouver"/>
    <s v="Non-Profit"/>
    <x v="1"/>
    <x v="3"/>
    <x v="1"/>
    <x v="607"/>
    <n v="883.5"/>
    <n v="1978.91"/>
    <n v="1978.91"/>
    <s v="High"/>
    <n v="5.3999999999999999E-2"/>
    <x v="219"/>
    <n v="27"/>
    <x v="609"/>
    <n v="23854.5"/>
    <n v="26690.819219999998"/>
    <n v="0.52805718970390547"/>
    <d v="2023-01-02T00:00:00"/>
    <x v="24"/>
  </r>
  <r>
    <x v="609"/>
    <x v="456"/>
    <x v="456"/>
    <s v="Q1 -2025"/>
    <d v="2025-03-21T00:00:00"/>
    <d v="2025-03-21T00:00:00"/>
    <x v="14"/>
    <x v="1"/>
    <x v="2"/>
    <s v="Abuja"/>
    <s v="Africa&gt;Nigeria&gt;Abuja"/>
    <s v="Enterprise"/>
    <x v="4"/>
    <x v="9"/>
    <x v="5"/>
    <x v="608"/>
    <n v="1437.39"/>
    <n v="1388.31"/>
    <n v="1388.31"/>
    <s v="Medium"/>
    <n v="0.13800000000000001"/>
    <x v="24"/>
    <n v="18"/>
    <x v="610"/>
    <n v="25873.02"/>
    <n v="-4332.002040000003"/>
    <n v="-0.20110479681341872"/>
    <d v="2023-01-15T00:00:00"/>
    <x v="29"/>
  </r>
  <r>
    <x v="610"/>
    <x v="457"/>
    <x v="457"/>
    <s v="Q3 -2025"/>
    <d v="2025-09-11T00:00:00"/>
    <d v="2025-09-11T00:00:00"/>
    <x v="25"/>
    <x v="2"/>
    <x v="3"/>
    <s v="Toronto"/>
    <s v="Americas&gt;Canada&gt;Toronto"/>
    <s v="Corporate"/>
    <x v="1"/>
    <x v="8"/>
    <x v="1"/>
    <x v="609"/>
    <n v="1207.6300000000001"/>
    <n v="921.68"/>
    <n v="921.68"/>
    <s v="Medium"/>
    <n v="0.19600000000000001"/>
    <x v="96"/>
    <n v="17"/>
    <x v="611"/>
    <n v="20529.710000000003"/>
    <n v="-7932.1877600000025"/>
    <n v="-0.62966253274897988"/>
    <d v="2023-01-02T00:00:00"/>
    <x v="32"/>
  </r>
  <r>
    <x v="611"/>
    <x v="458"/>
    <x v="458"/>
    <s v="Q1 -2025"/>
    <d v="2025-03-04T00:00:00"/>
    <d v="2025-03-04T00:00:00"/>
    <x v="9"/>
    <x v="0"/>
    <x v="0"/>
    <s v="Osaka"/>
    <s v="Asia&gt;Japan&gt;Osaka"/>
    <s v="Education"/>
    <x v="1"/>
    <x v="11"/>
    <x v="0"/>
    <x v="610"/>
    <n v="766.59"/>
    <n v="1912.8"/>
    <n v="1912.8"/>
    <s v="High"/>
    <n v="0.19600000000000001"/>
    <x v="96"/>
    <n v="5"/>
    <x v="612"/>
    <n v="3832.9500000000003"/>
    <n v="3856.5059999999999"/>
    <n v="0.50153170783472845"/>
    <d v="2023-03-03T00:00:00"/>
    <x v="16"/>
  </r>
  <r>
    <x v="612"/>
    <x v="368"/>
    <x v="368"/>
    <s v="Q2 -2025"/>
    <d v="2025-05-03T00:00:00"/>
    <d v="2025-05-03T00:00:00"/>
    <x v="19"/>
    <x v="2"/>
    <x v="11"/>
    <s v="Rio de Janeiro"/>
    <s v="Americas&gt;Brazil&gt;Rio de Janeiro"/>
    <s v="Consumer"/>
    <x v="4"/>
    <x v="5"/>
    <x v="6"/>
    <x v="611"/>
    <n v="168.68"/>
    <n v="413.34"/>
    <n v="413.34"/>
    <s v="Low"/>
    <n v="0.186"/>
    <x v="81"/>
    <n v="7"/>
    <x v="613"/>
    <n v="1180.76"/>
    <n v="1174.4513199999999"/>
    <n v="0.49866069767361682"/>
    <d v="2023-01-29T00:00:00"/>
    <x v="27"/>
  </r>
  <r>
    <x v="613"/>
    <x v="459"/>
    <x v="459"/>
    <s v="Q2 -2025"/>
    <d v="2025-06-27T00:00:00"/>
    <d v="2025-06-27T00:00:00"/>
    <x v="1"/>
    <x v="1"/>
    <x v="5"/>
    <s v="Durban"/>
    <s v="Africa&gt;South Africa&gt;Durban"/>
    <s v="Enterprise"/>
    <x v="1"/>
    <x v="13"/>
    <x v="5"/>
    <x v="612"/>
    <n v="93.91"/>
    <n v="99.04"/>
    <n v="99.04"/>
    <s v="Low"/>
    <n v="5.7000000000000002E-2"/>
    <x v="55"/>
    <n v="6"/>
    <x v="614"/>
    <n v="563.46"/>
    <n v="-3.0916800000001103"/>
    <n v="-5.5172283829323376E-3"/>
    <d v="2023-01-07T00:00:00"/>
    <x v="28"/>
  </r>
  <r>
    <x v="614"/>
    <x v="460"/>
    <x v="460"/>
    <s v="Q1 -2025"/>
    <d v="2025-02-03T00:00:00"/>
    <d v="2025-02-03T00:00:00"/>
    <x v="6"/>
    <x v="2"/>
    <x v="11"/>
    <s v="Brasília"/>
    <s v="Americas&gt;Brazil&gt;Brasília"/>
    <s v="Enterprise"/>
    <x v="4"/>
    <x v="3"/>
    <x v="2"/>
    <x v="613"/>
    <n v="974.11"/>
    <n v="880.99"/>
    <n v="880.99"/>
    <s v="Low"/>
    <n v="0.111"/>
    <x v="75"/>
    <n v="10"/>
    <x v="615"/>
    <n v="9741.1"/>
    <n v="-1909.0989000000009"/>
    <n v="-0.2437562093805121"/>
    <d v="2023-01-29T00:00:00"/>
    <x v="17"/>
  </r>
  <r>
    <x v="615"/>
    <x v="461"/>
    <x v="461"/>
    <s v="Q1 -2025"/>
    <d v="2025-02-15T00:00:00"/>
    <d v="2025-02-15T00:00:00"/>
    <x v="25"/>
    <x v="2"/>
    <x v="11"/>
    <s v="São Paulo"/>
    <s v="Americas&gt;Brazil&gt;São Paulo"/>
    <s v="Non-Profit"/>
    <x v="1"/>
    <x v="3"/>
    <x v="6"/>
    <x v="614"/>
    <n v="837.39"/>
    <n v="1905.42"/>
    <n v="1905.42"/>
    <s v="Medium"/>
    <n v="3.2000000000000001E-2"/>
    <x v="49"/>
    <n v="18"/>
    <x v="616"/>
    <n v="15073.02"/>
    <n v="18127.018079999998"/>
    <n v="0.54599389423350919"/>
    <d v="2023-01-29T00:00:00"/>
    <x v="25"/>
  </r>
  <r>
    <x v="616"/>
    <x v="447"/>
    <x v="447"/>
    <s v="Q3 -2025"/>
    <d v="2025-08-26T00:00:00"/>
    <d v="2025-09-02T00:00:00"/>
    <x v="2"/>
    <x v="1"/>
    <x v="2"/>
    <s v="Port Harcourt"/>
    <s v="Africa&gt;Nigeria&gt;Port Harcourt"/>
    <s v="Small Business"/>
    <x v="0"/>
    <x v="0"/>
    <x v="0"/>
    <x v="615"/>
    <n v="521.05999999999995"/>
    <n v="1240.31"/>
    <n v="1240.31"/>
    <s v="Medium"/>
    <n v="0.14599999999999999"/>
    <x v="97"/>
    <n v="18"/>
    <x v="617"/>
    <n v="9379.0799999999981"/>
    <n v="9686.9653199999993"/>
    <n v="0.50807417885650974"/>
    <d v="2023-01-15T00:00:00"/>
    <x v="30"/>
  </r>
  <r>
    <x v="617"/>
    <x v="407"/>
    <x v="407"/>
    <s v="Q1 -2025"/>
    <d v="2025-03-26T00:00:00"/>
    <d v="2025-03-26T00:00:00"/>
    <x v="20"/>
    <x v="3"/>
    <x v="9"/>
    <s v="Berlin"/>
    <s v="Europe&gt;Germany&gt;Berlin"/>
    <s v="Small Business"/>
    <x v="2"/>
    <x v="9"/>
    <x v="5"/>
    <x v="616"/>
    <n v="116.97"/>
    <n v="140.82"/>
    <n v="140.82"/>
    <s v="Low"/>
    <n v="0.122"/>
    <x v="157"/>
    <n v="5"/>
    <x v="618"/>
    <n v="584.85"/>
    <n v="33.349799999999846"/>
    <n v="5.3946636669891926E-2"/>
    <d v="2023-01-22T00:00:00"/>
    <x v="29"/>
  </r>
  <r>
    <x v="618"/>
    <x v="462"/>
    <x v="462"/>
    <s v="Q2 -2025"/>
    <d v="2025-07-11T00:00:00"/>
    <d v="2025-07-11T00:00:00"/>
    <x v="20"/>
    <x v="1"/>
    <x v="2"/>
    <s v="Port Harcourt"/>
    <s v="Africa&gt;Nigeria&gt;Port Harcourt"/>
    <s v="Small Business"/>
    <x v="2"/>
    <x v="0"/>
    <x v="4"/>
    <x v="617"/>
    <n v="1170.1500000000001"/>
    <n v="2115.19"/>
    <n v="2115.19"/>
    <s v="High"/>
    <n v="9.1999999999999998E-2"/>
    <x v="167"/>
    <n v="23"/>
    <x v="619"/>
    <n v="26913.45"/>
    <n v="17260.177960000005"/>
    <n v="0.39073489674946776"/>
    <d v="2023-01-15T00:00:00"/>
    <x v="28"/>
  </r>
  <r>
    <x v="619"/>
    <x v="463"/>
    <x v="463"/>
    <s v="Q1 -2025"/>
    <d v="2025-03-01T00:00:00"/>
    <d v="2025-03-01T00:00:00"/>
    <x v="23"/>
    <x v="2"/>
    <x v="11"/>
    <s v="São Paulo"/>
    <s v="Americas&gt;Brazil&gt;São Paulo"/>
    <s v="Corporate"/>
    <x v="1"/>
    <x v="12"/>
    <x v="4"/>
    <x v="618"/>
    <n v="1154.6400000000001"/>
    <n v="2794.13"/>
    <n v="2794.13"/>
    <s v="High"/>
    <n v="3.5000000000000003E-2"/>
    <x v="220"/>
    <n v="11"/>
    <x v="620"/>
    <n v="12701.04"/>
    <n v="16958.649949999999"/>
    <n v="0.57177435025749479"/>
    <d v="2023-01-29T00:00:00"/>
    <x v="25"/>
  </r>
  <r>
    <x v="620"/>
    <x v="388"/>
    <x v="388"/>
    <s v="Q1 -2025"/>
    <d v="2025-01-22T00:00:00"/>
    <d v="2025-01-22T00:00:00"/>
    <x v="27"/>
    <x v="3"/>
    <x v="10"/>
    <s v="Lyon"/>
    <s v="Europe&gt;France&gt;Lyon"/>
    <s v="Small Business"/>
    <x v="2"/>
    <x v="12"/>
    <x v="0"/>
    <x v="619"/>
    <n v="591.72"/>
    <n v="577.24"/>
    <n v="577.24"/>
    <s v="Low"/>
    <n v="0"/>
    <x v="5"/>
    <n v="22"/>
    <x v="621"/>
    <n v="13017.84"/>
    <n v="-318.55999999999949"/>
    <n v="-2.5084886702238195E-2"/>
    <d v="2023-01-10T00:00:00"/>
    <x v="25"/>
  </r>
  <r>
    <x v="621"/>
    <x v="383"/>
    <x v="383"/>
    <s v="Q1 -2025"/>
    <d v="2025-03-26T00:00:00"/>
    <d v="2025-03-26T00:00:00"/>
    <x v="18"/>
    <x v="1"/>
    <x v="2"/>
    <s v="Lagos"/>
    <s v="Africa&gt;Nigeria&gt;Lagos"/>
    <s v="Education"/>
    <x v="1"/>
    <x v="10"/>
    <x v="0"/>
    <x v="620"/>
    <n v="1450.43"/>
    <n v="1994.67"/>
    <n v="1994.67"/>
    <s v="High"/>
    <n v="0.1"/>
    <x v="65"/>
    <n v="24"/>
    <x v="622"/>
    <n v="34810.32"/>
    <n v="8274.5520000000033"/>
    <n v="0.19205237513529116"/>
    <d v="2023-01-15T00:00:00"/>
    <x v="27"/>
  </r>
  <r>
    <x v="622"/>
    <x v="445"/>
    <x v="445"/>
    <s v="Q2 -2025"/>
    <d v="2025-05-02T00:00:00"/>
    <d v="2025-05-02T00:00:00"/>
    <x v="5"/>
    <x v="3"/>
    <x v="9"/>
    <s v="Berlin"/>
    <s v="Europe&gt;Germany&gt;Berlin"/>
    <s v="Corporate"/>
    <x v="4"/>
    <x v="14"/>
    <x v="3"/>
    <x v="621"/>
    <n v="20.149999999999999"/>
    <n v="39.74"/>
    <n v="39.74"/>
    <s v="Low"/>
    <n v="0.151"/>
    <x v="80"/>
    <n v="18"/>
    <x v="623"/>
    <n v="362.7"/>
    <n v="244.60668000000004"/>
    <n v="0.4027729120318585"/>
    <d v="2023-01-22T00:00:00"/>
    <x v="31"/>
  </r>
  <r>
    <x v="623"/>
    <x v="464"/>
    <x v="464"/>
    <s v="Q1 -2025"/>
    <d v="2025-04-02T00:00:00"/>
    <d v="2025-04-02T00:00:00"/>
    <x v="5"/>
    <x v="3"/>
    <x v="9"/>
    <s v="Berlin"/>
    <s v="Europe&gt;Germany&gt;Berlin"/>
    <s v="Enterprise"/>
    <x v="2"/>
    <x v="1"/>
    <x v="1"/>
    <x v="622"/>
    <n v="663.61"/>
    <n v="1002.11"/>
    <n v="1002.11"/>
    <s v="Low"/>
    <n v="4.5999999999999999E-2"/>
    <x v="221"/>
    <n v="17"/>
    <x v="624"/>
    <n v="11281.37"/>
    <n v="4970.8499799999972"/>
    <n v="0.30585667595670812"/>
    <d v="2023-01-22T00:00:00"/>
    <x v="27"/>
  </r>
  <r>
    <x v="624"/>
    <x v="465"/>
    <x v="465"/>
    <s v="Q3 -2025"/>
    <d v="2025-09-11T00:00:00"/>
    <d v="2025-09-11T00:00:00"/>
    <x v="14"/>
    <x v="2"/>
    <x v="11"/>
    <s v="São Paulo"/>
    <s v="Americas&gt;Brazil&gt;São Paulo"/>
    <s v="Non-Profit"/>
    <x v="3"/>
    <x v="3"/>
    <x v="1"/>
    <x v="623"/>
    <n v="1203.02"/>
    <n v="2439.33"/>
    <n v="2439.33"/>
    <s v="High"/>
    <n v="0"/>
    <x v="5"/>
    <n v="18"/>
    <x v="625"/>
    <n v="21654.36"/>
    <n v="22253.58"/>
    <n v="0.50682359500354612"/>
    <d v="2023-01-29T00:00:00"/>
    <x v="26"/>
  </r>
  <r>
    <x v="625"/>
    <x v="466"/>
    <x v="466"/>
    <s v="Q3 -2025"/>
    <d v="2025-07-18T00:00:00"/>
    <d v="2025-07-18T00:00:00"/>
    <x v="25"/>
    <x v="2"/>
    <x v="3"/>
    <s v="Vancouver"/>
    <s v="Americas&gt;Canada&gt;Vancouver"/>
    <s v="Education"/>
    <x v="1"/>
    <x v="9"/>
    <x v="4"/>
    <x v="624"/>
    <n v="57.96"/>
    <n v="88.51"/>
    <n v="88.51"/>
    <s v="Low"/>
    <n v="4.2999999999999997E-2"/>
    <x v="191"/>
    <n v="7"/>
    <x v="626"/>
    <n v="405.72"/>
    <n v="187.20848999999998"/>
    <n v="0.3157353595877978"/>
    <d v="2023-01-02T00:00:00"/>
    <x v="26"/>
  </r>
  <r>
    <x v="626"/>
    <x v="467"/>
    <x v="467"/>
    <s v="Q3 -2025"/>
    <d v="2025-08-26T00:00:00"/>
    <d v="2025-08-26T00:00:00"/>
    <x v="1"/>
    <x v="2"/>
    <x v="4"/>
    <s v="New York"/>
    <s v="Americas&gt;USA&gt;New York"/>
    <s v="Corporate"/>
    <x v="0"/>
    <x v="8"/>
    <x v="6"/>
    <x v="625"/>
    <n v="1304.95"/>
    <n v="1712.03"/>
    <n v="1712.03"/>
    <s v="Medium"/>
    <n v="0.21199999999999999"/>
    <x v="210"/>
    <n v="8"/>
    <x v="627"/>
    <n v="10439.6"/>
    <n v="353.03711999999905"/>
    <n v="3.2710922833287949E-2"/>
    <d v="2023-01-13T00:00:00"/>
    <x v="30"/>
  </r>
  <r>
    <x v="627"/>
    <x v="428"/>
    <x v="428"/>
    <s v="Q1 -2025"/>
    <d v="2025-02-25T00:00:00"/>
    <d v="2025-02-25T00:00:00"/>
    <x v="16"/>
    <x v="3"/>
    <x v="8"/>
    <s v="Birmingham"/>
    <s v="Europe&gt;United Kingdom&gt;Birmingham"/>
    <s v="Corporate"/>
    <x v="4"/>
    <x v="6"/>
    <x v="3"/>
    <x v="626"/>
    <n v="1016.32"/>
    <n v="2253.42"/>
    <n v="2253.42"/>
    <s v="High"/>
    <n v="5.5E-2"/>
    <x v="160"/>
    <n v="12"/>
    <x v="628"/>
    <n v="12195.84"/>
    <n v="13357.942800000001"/>
    <n v="0.52273837124419797"/>
    <d v="2023-01-19T00:00:00"/>
    <x v="25"/>
  </r>
  <r>
    <x v="628"/>
    <x v="450"/>
    <x v="450"/>
    <s v="Q2 -2025"/>
    <d v="2025-05-28T00:00:00"/>
    <d v="2025-05-28T00:00:00"/>
    <x v="21"/>
    <x v="0"/>
    <x v="1"/>
    <s v="Bengaluru"/>
    <s v="Asia&gt;India&gt;Bengaluru"/>
    <s v="Corporate"/>
    <x v="1"/>
    <x v="12"/>
    <x v="4"/>
    <x v="627"/>
    <n v="623.4"/>
    <n v="1100.0899999999999"/>
    <n v="1100.0899999999999"/>
    <s v="Medium"/>
    <n v="0.114"/>
    <x v="82"/>
    <n v="12"/>
    <x v="629"/>
    <n v="7480.7999999999993"/>
    <n v="4215.3568799999994"/>
    <n v="0.36040529579490388"/>
    <d v="2023-01-29T00:00:00"/>
    <x v="31"/>
  </r>
  <r>
    <x v="629"/>
    <x v="389"/>
    <x v="389"/>
    <s v="Q3 -2025"/>
    <d v="2025-09-22T00:00:00"/>
    <d v="2025-09-22T00:00:00"/>
    <x v="7"/>
    <x v="3"/>
    <x v="10"/>
    <s v="Marseille"/>
    <s v="Europe&gt;France&gt;Marseille"/>
    <s v="Corporate"/>
    <x v="3"/>
    <x v="1"/>
    <x v="2"/>
    <x v="628"/>
    <n v="663.9"/>
    <n v="947.77"/>
    <n v="947.77"/>
    <s v="Low"/>
    <n v="0.17399999999999999"/>
    <x v="112"/>
    <n v="15"/>
    <x v="630"/>
    <n v="9958.5"/>
    <n v="1784.3703000000005"/>
    <n v="0.1519535049280073"/>
    <d v="2023-01-10T00:00:00"/>
    <x v="30"/>
  </r>
  <r>
    <x v="630"/>
    <x v="436"/>
    <x v="436"/>
    <s v="Q2 -2025"/>
    <d v="2025-06-09T00:00:00"/>
    <d v="2025-06-09T00:00:00"/>
    <x v="8"/>
    <x v="2"/>
    <x v="11"/>
    <s v="São Paulo"/>
    <s v="Americas&gt;Brazil&gt;São Paulo"/>
    <s v="Non-Profit"/>
    <x v="2"/>
    <x v="0"/>
    <x v="2"/>
    <x v="629"/>
    <n v="1331.38"/>
    <n v="2309.56"/>
    <n v="2309.56"/>
    <s v="Low"/>
    <n v="0.14899999999999999"/>
    <x v="26"/>
    <n v="31"/>
    <x v="631"/>
    <n v="41272.780000000006"/>
    <n v="19655.722359999992"/>
    <n v="0.32260307735553528"/>
    <d v="2023-01-29T00:00:00"/>
    <x v="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3-107265"/>
    <d v="2023-04-22T00:00:00"/>
    <d v="2023-04-22T00:00:00"/>
    <s v="Q2 -2023"/>
    <d v="2023-05-14T00:00:00"/>
    <d v="2023-05-14T00:00:00"/>
    <n v="22"/>
    <x v="0"/>
    <s v="Japan"/>
    <s v="Nagoya"/>
    <s v="Asia&gt;Japan&gt;Nagoya"/>
    <s v="Enterprise"/>
    <s v="Retail"/>
    <x v="0"/>
    <s v="Accessories"/>
    <s v="ACC-7713"/>
    <n v="1209.22"/>
    <n v="1404.33"/>
    <n v="1404.33"/>
    <s v="Medium"/>
    <n v="0.10299999999999999"/>
    <n v="0.10299999999999999"/>
    <n v="11"/>
    <n v="13856.52411"/>
    <n v="13301.42"/>
    <n v="555.10411000000022"/>
    <n v="4.0060848275751328E-2"/>
    <d v="2023-03-03T00:00:00"/>
    <n v="1"/>
    <n v="0"/>
  </r>
  <r>
    <s v="ORD-2023-109927"/>
    <d v="2023-07-22T00:00:00"/>
    <d v="2023-07-22T00:00:00"/>
    <s v="Q3 -2023"/>
    <d v="2023-07-21T00:00:00"/>
    <d v="2023-07-28T00:00:00"/>
    <n v="6"/>
    <x v="0"/>
    <s v="India"/>
    <s v="Delhi"/>
    <s v="Asia&gt;India&gt;Delhi"/>
    <s v="Small Business"/>
    <s v="Distributor"/>
    <x v="1"/>
    <s v="Printers"/>
    <s v="PRN-2301"/>
    <n v="946.99"/>
    <n v="2132.19"/>
    <n v="2132.19"/>
    <s v="High"/>
    <n v="0.16500000000000001"/>
    <n v="0.16500000000000001"/>
    <n v="7"/>
    <n v="12462.65055"/>
    <n v="6628.93"/>
    <n v="5833.72055"/>
    <n v="0.46809629513362228"/>
    <d v="2023-01-29T00:00:00"/>
    <n v="5"/>
    <n v="0"/>
  </r>
  <r>
    <s v="ORD-2023-112666"/>
    <d v="2023-01-15T00:00:00"/>
    <d v="2023-01-15T00:00:00"/>
    <s v="Q1 -2023"/>
    <d v="2023-01-13T00:00:00"/>
    <d v="2023-01-20T00:00:00"/>
    <n v="5"/>
    <x v="1"/>
    <s v="Nigeria"/>
    <s v="Abuja"/>
    <s v="Africa&gt;Nigeria&gt;Abuja"/>
    <s v="Education"/>
    <s v="Online"/>
    <x v="2"/>
    <s v="Printers"/>
    <s v="PRN-6276"/>
    <n v="28.38"/>
    <n v="47.22"/>
    <n v="47.22"/>
    <s v="Low"/>
    <n v="0.19400000000000001"/>
    <n v="0.19400000000000001"/>
    <n v="18"/>
    <n v="685.06776000000002"/>
    <n v="510.84"/>
    <n v="174.22776000000005"/>
    <n v="0.25432193743871417"/>
    <d v="2023-01-15T00:00:00"/>
    <n v="0"/>
    <n v="0"/>
  </r>
  <r>
    <s v="ORD-2023-125739"/>
    <d v="2023-05-01T00:00:00"/>
    <d v="2023-05-01T00:00:00"/>
    <s v="Q2 -2023"/>
    <d v="2023-05-18T00:00:00"/>
    <d v="2023-05-18T00:00:00"/>
    <n v="17"/>
    <x v="1"/>
    <s v="Nigeria"/>
    <s v="Port Harcourt"/>
    <s v="Africa&gt;Nigeria&gt;Port Harcourt"/>
    <s v="Corporate"/>
    <s v="Direct"/>
    <x v="3"/>
    <s v="Components"/>
    <s v="CMP-5633"/>
    <n v="327.97"/>
    <n v="299.94"/>
    <n v="299.94"/>
    <s v="Low"/>
    <n v="4.9000000000000002E-2"/>
    <n v="4.9000000000000002E-2"/>
    <n v="3"/>
    <n v="855.72881999999993"/>
    <n v="983.91000000000008"/>
    <n v="-128.18118000000015"/>
    <n v="-0.14979182306843442"/>
    <d v="2023-01-15T00:00:00"/>
    <n v="3"/>
    <n v="0"/>
  </r>
  <r>
    <s v="ORD-2023-126505"/>
    <d v="2023-12-19T00:00:00"/>
    <d v="2023-12-19T00:00:00"/>
    <s v="Q4 -2023"/>
    <d v="2024-01-01T00:00:00"/>
    <d v="2024-01-01T00:00:00"/>
    <n v="13"/>
    <x v="2"/>
    <s v="Canada"/>
    <s v="Toronto"/>
    <s v="Americas&gt;Canada&gt;Toronto"/>
    <s v="Enterprise"/>
    <s v="Retail"/>
    <x v="4"/>
    <s v="Monitors"/>
    <s v="MON-6065"/>
    <n v="856.1"/>
    <n v="901.48"/>
    <n v="901.48"/>
    <s v="Medium"/>
    <n v="5.6000000000000001E-2"/>
    <n v="5.6000000000000001E-2"/>
    <n v="17"/>
    <n v="14466.95104"/>
    <n v="14553.7"/>
    <n v="-86.748960000000807"/>
    <n v="-5.9963540182134192E-3"/>
    <d v="2023-01-02T00:00:00"/>
    <n v="11"/>
    <n v="0"/>
  </r>
  <r>
    <s v="ORD-2023-128295"/>
    <d v="2023-06-23T00:00:00"/>
    <d v="2023-06-23T00:00:00"/>
    <s v="Q2 -2023"/>
    <d v="2023-07-03T00:00:00"/>
    <d v="2023-07-03T00:00:00"/>
    <n v="10"/>
    <x v="1"/>
    <s v="Nigeria"/>
    <s v="Abuja"/>
    <s v="Africa&gt;Nigeria&gt;Abuja"/>
    <s v="Consumer"/>
    <s v="Online"/>
    <x v="5"/>
    <s v="Printers"/>
    <s v="PRN-2542"/>
    <n v="337.75"/>
    <n v="548.89"/>
    <n v="548.89"/>
    <s v="Low"/>
    <n v="0"/>
    <n v="0"/>
    <n v="13"/>
    <n v="7135.57"/>
    <n v="4390.75"/>
    <n v="2744.8199999999997"/>
    <n v="0.38466723751571352"/>
    <d v="2023-01-15T00:00:00"/>
    <n v="5"/>
    <n v="0"/>
  </r>
  <r>
    <s v="ORD-2023-132101"/>
    <d v="2023-09-25T00:00:00"/>
    <d v="2023-09-25T00:00:00"/>
    <s v="Q3 -2023"/>
    <d v="2023-10-09T00:00:00"/>
    <d v="2023-10-09T00:00:00"/>
    <n v="14"/>
    <x v="2"/>
    <s v="USA"/>
    <s v="New York"/>
    <s v="Americas&gt;USA&gt;New York"/>
    <s v="Small Business"/>
    <s v="Marketplace"/>
    <x v="5"/>
    <s v="Laptops"/>
    <s v="LAP-6750"/>
    <n v="1279.56"/>
    <n v="3083.8"/>
    <n v="3083.8"/>
    <s v="High"/>
    <n v="0.106"/>
    <n v="0.106"/>
    <n v="5"/>
    <n v="13784.586000000001"/>
    <n v="6397.7999999999993"/>
    <n v="7386.7860000000019"/>
    <n v="0.53587289455047848"/>
    <d v="2023-01-13T00:00:00"/>
    <n v="8"/>
    <n v="0"/>
  </r>
  <r>
    <s v="ORD-2023-133848"/>
    <d v="2023-08-15T00:00:00"/>
    <d v="2023-08-15T00:00:00"/>
    <s v="Q3 -2023"/>
    <d v="2023-09-07T00:00:00"/>
    <d v="2023-09-07T00:00:00"/>
    <n v="23"/>
    <x v="2"/>
    <s v="USA"/>
    <s v="New York"/>
    <s v="Americas&gt;USA&gt;New York"/>
    <s v="Enterprise"/>
    <s v="Online"/>
    <x v="4"/>
    <s v="Phones"/>
    <s v="PHN-2013"/>
    <n v="590.33000000000004"/>
    <n v="973.04"/>
    <n v="973.04"/>
    <s v="Medium"/>
    <n v="0"/>
    <n v="0"/>
    <n v="26"/>
    <n v="25299.040000000001"/>
    <n v="15348.580000000002"/>
    <n v="9950.4599999999991"/>
    <n v="0.39331373838691108"/>
    <d v="2023-01-13T00:00:00"/>
    <n v="7"/>
    <n v="0"/>
  </r>
  <r>
    <s v="ORD-2023-139236"/>
    <d v="2023-03-03T00:00:00"/>
    <d v="2023-03-03T00:00:00"/>
    <s v="Q1 -2023"/>
    <d v="2023-03-20T00:00:00"/>
    <d v="2023-03-20T00:00:00"/>
    <n v="17"/>
    <x v="0"/>
    <s v="Japan"/>
    <s v="Nagoya"/>
    <s v="Asia&gt;Japan&gt;Nagoya"/>
    <s v="Small Business"/>
    <s v="Online"/>
    <x v="6"/>
    <s v="Networking"/>
    <s v="NET-7349"/>
    <n v="1171.17"/>
    <n v="2030.64"/>
    <n v="2030.64"/>
    <s v="High"/>
    <n v="0.157"/>
    <n v="0.157"/>
    <n v="11"/>
    <n v="18830.12472"/>
    <n v="12882.87"/>
    <n v="5947.254719999999"/>
    <n v="0.31583724528830415"/>
    <d v="2023-03-03T00:00:00"/>
    <n v="0"/>
    <n v="0"/>
  </r>
  <r>
    <s v="ORD-2023-144816"/>
    <d v="2023-05-07T00:00:00"/>
    <d v="2023-05-07T00:00:00"/>
    <s v="Q2 -2023"/>
    <d v="2023-05-29T00:00:00"/>
    <d v="2023-05-29T00:00:00"/>
    <n v="22"/>
    <x v="1"/>
    <s v="South Africa"/>
    <s v="Durban"/>
    <s v="Africa&gt;South Africa&gt;Durban"/>
    <s v="Education"/>
    <s v="Distributor"/>
    <x v="4"/>
    <s v="Accessories"/>
    <s v="ACC-2364"/>
    <n v="653.86"/>
    <n v="931.84"/>
    <n v="931.84"/>
    <s v="Medium"/>
    <n v="0.121"/>
    <n v="0.121"/>
    <n v="12"/>
    <n v="9829.0483199999999"/>
    <n v="7846.32"/>
    <n v="1982.7283200000002"/>
    <n v="0.20172129136506273"/>
    <d v="2023-01-07T00:00:00"/>
    <n v="4"/>
    <n v="0"/>
  </r>
  <r>
    <s v="ORD-2023-156396"/>
    <d v="2023-02-21T00:00:00"/>
    <d v="2023-02-21T00:00:00"/>
    <s v="Q1 -2023"/>
    <d v="2023-03-12T00:00:00"/>
    <d v="2023-03-12T00:00:00"/>
    <n v="19"/>
    <x v="1"/>
    <s v="Kenya"/>
    <s v="Nakuru"/>
    <s v="Africa&gt;Kenya&gt;Nakuru"/>
    <s v="Corporate"/>
    <s v="Online"/>
    <x v="3"/>
    <s v="Networking"/>
    <s v="NET-2499"/>
    <n v="352.65"/>
    <n v="485.86"/>
    <n v="485.86"/>
    <s v="Low"/>
    <n v="4.1000000000000002E-2"/>
    <n v="4.1000000000000002E-2"/>
    <n v="6"/>
    <n v="2795.6384399999997"/>
    <n v="2115.8999999999996"/>
    <n v="679.73844000000008"/>
    <n v="0.24314247159943908"/>
    <d v="2023-01-20T00:00:00"/>
    <n v="1"/>
    <n v="0"/>
  </r>
  <r>
    <s v="ORD-2023-157993"/>
    <d v="2023-04-18T00:00:00"/>
    <d v="2023-04-18T00:00:00"/>
    <s v="Q2 -2023"/>
    <d v="2023-05-18T00:00:00"/>
    <d v="2023-05-18T00:00:00"/>
    <n v="30"/>
    <x v="0"/>
    <s v="China"/>
    <s v="Shenzhen"/>
    <s v="Asia&gt;China&gt;Shenzhen"/>
    <s v="Non-Profit"/>
    <s v="Retail"/>
    <x v="7"/>
    <s v="Laptops"/>
    <s v="LAP-1482"/>
    <n v="329.03"/>
    <n v="391.15"/>
    <n v="391.15"/>
    <s v="Low"/>
    <n v="0.19700000000000001"/>
    <n v="0.19700000000000001"/>
    <n v="46"/>
    <n v="14448.298699999998"/>
    <n v="15135.38"/>
    <n v="-687.08130000000165"/>
    <n v="-4.7554477815440081E-2"/>
    <d v="2023-01-12T00:00:00"/>
    <n v="3"/>
    <n v="0"/>
  </r>
  <r>
    <s v="ORD-2023-159379"/>
    <d v="2023-02-08T00:00:00"/>
    <d v="2023-02-08T00:00:00"/>
    <s v="Q1 -2023"/>
    <d v="2023-02-11T00:00:00"/>
    <d v="2023-02-11T00:00:00"/>
    <n v="3"/>
    <x v="1"/>
    <s v="South Africa"/>
    <s v="Cape Town"/>
    <s v="Africa&gt;South Africa&gt;Cape Town"/>
    <s v="Corporate"/>
    <s v="Direct"/>
    <x v="8"/>
    <s v="Networking"/>
    <s v="NET-5018"/>
    <n v="1410.05"/>
    <n v="2763.95"/>
    <n v="2763.95"/>
    <s v="High"/>
    <n v="0.161"/>
    <n v="0.161"/>
    <n v="26"/>
    <n v="60292.805299999993"/>
    <n v="36661.299999999996"/>
    <n v="23631.505299999997"/>
    <n v="0.39194569206750779"/>
    <d v="2023-01-07T00:00:00"/>
    <n v="1"/>
    <n v="0"/>
  </r>
  <r>
    <s v="ORD-2023-159821"/>
    <d v="2023-07-01T00:00:00"/>
    <d v="2023-07-01T00:00:00"/>
    <s v="Q3 -2023"/>
    <d v="2023-07-08T00:00:00"/>
    <d v="2023-07-08T00:00:00"/>
    <n v="7"/>
    <x v="1"/>
    <s v="Nigeria"/>
    <s v="Port Harcourt"/>
    <s v="Africa&gt;Nigeria&gt;Port Harcourt"/>
    <s v="Corporate"/>
    <s v="Retail"/>
    <x v="0"/>
    <s v="Laptops"/>
    <s v="LAP-3904"/>
    <n v="834.26"/>
    <n v="1780.56"/>
    <n v="1780.56"/>
    <s v="High"/>
    <n v="1.4E-2"/>
    <n v="1.4E-2"/>
    <n v="47"/>
    <n v="82514.711519999997"/>
    <n v="39210.22"/>
    <n v="43304.491519999996"/>
    <n v="0.5248093427497933"/>
    <d v="2023-01-15T00:00:00"/>
    <n v="5"/>
    <n v="0"/>
  </r>
  <r>
    <s v="ORD-2023-163610"/>
    <d v="2023-10-22T00:00:00"/>
    <d v="2023-10-22T00:00:00"/>
    <s v="Q4 -2023"/>
    <d v="2023-11-16T00:00:00"/>
    <d v="2023-11-16T00:00:00"/>
    <n v="25"/>
    <x v="2"/>
    <s v="Canada"/>
    <s v="Toronto"/>
    <s v="Americas&gt;Canada&gt;Toronto"/>
    <s v="Small Business"/>
    <s v="Marketplace"/>
    <x v="9"/>
    <s v="Laptops"/>
    <s v="LAP-9024"/>
    <n v="1373.31"/>
    <n v="3154.14"/>
    <n v="3154.14"/>
    <s v="High"/>
    <n v="0.2"/>
    <n v="0.2"/>
    <n v="11"/>
    <n v="27756.432000000001"/>
    <n v="15106.41"/>
    <n v="12650.022000000001"/>
    <n v="0.45575101295440279"/>
    <d v="2023-01-02T00:00:00"/>
    <n v="9"/>
    <n v="0"/>
  </r>
  <r>
    <s v="ORD-2023-166668"/>
    <d v="2023-10-05T00:00:00"/>
    <d v="2023-10-05T00:00:00"/>
    <s v="Q4 -2023"/>
    <d v="2023-10-31T00:00:00"/>
    <d v="2023-10-31T00:00:00"/>
    <n v="26"/>
    <x v="0"/>
    <s v="China"/>
    <s v="Shanghai"/>
    <s v="Asia&gt;China&gt;Shanghai"/>
    <s v="Consumer"/>
    <s v="Unspecified"/>
    <x v="5"/>
    <s v="Printers"/>
    <s v="PRN-6520"/>
    <n v="649.91"/>
    <n v="1360.12"/>
    <n v="1360.12"/>
    <s v="Medium"/>
    <n v="0.19400000000000001"/>
    <n v="0.19400000000000001"/>
    <n v="9"/>
    <n v="9866.3104799999983"/>
    <n v="5849.19"/>
    <n v="4017.1204799999987"/>
    <n v="0.40715528749506769"/>
    <d v="2023-01-12T00:00:00"/>
    <n v="8"/>
    <n v="0"/>
  </r>
  <r>
    <s v="ORD-2023-172095"/>
    <d v="2023-05-24T00:00:00"/>
    <d v="2023-05-24T00:00:00"/>
    <s v="Q2 -2023"/>
    <d v="2023-06-21T00:00:00"/>
    <d v="2023-06-21T00:00:00"/>
    <n v="28"/>
    <x v="2"/>
    <s v="USA"/>
    <s v="Austin"/>
    <s v="Americas&gt;USA&gt;Austin"/>
    <s v="Small Business"/>
    <s v="Marketplace"/>
    <x v="10"/>
    <s v="Monitors"/>
    <s v="MON-6882"/>
    <n v="813.97"/>
    <n v="1568.83"/>
    <n v="1568.83"/>
    <s v="Medium"/>
    <n v="1.7000000000000001E-2"/>
    <n v="1.7000000000000001E-2"/>
    <n v="15"/>
    <n v="23132.398349999996"/>
    <n v="12209.550000000001"/>
    <n v="10922.848349999995"/>
    <n v="0.4721883215364911"/>
    <d v="2023-01-13T00:00:00"/>
    <n v="4"/>
    <n v="0"/>
  </r>
  <r>
    <s v="ORD-2023-173313"/>
    <d v="2023-06-15T00:00:00"/>
    <d v="2023-06-15T00:00:00"/>
    <s v="Q2 -2023"/>
    <d v="2023-07-12T00:00:00"/>
    <d v="2023-07-12T00:00:00"/>
    <n v="27"/>
    <x v="3"/>
    <s v="United Kingdom"/>
    <s v="Manchester"/>
    <s v="Europe&gt;United Kingdom&gt;Manchester"/>
    <s v="Consumer"/>
    <s v="Direct"/>
    <x v="9"/>
    <s v="Accessories"/>
    <s v="ACC-3833"/>
    <n v="751.28"/>
    <n v="1111.8800000000001"/>
    <n v="1111.8800000000001"/>
    <s v="Medium"/>
    <n v="0.13500000000000001"/>
    <n v="0.13500000000000001"/>
    <n v="7"/>
    <n v="6732.4334000000008"/>
    <n v="5258.96"/>
    <n v="1473.4734000000008"/>
    <n v="0.21886193482433863"/>
    <d v="2023-01-19T00:00:00"/>
    <n v="4"/>
    <n v="0"/>
  </r>
  <r>
    <s v="ORD-2023-177794"/>
    <d v="2023-05-04T00:00:00"/>
    <d v="2023-05-04T00:00:00"/>
    <s v="Q2 -2023"/>
    <d v="2023-05-26T00:00:00"/>
    <d v="2023-05-26T00:00:00"/>
    <n v="22"/>
    <x v="2"/>
    <s v="USA"/>
    <s v="San Francisco"/>
    <s v="Americas&gt;USA&gt;San Francisco"/>
    <s v="Enterprise"/>
    <s v="Online"/>
    <x v="5"/>
    <s v="Networking"/>
    <s v="NET-5941"/>
    <n v="249.71"/>
    <n v="361.33"/>
    <n v="361.33"/>
    <s v="Low"/>
    <n v="9.4E-2"/>
    <n v="9.4E-2"/>
    <n v="12"/>
    <n v="3928.3797600000003"/>
    <n v="2996.52"/>
    <n v="931.85976000000028"/>
    <n v="0.23721223937881206"/>
    <d v="2023-01-13T00:00:00"/>
    <n v="3"/>
    <n v="0"/>
  </r>
  <r>
    <s v="ORD-2023-178249"/>
    <d v="2023-12-29T00:00:00"/>
    <d v="2023-12-29T00:00:00"/>
    <s v="Q4 -2023"/>
    <d v="2024-01-20T00:00:00"/>
    <d v="2024-01-20T00:00:00"/>
    <n v="22"/>
    <x v="1"/>
    <s v="Kenya"/>
    <s v="Kisumu"/>
    <s v="Africa&gt;Kenya&gt;Kisumu"/>
    <s v="Corporate"/>
    <s v="Direct"/>
    <x v="11"/>
    <s v="Phones"/>
    <s v="PHN-7924"/>
    <n v="1395.49"/>
    <n v="1679.42"/>
    <n v="1679.42"/>
    <s v="High"/>
    <n v="0.20300000000000001"/>
    <n v="0.20300000000000001"/>
    <n v="12"/>
    <n v="16061.972879999999"/>
    <n v="16745.88"/>
    <n v="-683.90712000000167"/>
    <n v="-4.2579272490964493E-2"/>
    <d v="2023-01-20T00:00:00"/>
    <n v="11"/>
    <n v="1"/>
  </r>
  <r>
    <s v="ORD-2023-181257"/>
    <d v="2023-11-15T00:00:00"/>
    <d v="2023-11-15T00:00:00"/>
    <s v="Q4 -2023"/>
    <d v="2023-12-06T00:00:00"/>
    <d v="2023-12-06T00:00:00"/>
    <n v="21"/>
    <x v="3"/>
    <s v="United Kingdom"/>
    <s v="Manchester"/>
    <s v="Europe&gt;United Kingdom&gt;Manchester"/>
    <s v="Education"/>
    <s v="Direct"/>
    <x v="7"/>
    <s v="Accessories"/>
    <s v="ACC-1060"/>
    <n v="1184.99"/>
    <n v="1154.3399999999999"/>
    <n v="1154.3399999999999"/>
    <s v="Medium"/>
    <n v="2.8000000000000001E-2"/>
    <n v="2.8000000000000001E-2"/>
    <n v="5"/>
    <n v="5610.0923999999995"/>
    <n v="5924.95"/>
    <n v="-314.85760000000028"/>
    <n v="-5.6123424990290764E-2"/>
    <d v="2023-01-19T00:00:00"/>
    <n v="9"/>
    <n v="0"/>
  </r>
  <r>
    <s v="ORD-2023-184577"/>
    <d v="2023-05-17T00:00:00"/>
    <d v="2023-05-17T00:00:00"/>
    <s v="Q2 -2023"/>
    <d v="2023-06-03T00:00:00"/>
    <d v="2023-06-03T00:00:00"/>
    <n v="17"/>
    <x v="0"/>
    <s v="China"/>
    <s v="Beijing"/>
    <s v="Asia&gt;China&gt;Beijing"/>
    <s v="Non-Profit"/>
    <s v="Distributor"/>
    <x v="8"/>
    <s v="Printers"/>
    <s v="PRN-1923"/>
    <n v="979.59"/>
    <n v="2210.94"/>
    <n v="2210.94"/>
    <s v="High"/>
    <n v="0.15"/>
    <n v="0.15"/>
    <n v="11"/>
    <n v="20672.289000000001"/>
    <n v="10775.49"/>
    <n v="9896.7990000000009"/>
    <n v="0.47874712858358359"/>
    <d v="2023-01-12T00:00:00"/>
    <n v="4"/>
    <n v="0"/>
  </r>
  <r>
    <s v="ORD-2023-191563"/>
    <d v="2023-11-30T00:00:00"/>
    <d v="2023-11-30T00:00:00"/>
    <s v="Q4 -2023"/>
    <d v="2023-12-10T00:00:00"/>
    <d v="2023-12-10T00:00:00"/>
    <n v="10"/>
    <x v="3"/>
    <s v="Germany"/>
    <s v="Munich"/>
    <s v="Europe&gt;Germany&gt;Munich"/>
    <s v="Small Business"/>
    <s v="Direct"/>
    <x v="3"/>
    <s v="Laptops"/>
    <s v="LAP-4899"/>
    <n v="174.74"/>
    <n v="415.96"/>
    <n v="415.96"/>
    <s v="Low"/>
    <n v="0.125"/>
    <n v="0.125"/>
    <n v="21"/>
    <n v="7643.2649999999994"/>
    <n v="3669.54"/>
    <n v="3973.7249999999995"/>
    <n v="0.51989889137691803"/>
    <d v="2023-01-22T00:00:00"/>
    <n v="10"/>
    <n v="0"/>
  </r>
  <r>
    <s v="ORD-2023-192324"/>
    <d v="2023-09-14T00:00:00"/>
    <d v="2023-09-14T00:00:00"/>
    <s v="Q3 -2023"/>
    <d v="2023-09-16T00:00:00"/>
    <d v="2023-09-16T00:00:00"/>
    <n v="2"/>
    <x v="3"/>
    <s v="France"/>
    <s v="Lyon"/>
    <s v="Europe&gt;France&gt;Lyon"/>
    <s v="Non-Profit"/>
    <s v="Direct"/>
    <x v="12"/>
    <s v="Printers"/>
    <s v="PRN-4432"/>
    <n v="376.83"/>
    <n v="732.88"/>
    <n v="732.88"/>
    <s v="Low"/>
    <n v="0.188"/>
    <n v="0.188"/>
    <n v="25"/>
    <n v="14877.464000000002"/>
    <n v="9420.75"/>
    <n v="5456.7140000000018"/>
    <n v="0.36677716040852132"/>
    <d v="2023-01-10T00:00:00"/>
    <n v="8"/>
    <n v="0"/>
  </r>
  <r>
    <s v="ORD-2023-195665"/>
    <d v="2023-12-19T00:00:00"/>
    <d v="2023-12-19T00:00:00"/>
    <s v="Q4 -2023"/>
    <d v="2023-12-20T00:00:00"/>
    <d v="2023-12-20T00:00:00"/>
    <n v="1"/>
    <x v="2"/>
    <s v="Brazil"/>
    <s v="Rio de Janeiro"/>
    <s v="Americas&gt;Brazil&gt;Rio de Janeiro"/>
    <s v="Consumer"/>
    <s v="Distributor"/>
    <x v="5"/>
    <s v="Phones"/>
    <s v="PHN-7274"/>
    <n v="1080.43"/>
    <n v="2529.15"/>
    <n v="2529.15"/>
    <s v="High"/>
    <n v="0.14699999999999999"/>
    <n v="0.14699999999999999"/>
    <n v="10"/>
    <n v="21573.6495"/>
    <n v="10804.300000000001"/>
    <n v="10769.349499999998"/>
    <n v="0.49918997247081437"/>
    <d v="2023-01-29T00:00:00"/>
    <n v="10"/>
    <n v="0"/>
  </r>
  <r>
    <s v="ORD-2023-197661"/>
    <d v="2023-08-08T00:00:00"/>
    <d v="2023-08-08T00:00:00"/>
    <s v="Q3 -2023"/>
    <d v="2023-08-22T00:00:00"/>
    <d v="2023-08-22T00:00:00"/>
    <n v="14"/>
    <x v="3"/>
    <s v="United Kingdom"/>
    <s v="Birmingham"/>
    <s v="Europe&gt;United Kingdom&gt;Birmingham"/>
    <s v="Non-Profit"/>
    <s v="Direct"/>
    <x v="13"/>
    <s v="Monitors"/>
    <s v="MON-7511"/>
    <n v="446.69"/>
    <n v="967.25"/>
    <n v="967.25"/>
    <s v="Medium"/>
    <n v="9.4E-2"/>
    <n v="9.4E-2"/>
    <n v="10"/>
    <n v="8763.2849999999999"/>
    <n v="4466.8999999999996"/>
    <n v="4296.3850000000002"/>
    <n v="0.49027105702941309"/>
    <d v="2023-01-19T00:00:00"/>
    <n v="6"/>
    <n v="0"/>
  </r>
  <r>
    <s v="ORD-2023-208944"/>
    <d v="2023-12-21T00:00:00"/>
    <d v="2023-12-21T00:00:00"/>
    <s v="Q4 -2023"/>
    <d v="2024-01-06T00:00:00"/>
    <d v="2024-01-06T00:00:00"/>
    <n v="16"/>
    <x v="1"/>
    <s v="Nigeria"/>
    <s v="Unknown"/>
    <s v="Africa&gt;Nigeria&gt;Unknown"/>
    <s v="Corporate"/>
    <s v="Marketplace"/>
    <x v="4"/>
    <s v="Components"/>
    <s v="CMP-4792"/>
    <n v="932.61"/>
    <n v="1982.98"/>
    <n v="1982.98"/>
    <s v="High"/>
    <n v="0.14399999999999999"/>
    <n v="0.14399999999999999"/>
    <n v="16"/>
    <n v="27158.894079999998"/>
    <n v="14921.76"/>
    <n v="12237.134079999998"/>
    <n v="0.45057556629345635"/>
    <d v="2023-01-15T00:00:00"/>
    <n v="11"/>
    <n v="0"/>
  </r>
  <r>
    <s v="ORD-2023-211715"/>
    <d v="2023-10-30T00:00:00"/>
    <d v="2023-10-30T00:00:00"/>
    <s v="Q4 -2023"/>
    <d v="2023-11-14T00:00:00"/>
    <d v="2023-11-14T00:00:00"/>
    <n v="15"/>
    <x v="0"/>
    <s v="India"/>
    <s v="Bengaluru"/>
    <s v="Asia&gt;India&gt;Bengaluru"/>
    <s v="Corporate"/>
    <s v="Online"/>
    <x v="3"/>
    <s v="Laptops"/>
    <s v="LAP-2378"/>
    <n v="953.46"/>
    <n v="2066.75"/>
    <n v="2066.75"/>
    <s v="High"/>
    <n v="0.13800000000000001"/>
    <n v="0.13800000000000001"/>
    <n v="5"/>
    <n v="8907.6924999999992"/>
    <n v="4767.3"/>
    <n v="4140.392499999999"/>
    <n v="0.46481089238318446"/>
    <d v="2023-01-29T00:00:00"/>
    <n v="9"/>
    <n v="0"/>
  </r>
  <r>
    <s v="ORD-2023-212701"/>
    <d v="2023-12-02T00:00:00"/>
    <d v="2023-12-02T00:00:00"/>
    <s v="Q4 -2023"/>
    <d v="2023-12-16T00:00:00"/>
    <d v="2023-12-16T00:00:00"/>
    <n v="14"/>
    <x v="3"/>
    <s v="Germany"/>
    <s v="Frankfurt"/>
    <s v="Europe&gt;Germany&gt;Frankfurt"/>
    <s v="Education"/>
    <s v="Direct"/>
    <x v="13"/>
    <s v="Monitors"/>
    <s v="MON-4278"/>
    <n v="879.08"/>
    <n v="1093.3900000000001"/>
    <n v="1093.3900000000001"/>
    <s v="Medium"/>
    <n v="0.113"/>
    <n v="0.113"/>
    <n v="17"/>
    <n v="16487.22781"/>
    <n v="14944.36"/>
    <n v="1542.8678099999997"/>
    <n v="9.3579577341935186E-2"/>
    <d v="2023-01-22T00:00:00"/>
    <n v="10"/>
    <n v="0"/>
  </r>
  <r>
    <s v="ORD-2023-215819"/>
    <d v="2023-07-01T00:00:00"/>
    <d v="2023-07-01T00:00:00"/>
    <s v="Q3 -2023"/>
    <d v="2023-07-11T00:00:00"/>
    <d v="2023-07-11T00:00:00"/>
    <n v="10"/>
    <x v="3"/>
    <s v="France"/>
    <s v="Paris"/>
    <s v="Europe&gt;France&gt;Paris"/>
    <s v="Corporate"/>
    <s v="Direct"/>
    <x v="3"/>
    <s v="Networking"/>
    <s v="NET-6533"/>
    <n v="479.5"/>
    <n v="656.66"/>
    <n v="656.66"/>
    <s v="Low"/>
    <n v="0.14899999999999999"/>
    <n v="0.14899999999999999"/>
    <n v="14"/>
    <n v="7823.4472399999995"/>
    <n v="6713"/>
    <n v="1110.4472399999995"/>
    <n v="0.14193835606412289"/>
    <d v="2023-01-10T00:00:00"/>
    <n v="5"/>
    <n v="0"/>
  </r>
  <r>
    <s v="ORD-2023-235230"/>
    <d v="2023-08-30T00:00:00"/>
    <d v="2023-08-30T00:00:00"/>
    <s v="Q3 -2023"/>
    <d v="2023-09-01T00:00:00"/>
    <d v="2023-09-01T00:00:00"/>
    <n v="2"/>
    <x v="3"/>
    <s v="Germany"/>
    <s v="Munich"/>
    <s v="Europe&gt;Germany&gt;Munich"/>
    <s v="Corporate"/>
    <s v="Direct"/>
    <x v="13"/>
    <s v="Networking"/>
    <s v="NET-9989"/>
    <n v="44.42"/>
    <n v="41.9"/>
    <n v="41.9"/>
    <s v="Low"/>
    <n v="0.14399999999999999"/>
    <n v="0.14399999999999999"/>
    <n v="6"/>
    <n v="215.19839999999996"/>
    <n v="266.52"/>
    <n v="-51.321600000000018"/>
    <n v="-0.23848504449847224"/>
    <d v="2023-01-22T00:00:00"/>
    <n v="7"/>
    <n v="0"/>
  </r>
  <r>
    <s v="ORD-2023-239789"/>
    <d v="2023-12-03T00:00:00"/>
    <d v="2023-12-03T00:00:00"/>
    <s v="Q4 -2023"/>
    <d v="2023-12-26T00:00:00"/>
    <d v="2023-12-26T00:00:00"/>
    <n v="23"/>
    <x v="2"/>
    <s v="Brazil"/>
    <s v="Rio de Janeiro"/>
    <s v="Americas&gt;Brazil&gt;Rio de Janeiro"/>
    <s v="Education"/>
    <s v="Retail"/>
    <x v="2"/>
    <s v="Phones"/>
    <s v="PHN-4644"/>
    <n v="1303.1099999999999"/>
    <n v="1145.67"/>
    <n v="1145.67"/>
    <s v="Medium"/>
    <n v="0.184"/>
    <n v="0.184"/>
    <n v="13"/>
    <n v="12153.267360000002"/>
    <n v="16940.43"/>
    <n v="-4787.1626399999986"/>
    <n v="-0.39389922875851208"/>
    <d v="2023-01-29T00:00:00"/>
    <n v="10"/>
    <n v="0"/>
  </r>
  <r>
    <s v="ORD-2023-240507"/>
    <d v="2023-03-25T00:00:00"/>
    <d v="2023-03-25T00:00:00"/>
    <s v="Q1 -2023"/>
    <d v="2023-03-26T00:00:00"/>
    <d v="2023-03-26T00:00:00"/>
    <n v="1"/>
    <x v="0"/>
    <s v="Japan"/>
    <s v="Osaka"/>
    <s v="Asia&gt;Japan&gt;Osaka"/>
    <s v="Small Business"/>
    <s v="Distributor"/>
    <x v="9"/>
    <s v="Monitors"/>
    <s v="MON-9227"/>
    <n v="135.12"/>
    <n v="301.7"/>
    <n v="301.7"/>
    <s v="Low"/>
    <n v="0.14000000000000001"/>
    <n v="0.14000000000000001"/>
    <n v="47"/>
    <n v="12194.714"/>
    <n v="6350.64"/>
    <n v="5844.0739999999996"/>
    <n v="0.47923009920527859"/>
    <d v="2023-03-03T00:00:00"/>
    <n v="0"/>
    <n v="0"/>
  </r>
  <r>
    <s v="ORD-2023-243704"/>
    <d v="2023-08-29T00:00:00"/>
    <d v="2023-08-29T00:00:00"/>
    <s v="Q3 -2023"/>
    <d v="2023-09-19T00:00:00"/>
    <d v="2023-09-19T00:00:00"/>
    <n v="21"/>
    <x v="3"/>
    <s v="France"/>
    <s v="Lyon"/>
    <s v="Europe&gt;France&gt;Lyon"/>
    <s v="Small Business"/>
    <s v="Direct"/>
    <x v="12"/>
    <s v="Printers"/>
    <s v="PRN-7079"/>
    <n v="784.46"/>
    <n v="1843.51"/>
    <n v="1843.51"/>
    <s v="High"/>
    <n v="0.13800000000000001"/>
    <n v="0.13800000000000001"/>
    <n v="23"/>
    <n v="36549.429260000004"/>
    <n v="18042.580000000002"/>
    <n v="18506.849260000003"/>
    <n v="0.50635125184441798"/>
    <d v="2023-01-10T00:00:00"/>
    <n v="7"/>
    <n v="0"/>
  </r>
  <r>
    <s v="ORD-2023-244375"/>
    <d v="2023-06-03T00:00:00"/>
    <d v="2023-06-03T00:00:00"/>
    <s v="Q2 -2023"/>
    <d v="2023-07-01T00:00:00"/>
    <d v="2023-07-01T00:00:00"/>
    <n v="28"/>
    <x v="2"/>
    <s v="Brazil"/>
    <s v="Brasília"/>
    <s v="Americas&gt;Brazil&gt;Brasília"/>
    <s v="Small Business"/>
    <s v="Marketplace"/>
    <x v="0"/>
    <s v="Components"/>
    <s v="CMP-1223"/>
    <n v="860.4"/>
    <n v="2066.6"/>
    <n v="2066.6"/>
    <s v="High"/>
    <n v="0.01"/>
    <n v="0.01"/>
    <n v="3"/>
    <n v="6137.8019999999988"/>
    <n v="2581.1999999999998"/>
    <n v="3556.601999999999"/>
    <n v="0.57945857491004105"/>
    <d v="2023-01-29T00:00:00"/>
    <n v="4"/>
    <n v="0"/>
  </r>
  <r>
    <s v="ORD-2023-249805"/>
    <d v="2023-12-22T00:00:00"/>
    <d v="2023-12-22T00:00:00"/>
    <s v="Q4 -2023"/>
    <d v="2024-01-16T00:00:00"/>
    <d v="2024-01-16T00:00:00"/>
    <n v="25"/>
    <x v="0"/>
    <s v="India"/>
    <s v="Hyderabad"/>
    <s v="Asia&gt;India&gt;Hyderabad"/>
    <s v="Small Business"/>
    <s v="Retail"/>
    <x v="0"/>
    <s v="Components"/>
    <s v="CMP-1555"/>
    <n v="1346.81"/>
    <n v="978.09"/>
    <n v="978.09"/>
    <s v="Medium"/>
    <n v="0.159"/>
    <n v="0.159"/>
    <n v="17"/>
    <n v="13983.752729999998"/>
    <n v="22895.77"/>
    <n v="-8912.0172700000021"/>
    <n v="-0.6373122753293996"/>
    <d v="2023-01-29T00:00:00"/>
    <n v="10"/>
    <n v="0"/>
  </r>
  <r>
    <s v="ORD-2023-251563"/>
    <d v="2023-05-11T00:00:00"/>
    <d v="2023-05-11T00:00:00"/>
    <s v="Q2 -2023"/>
    <d v="2023-06-07T00:00:00"/>
    <d v="2023-06-07T00:00:00"/>
    <n v="27"/>
    <x v="1"/>
    <s v="Kenya"/>
    <s v="Mombasa"/>
    <s v="Africa&gt;Kenya&gt;Mombasa"/>
    <s v="Corporate"/>
    <s v="Online"/>
    <x v="5"/>
    <s v="Phones"/>
    <s v="PHN-8970"/>
    <n v="12.85"/>
    <n v="15.41"/>
    <n v="15.41"/>
    <s v="Low"/>
    <n v="0.13700000000000001"/>
    <n v="0.13700000000000001"/>
    <n v="39"/>
    <n v="518.65436999999997"/>
    <n v="501.15"/>
    <n v="17.504369999999994"/>
    <n v="3.3749585489851353E-2"/>
    <d v="2023-01-20T00:00:00"/>
    <n v="3"/>
    <n v="0"/>
  </r>
  <r>
    <s v="ORD-2023-253245"/>
    <d v="2023-08-03T00:00:00"/>
    <d v="2023-08-03T00:00:00"/>
    <s v="Q3 -2023"/>
    <d v="2023-08-14T00:00:00"/>
    <d v="2023-08-14T00:00:00"/>
    <n v="11"/>
    <x v="2"/>
    <s v="Brazil"/>
    <s v="Brasília"/>
    <s v="Americas&gt;Brazil&gt;Brasília"/>
    <s v="Corporate"/>
    <s v="Direct"/>
    <x v="5"/>
    <s v="Accessories"/>
    <s v="ACC-3951"/>
    <n v="232.73"/>
    <n v="334.19"/>
    <n v="334.19"/>
    <s v="Low"/>
    <n v="0.13400000000000001"/>
    <n v="0.13400000000000001"/>
    <n v="25"/>
    <n v="7235.2134999999998"/>
    <n v="5818.25"/>
    <n v="1416.9634999999998"/>
    <n v="0.1958426658729559"/>
    <d v="2023-01-29T00:00:00"/>
    <n v="6"/>
    <n v="0"/>
  </r>
  <r>
    <s v="ORD-2023-256951"/>
    <d v="2023-04-19T00:00:00"/>
    <d v="2023-04-19T00:00:00"/>
    <s v="Q2 -2023"/>
    <d v="2023-05-07T00:00:00"/>
    <d v="2023-05-07T00:00:00"/>
    <n v="18"/>
    <x v="3"/>
    <s v="United Kingdom"/>
    <s v="London"/>
    <s v="Europe&gt;United Kingdom&gt;London"/>
    <s v="Non-Profit"/>
    <s v="Direct"/>
    <x v="7"/>
    <s v="Networking"/>
    <s v="NET-2439"/>
    <n v="516.96"/>
    <n v="745.38"/>
    <n v="745.38"/>
    <s v="Low"/>
    <n v="0.19700000000000001"/>
    <n v="0.19700000000000001"/>
    <n v="4"/>
    <n v="2394.1605599999998"/>
    <n v="2067.84"/>
    <n v="326.32055999999966"/>
    <n v="0.13629852794835101"/>
    <d v="2023-01-19T00:00:00"/>
    <n v="3"/>
    <n v="0"/>
  </r>
  <r>
    <s v="ORD-2023-258768"/>
    <d v="2023-06-29T00:00:00"/>
    <d v="2023-06-29T00:00:00"/>
    <s v="Q2 -2023"/>
    <d v="2023-07-02T00:00:00"/>
    <d v="2023-07-02T00:00:00"/>
    <n v="3"/>
    <x v="0"/>
    <s v="Japan"/>
    <s v="Nagoya"/>
    <s v="Asia&gt;Japan&gt;Nagoya"/>
    <s v="Education"/>
    <s v="Marketplace"/>
    <x v="3"/>
    <s v="Monitors"/>
    <s v="MON-2990"/>
    <n v="55.65"/>
    <n v="83.57"/>
    <n v="83.57"/>
    <s v="Low"/>
    <n v="6.6000000000000003E-2"/>
    <n v="6.6000000000000003E-2"/>
    <n v="8"/>
    <n v="624.43503999999996"/>
    <n v="445.2"/>
    <n v="179.23503999999997"/>
    <n v="0.2870355257449998"/>
    <d v="2023-03-03T00:00:00"/>
    <n v="3"/>
    <n v="0"/>
  </r>
  <r>
    <s v="ORD-2023-261081"/>
    <d v="2023-07-24T00:00:00"/>
    <d v="2023-07-24T00:00:00"/>
    <s v="Q3 -2023"/>
    <d v="2023-08-19T00:00:00"/>
    <d v="2023-08-19T00:00:00"/>
    <n v="26"/>
    <x v="1"/>
    <s v="Kenya"/>
    <s v="Nairobi"/>
    <s v="Africa&gt;Kenya&gt;Nairobi"/>
    <s v="Enterprise"/>
    <s v="Distributor"/>
    <x v="8"/>
    <s v="Accessories"/>
    <s v="ACC-1238"/>
    <n v="661.45"/>
    <n v="1634.86"/>
    <n v="1634.86"/>
    <s v="High"/>
    <n v="0.56499999999999995"/>
    <n v="0.3"/>
    <n v="24"/>
    <n v="27465.647999999997"/>
    <n v="15874.800000000001"/>
    <n v="11590.847999999996"/>
    <n v="0.42201254454291404"/>
    <d v="2023-01-20T00:00:00"/>
    <n v="6"/>
    <n v="1"/>
  </r>
  <r>
    <s v="ORD-2023-271836"/>
    <d v="2023-02-07T00:00:00"/>
    <d v="2023-02-07T00:00:00"/>
    <s v="Q1 -2023"/>
    <d v="2023-02-12T00:00:00"/>
    <d v="2023-02-12T00:00:00"/>
    <n v="5"/>
    <x v="2"/>
    <s v="Brazil"/>
    <s v="São Paulo"/>
    <s v="Americas&gt;Brazil&gt;São Paulo"/>
    <s v="Education"/>
    <s v="Online"/>
    <x v="13"/>
    <s v="Components"/>
    <s v="CMP-2693"/>
    <n v="948.55"/>
    <n v="2089.16"/>
    <n v="2089.16"/>
    <s v="High"/>
    <n v="7.0000000000000001E-3"/>
    <n v="7.0000000000000001E-3"/>
    <n v="12"/>
    <n v="24894.430559999997"/>
    <n v="11382.599999999999"/>
    <n v="13511.830559999999"/>
    <n v="0.54276519912492427"/>
    <d v="2023-01-29T00:00:00"/>
    <n v="0"/>
    <n v="0"/>
  </r>
  <r>
    <s v="ORD-2023-271918"/>
    <d v="2023-09-25T00:00:00"/>
    <d v="2023-09-25T00:00:00"/>
    <s v="Q3 -2023"/>
    <d v="2023-10-02T00:00:00"/>
    <d v="2023-10-02T00:00:00"/>
    <n v="7"/>
    <x v="2"/>
    <s v="USA"/>
    <s v="New York"/>
    <s v="Americas&gt;USA&gt;New York"/>
    <s v="Education"/>
    <s v="Marketplace"/>
    <x v="9"/>
    <s v="Accessories"/>
    <s v="ACC-3551"/>
    <n v="145.58000000000001"/>
    <n v="228.15"/>
    <n v="228.15"/>
    <s v="Low"/>
    <n v="0.20399999999999999"/>
    <n v="0.20399999999999999"/>
    <n v="5"/>
    <n v="908.03700000000003"/>
    <n v="727.90000000000009"/>
    <n v="180.13699999999994"/>
    <n v="0.19838068272548359"/>
    <d v="2023-01-13T00:00:00"/>
    <n v="8"/>
    <n v="1"/>
  </r>
  <r>
    <s v="ORD-2023-274037"/>
    <d v="2023-08-15T00:00:00"/>
    <d v="2023-08-15T00:00:00"/>
    <s v="Q3 -2023"/>
    <d v="2023-08-25T00:00:00"/>
    <d v="2023-08-25T00:00:00"/>
    <n v="10"/>
    <x v="1"/>
    <s v="Kenya"/>
    <s v="Nairobi"/>
    <s v="Africa&gt;Kenya&gt;Nairobi"/>
    <s v="Small Business"/>
    <s v="Retail"/>
    <x v="13"/>
    <s v="Phones"/>
    <s v="PHN-1234"/>
    <n v="91.85"/>
    <n v="111.29"/>
    <n v="111.29"/>
    <s v="Low"/>
    <n v="0"/>
    <n v="0"/>
    <n v="6"/>
    <n v="667.74"/>
    <n v="551.09999999999991"/>
    <n v="116.6400000000001"/>
    <n v="0.17467876718483258"/>
    <d v="2023-01-20T00:00:00"/>
    <n v="6"/>
    <n v="0"/>
  </r>
  <r>
    <s v="ORD-2023-276806"/>
    <d v="2023-03-04T00:00:00"/>
    <d v="2023-03-04T00:00:00"/>
    <s v="Q1 -2023"/>
    <d v="2023-03-24T00:00:00"/>
    <d v="2023-03-24T00:00:00"/>
    <n v="20"/>
    <x v="2"/>
    <s v="Canada"/>
    <s v="Montreal"/>
    <s v="Americas&gt;Canada&gt;Montreal"/>
    <s v="Consumer"/>
    <s v="Distributor"/>
    <x v="9"/>
    <s v="Laptops"/>
    <s v="LAP-6160"/>
    <n v="481.71"/>
    <n v="912.45"/>
    <n v="912.45"/>
    <s v="Medium"/>
    <n v="0.20300000000000001"/>
    <n v="0.20300000000000001"/>
    <n v="24"/>
    <n v="17453.3436"/>
    <n v="11561.039999999999"/>
    <n v="5892.3036000000011"/>
    <n v="0.33760313983619739"/>
    <d v="2023-01-02T00:00:00"/>
    <n v="2"/>
    <n v="1"/>
  </r>
  <r>
    <s v="ORD-2023-281890"/>
    <d v="2023-03-13T00:00:00"/>
    <d v="2023-03-13T00:00:00"/>
    <s v="Q1 -2023"/>
    <d v="2023-04-04T00:00:00"/>
    <d v="2023-04-04T00:00:00"/>
    <n v="22"/>
    <x v="1"/>
    <s v="South Africa"/>
    <s v="Durban"/>
    <s v="Africa&gt;South Africa&gt;Durban"/>
    <s v="Small Business"/>
    <s v="Retail"/>
    <x v="0"/>
    <s v="Components"/>
    <s v="CMP-2574"/>
    <n v="1113.7"/>
    <n v="1620.6"/>
    <n v="1620.6"/>
    <s v="High"/>
    <n v="0.13900000000000001"/>
    <n v="0.13900000000000001"/>
    <n v="11"/>
    <n v="15348.702599999999"/>
    <n v="12250.7"/>
    <n v="3098.002599999998"/>
    <n v="0.20184133348182787"/>
    <d v="2023-01-07T00:00:00"/>
    <n v="2"/>
    <n v="0"/>
  </r>
  <r>
    <s v="ORD-2023-286720"/>
    <d v="2023-07-08T00:00:00"/>
    <d v="2023-07-08T00:00:00"/>
    <s v="Q3 -2023"/>
    <d v="2023-07-09T00:00:00"/>
    <d v="2023-07-09T00:00:00"/>
    <n v="1"/>
    <x v="1"/>
    <s v="Kenya"/>
    <s v="Nairobi"/>
    <s v="Africa&gt;Kenya&gt;Nairobi"/>
    <s v="Consumer"/>
    <s v="Online"/>
    <x v="6"/>
    <s v="Laptops"/>
    <s v="LAP-1989"/>
    <n v="1258.72"/>
    <n v="2797.41"/>
    <n v="2797.41"/>
    <s v="High"/>
    <n v="0"/>
    <n v="0"/>
    <n v="7"/>
    <n v="19581.87"/>
    <n v="8811.0400000000009"/>
    <n v="10770.829999999998"/>
    <n v="0.55004093071805704"/>
    <d v="2023-01-20T00:00:00"/>
    <n v="5"/>
    <n v="0"/>
  </r>
  <r>
    <s v="ORD-2023-286994"/>
    <d v="2023-02-24T00:00:00"/>
    <d v="2023-02-24T00:00:00"/>
    <s v="Q1 -2023"/>
    <d v="2023-03-09T00:00:00"/>
    <d v="2023-03-09T00:00:00"/>
    <n v="13"/>
    <x v="2"/>
    <s v="USA"/>
    <s v="New York"/>
    <s v="Americas&gt;USA&gt;New York"/>
    <s v="Enterprise"/>
    <s v="Online"/>
    <x v="8"/>
    <s v="Components"/>
    <s v="CMP-1632"/>
    <n v="6.85"/>
    <n v="10.18"/>
    <n v="10.18"/>
    <s v="Low"/>
    <n v="4.7E-2"/>
    <n v="4.7E-2"/>
    <n v="10"/>
    <n v="97.0154"/>
    <n v="68.5"/>
    <n v="28.5154"/>
    <n v="0.2939265312517394"/>
    <d v="2023-01-13T00:00:00"/>
    <n v="1"/>
    <n v="0"/>
  </r>
  <r>
    <s v="ORD-2023-290237"/>
    <d v="2023-07-30T00:00:00"/>
    <d v="2023-07-30T00:00:00"/>
    <s v="Q3 -2023"/>
    <d v="2023-08-07T00:00:00"/>
    <d v="2023-08-07T00:00:00"/>
    <n v="8"/>
    <x v="0"/>
    <s v="Japan"/>
    <s v="Nagoya"/>
    <s v="Asia&gt;Japan&gt;Nagoya"/>
    <s v="Education"/>
    <s v="Marketplace"/>
    <x v="0"/>
    <s v="Networking"/>
    <s v="NET-1645"/>
    <n v="1352.44"/>
    <n v="2698.01"/>
    <n v="2698.01"/>
    <s v="High"/>
    <n v="0.13100000000000001"/>
    <n v="0.13100000000000001"/>
    <n v="13"/>
    <n v="30479.418970000002"/>
    <n v="17581.72"/>
    <n v="12897.698970000001"/>
    <n v="0.42316091992090887"/>
    <d v="2023-03-03T00:00:00"/>
    <n v="4"/>
    <n v="0"/>
  </r>
  <r>
    <s v="ORD-2023-290279"/>
    <d v="2023-06-14T00:00:00"/>
    <d v="2023-06-14T00:00:00"/>
    <s v="Q2 -2023"/>
    <d v="2023-06-16T00:00:00"/>
    <d v="2023-06-16T00:00:00"/>
    <n v="2"/>
    <x v="3"/>
    <s v="United Kingdom"/>
    <s v="Manchester"/>
    <s v="Europe&gt;United Kingdom&gt;Manchester"/>
    <s v="Non-Profit"/>
    <s v="Direct"/>
    <x v="4"/>
    <s v="Components"/>
    <s v="CMP-5820"/>
    <n v="357.36"/>
    <n v="703.62"/>
    <n v="703.62"/>
    <s v="Low"/>
    <n v="0.25700000000000001"/>
    <n v="0.25700000000000001"/>
    <n v="20"/>
    <n v="10455.7932"/>
    <n v="7147.2000000000007"/>
    <n v="3308.5931999999993"/>
    <n v="0.31643636563125593"/>
    <d v="2023-01-19T00:00:00"/>
    <n v="4"/>
    <n v="1"/>
  </r>
  <r>
    <s v="ORD-2023-292714"/>
    <d v="2023-07-10T00:00:00"/>
    <d v="2023-07-10T00:00:00"/>
    <s v="Q3 -2023"/>
    <d v="2023-08-01T00:00:00"/>
    <d v="2023-08-01T00:00:00"/>
    <n v="22"/>
    <x v="3"/>
    <s v="France"/>
    <s v="Marseille"/>
    <s v="Europe&gt;France&gt;Marseille"/>
    <s v="Consumer"/>
    <s v="Marketplace"/>
    <x v="12"/>
    <s v="Printers"/>
    <s v="PRN-1504"/>
    <n v="1303.56"/>
    <n v="1791.37"/>
    <n v="1791.37"/>
    <s v="High"/>
    <n v="0.126"/>
    <n v="0.126"/>
    <n v="22"/>
    <n v="34444.462359999998"/>
    <n v="28678.32"/>
    <n v="5766.142359999998"/>
    <n v="0.16740404596055358"/>
    <d v="2023-01-10T00:00:00"/>
    <n v="6"/>
    <n v="0"/>
  </r>
  <r>
    <s v="ORD-2023-294716"/>
    <d v="2023-04-10T00:00:00"/>
    <d v="2023-04-10T00:00:00"/>
    <s v="Q2 -2023"/>
    <d v="2023-04-25T00:00:00"/>
    <d v="2023-04-25T00:00:00"/>
    <n v="15"/>
    <x v="3"/>
    <s v="United Kingdom"/>
    <s v="London"/>
    <s v="Europe&gt;United Kingdom&gt;London"/>
    <s v="Small Business"/>
    <s v="Retail"/>
    <x v="6"/>
    <s v="Printers"/>
    <s v="PRN-5067"/>
    <n v="405.66"/>
    <n v="962.51"/>
    <n v="962.51"/>
    <s v="Medium"/>
    <n v="0.19"/>
    <n v="0.19"/>
    <n v="7"/>
    <n v="5457.4317000000001"/>
    <n v="2839.6200000000003"/>
    <n v="2617.8116999999997"/>
    <n v="0.47967832561239376"/>
    <d v="2023-01-19T00:00:00"/>
    <n v="2"/>
    <n v="0"/>
  </r>
  <r>
    <s v="ORD-2023-302041"/>
    <d v="2023-10-04T00:00:00"/>
    <d v="2023-10-04T00:00:00"/>
    <s v="Q4 -2023"/>
    <d v="2023-10-29T00:00:00"/>
    <d v="2023-10-29T00:00:00"/>
    <n v="25"/>
    <x v="2"/>
    <s v="USA"/>
    <s v="San Francisco"/>
    <s v="Americas&gt;USA&gt;San Francisco"/>
    <s v="Small Business"/>
    <s v="Distributor"/>
    <x v="2"/>
    <s v="Accessories"/>
    <s v="ACC-5079"/>
    <n v="1239.8399999999999"/>
    <n v="1482.75"/>
    <n v="1482.75"/>
    <s v="Medium"/>
    <n v="6.7000000000000004E-2"/>
    <n v="6.7000000000000004E-2"/>
    <n v="4"/>
    <n v="5533.6230000000005"/>
    <n v="4959.3599999999997"/>
    <n v="574.26300000000083"/>
    <n v="0.10377703721413634"/>
    <d v="2023-01-13T00:00:00"/>
    <n v="8"/>
    <n v="0"/>
  </r>
  <r>
    <s v="ORD-2023-304451"/>
    <d v="2023-10-07T00:00:00"/>
    <d v="2023-10-07T00:00:00"/>
    <s v="Q4 -2023"/>
    <d v="2023-10-23T00:00:00"/>
    <d v="2023-10-23T00:00:00"/>
    <n v="16"/>
    <x v="0"/>
    <s v="India"/>
    <s v="Hyderabad"/>
    <s v="Asia&gt;India&gt;Hyderabad"/>
    <s v="Consumer"/>
    <s v="Retail"/>
    <x v="10"/>
    <s v="Monitors"/>
    <s v="MON-7602"/>
    <n v="906.81"/>
    <n v="1395.56"/>
    <n v="1395.56"/>
    <s v="Medium"/>
    <n v="0.185"/>
    <n v="0.185"/>
    <n v="6"/>
    <n v="6824.2884000000004"/>
    <n v="5440.86"/>
    <n v="1383.4284000000007"/>
    <n v="0.20272126834498974"/>
    <d v="2023-01-29T00:00:00"/>
    <n v="8"/>
    <n v="0"/>
  </r>
  <r>
    <s v="ORD-2023-308124"/>
    <d v="2023-04-19T00:00:00"/>
    <d v="2023-04-19T00:00:00"/>
    <s v="Q2 -2023"/>
    <d v="2023-04-30T00:00:00"/>
    <d v="2023-04-30T00:00:00"/>
    <n v="11"/>
    <x v="0"/>
    <s v="India"/>
    <s v="Delhi"/>
    <s v="Asia&gt;India&gt;Delhi"/>
    <s v="Small Business"/>
    <s v="Retail"/>
    <x v="0"/>
    <s v="Networking"/>
    <s v="NET-2062"/>
    <n v="826.55"/>
    <n v="1397.05"/>
    <n v="1397.05"/>
    <s v="Medium"/>
    <n v="0.16900000000000001"/>
    <n v="0.16900000000000001"/>
    <n v="28"/>
    <n v="32506.559399999998"/>
    <n v="23143.399999999998"/>
    <n v="9363.1594000000005"/>
    <n v="0.28803907804527601"/>
    <d v="2023-01-29T00:00:00"/>
    <n v="2"/>
    <n v="0"/>
  </r>
  <r>
    <s v="ORD-2023-309373"/>
    <d v="2023-07-05T00:00:00"/>
    <d v="2023-07-05T00:00:00"/>
    <s v="Q3 -2023"/>
    <d v="2023-07-14T00:00:00"/>
    <d v="2023-07-14T00:00:00"/>
    <n v="9"/>
    <x v="2"/>
    <s v="Brazil"/>
    <s v="Brasília"/>
    <s v="Americas&gt;Brazil&gt;Brasília"/>
    <s v="Enterprise"/>
    <s v="Direct"/>
    <x v="12"/>
    <s v="Networking"/>
    <s v="NET-2394"/>
    <n v="578.85"/>
    <n v="998.76"/>
    <n v="998.76"/>
    <s v="Medium"/>
    <n v="8.2000000000000003E-2"/>
    <n v="8.2000000000000003E-2"/>
    <n v="28"/>
    <n v="25672.127039999999"/>
    <n v="16207.800000000001"/>
    <n v="9464.3270399999983"/>
    <n v="0.36866158480960831"/>
    <d v="2023-01-29T00:00:00"/>
    <n v="5"/>
    <n v="0"/>
  </r>
  <r>
    <s v="ORD-2023-334213"/>
    <d v="2023-08-19T00:00:00"/>
    <d v="2023-08-19T00:00:00"/>
    <s v="Q3 -2023"/>
    <d v="2023-08-23T00:00:00"/>
    <d v="2023-08-23T00:00:00"/>
    <n v="4"/>
    <x v="1"/>
    <s v="Nigeria"/>
    <s v="Abuja"/>
    <s v="Africa&gt;Nigeria&gt;Abuja"/>
    <s v="Small Business"/>
    <s v="Online"/>
    <x v="5"/>
    <s v="Monitors"/>
    <s v="MON-5517"/>
    <n v="790.63"/>
    <n v="1382.31"/>
    <n v="1382.31"/>
    <s v="Medium"/>
    <n v="0.10100000000000001"/>
    <n v="0.10100000000000001"/>
    <n v="7"/>
    <n v="8698.8768300000011"/>
    <n v="5534.41"/>
    <n v="3164.4668300000012"/>
    <n v="0.36377878338116448"/>
    <d v="2023-01-15T00:00:00"/>
    <n v="7"/>
    <n v="0"/>
  </r>
  <r>
    <s v="ORD-2023-340056"/>
    <d v="2023-04-26T00:00:00"/>
    <d v="2023-04-26T00:00:00"/>
    <s v="Q2 -2023"/>
    <d v="2023-04-26T00:00:00"/>
    <d v="2023-04-26T00:00:00"/>
    <n v="0"/>
    <x v="3"/>
    <s v="France"/>
    <s v="Marseille"/>
    <s v="Europe&gt;France&gt;Marseille"/>
    <s v="Consumer"/>
    <s v="Direct"/>
    <x v="8"/>
    <s v="Components"/>
    <s v="CMP-4945"/>
    <n v="81.489999999999995"/>
    <n v="113.08"/>
    <n v="113.08"/>
    <s v="Low"/>
    <n v="0.121"/>
    <n v="0.121"/>
    <n v="5"/>
    <n v="496.98660000000001"/>
    <n v="407.45"/>
    <n v="89.536600000000021"/>
    <n v="0.18015898215364362"/>
    <d v="2023-01-10T00:00:00"/>
    <n v="3"/>
    <n v="0"/>
  </r>
  <r>
    <s v="ORD-2023-343322"/>
    <d v="2023-08-19T00:00:00"/>
    <d v="2023-08-19T00:00:00"/>
    <s v="Q3 -2023"/>
    <d v="2023-09-12T00:00:00"/>
    <d v="2023-09-12T00:00:00"/>
    <n v="24"/>
    <x v="2"/>
    <s v="Canada"/>
    <s v="Vancouver"/>
    <s v="Americas&gt;Canada&gt;Vancouver"/>
    <s v="Enterprise"/>
    <s v="Retail"/>
    <x v="9"/>
    <s v="Printers"/>
    <s v="PRN-9669"/>
    <n v="1183.95"/>
    <n v="1503.53"/>
    <n v="1503.53"/>
    <s v="Medium"/>
    <n v="0.24099999999999999"/>
    <n v="0.24099999999999999"/>
    <n v="16"/>
    <n v="18258.868320000001"/>
    <n v="18943.2"/>
    <n v="-684.33167999999932"/>
    <n v="-3.7479413729623705E-2"/>
    <d v="2023-01-02T00:00:00"/>
    <n v="7"/>
    <n v="1"/>
  </r>
  <r>
    <s v="ORD-2023-349264"/>
    <d v="2023-06-01T00:00:00"/>
    <d v="2023-06-01T00:00:00"/>
    <s v="Q2 -2023"/>
    <d v="2023-06-08T00:00:00"/>
    <d v="2023-06-08T00:00:00"/>
    <n v="7"/>
    <x v="3"/>
    <s v="Germany"/>
    <s v="Frankfurt"/>
    <s v="Europe&gt;Germany&gt;Frankfurt"/>
    <s v="Consumer"/>
    <s v="Online"/>
    <x v="0"/>
    <s v="Phones"/>
    <s v="PHN-1924"/>
    <n v="804.17"/>
    <n v="1072.29"/>
    <n v="1072.29"/>
    <s v="Medium"/>
    <n v="3.2000000000000001E-2"/>
    <n v="3.2000000000000001E-2"/>
    <n v="5"/>
    <n v="5189.8836000000001"/>
    <n v="4020.85"/>
    <n v="1169.0336000000002"/>
    <n v="0.2252523736755869"/>
    <d v="2023-01-22T00:00:00"/>
    <n v="4"/>
    <n v="0"/>
  </r>
  <r>
    <s v="ORD-2023-356427"/>
    <d v="2023-04-13T00:00:00"/>
    <d v="2023-04-13T00:00:00"/>
    <s v="Q2 -2023"/>
    <d v="2023-05-02T00:00:00"/>
    <d v="2023-05-02T00:00:00"/>
    <n v="19"/>
    <x v="2"/>
    <s v="Canada"/>
    <s v="Montreal"/>
    <s v="Americas&gt;Canada&gt;Montreal"/>
    <s v="Consumer"/>
    <s v="Distributor"/>
    <x v="1"/>
    <s v="Monitors"/>
    <s v="MON-6053"/>
    <n v="671.05"/>
    <n v="1645.48"/>
    <n v="1645.48"/>
    <s v="High"/>
    <n v="0.13700000000000001"/>
    <n v="0.13700000000000001"/>
    <n v="6"/>
    <n v="8520.2954399999999"/>
    <n v="4026.2999999999997"/>
    <n v="4493.9954400000006"/>
    <n v="0.52744596377517172"/>
    <d v="2023-01-02T00:00:00"/>
    <n v="3"/>
    <n v="0"/>
  </r>
  <r>
    <s v="ORD-2023-363031"/>
    <d v="2023-05-06T00:00:00"/>
    <d v="2023-05-06T00:00:00"/>
    <s v="Q2 -2023"/>
    <d v="2023-05-14T00:00:00"/>
    <d v="2023-05-14T00:00:00"/>
    <n v="8"/>
    <x v="0"/>
    <s v="Japan"/>
    <s v="Osaka"/>
    <s v="Asia&gt;Japan&gt;Osaka"/>
    <s v="Enterprise"/>
    <s v="Marketplace"/>
    <x v="12"/>
    <s v="Phones"/>
    <s v="PHN-6131"/>
    <n v="291.18"/>
    <n v="479.54"/>
    <n v="479.54"/>
    <s v="Low"/>
    <n v="0.14099999999999999"/>
    <n v="0.14099999999999999"/>
    <n v="22"/>
    <n v="9062.34692"/>
    <n v="6405.96"/>
    <n v="2656.3869199999999"/>
    <n v="0.29312350801066001"/>
    <d v="2023-03-03T00:00:00"/>
    <n v="2"/>
    <n v="0"/>
  </r>
  <r>
    <s v="ORD-2023-368449"/>
    <d v="2023-10-09T00:00:00"/>
    <d v="2023-10-09T00:00:00"/>
    <s v="Q4 -2023"/>
    <d v="2023-10-26T00:00:00"/>
    <d v="2023-10-26T00:00:00"/>
    <n v="17"/>
    <x v="0"/>
    <s v="China"/>
    <s v="Shanghai"/>
    <s v="Asia&gt;China&gt;Shanghai"/>
    <s v="Consumer"/>
    <s v="Marketplace"/>
    <x v="14"/>
    <s v="Components"/>
    <s v="CMP-2096"/>
    <n v="1132.03"/>
    <n v="2137.21"/>
    <n v="2137.21"/>
    <s v="High"/>
    <n v="0.35699999999999998"/>
    <n v="0.3"/>
    <n v="35"/>
    <n v="52361.645000000004"/>
    <n v="39621.049999999996"/>
    <n v="12740.595000000008"/>
    <n v="0.24331922727026639"/>
    <d v="2023-01-12T00:00:00"/>
    <n v="8"/>
    <n v="1"/>
  </r>
  <r>
    <s v="ORD-2023-369150"/>
    <d v="2023-07-18T00:00:00"/>
    <d v="2023-07-18T00:00:00"/>
    <s v="Q3 -2023"/>
    <d v="2023-08-10T00:00:00"/>
    <d v="2023-08-10T00:00:00"/>
    <n v="23"/>
    <x v="1"/>
    <s v="South Africa"/>
    <s v="Johannesburg"/>
    <s v="Africa&gt;South Africa&gt;Johannesburg"/>
    <s v="Small Business"/>
    <s v="Retail"/>
    <x v="11"/>
    <s v="Components"/>
    <s v="CMP-8659"/>
    <n v="1271.56"/>
    <n v="995.47"/>
    <n v="995.47"/>
    <s v="Medium"/>
    <n v="0.192"/>
    <n v="0.192"/>
    <n v="13"/>
    <n v="10456.416880000001"/>
    <n v="16530.28"/>
    <n v="-6073.8631199999982"/>
    <n v="-0.58087423155607754"/>
    <d v="2023-01-07T00:00:00"/>
    <n v="6"/>
    <n v="0"/>
  </r>
  <r>
    <s v="ORD-2023-369160"/>
    <d v="2023-07-24T00:00:00"/>
    <d v="2023-07-24T00:00:00"/>
    <s v="Q3 -2023"/>
    <d v="2023-08-13T00:00:00"/>
    <d v="2023-08-13T00:00:00"/>
    <n v="20"/>
    <x v="2"/>
    <s v="Canada"/>
    <s v="Montreal"/>
    <s v="Americas&gt;Canada&gt;Montreal"/>
    <s v="Education"/>
    <s v="Direct"/>
    <x v="14"/>
    <s v="Monitors"/>
    <s v="MON-3307"/>
    <n v="1082.3800000000001"/>
    <n v="1766.55"/>
    <n v="1766.55"/>
    <s v="High"/>
    <n v="0.16400000000000001"/>
    <n v="0.16400000000000001"/>
    <n v="20"/>
    <n v="29536.716"/>
    <n v="21647.600000000002"/>
    <n v="7889.1159999999982"/>
    <n v="0.26709523157550752"/>
    <d v="2023-01-02T00:00:00"/>
    <n v="6"/>
    <n v="0"/>
  </r>
  <r>
    <s v="ORD-2023-373538"/>
    <d v="2023-02-28T00:00:00"/>
    <d v="2023-02-28T00:00:00"/>
    <s v="Q1 -2023"/>
    <d v="2023-03-25T00:00:00"/>
    <d v="2023-03-25T00:00:00"/>
    <n v="25"/>
    <x v="1"/>
    <s v="Kenya"/>
    <s v="Nairobi"/>
    <s v="Africa&gt;Kenya&gt;Nairobi"/>
    <s v="Corporate"/>
    <s v="Retail"/>
    <x v="9"/>
    <s v="Networking"/>
    <s v="NET-9666"/>
    <n v="1460.76"/>
    <n v="-30.66"/>
    <n v="30.66"/>
    <s v="Low"/>
    <n v="0.13100000000000001"/>
    <n v="0.13100000000000001"/>
    <n v="12"/>
    <n v="319.72248000000002"/>
    <n v="17529.12"/>
    <n v="-17209.397519999999"/>
    <n v="-53.826047890032626"/>
    <d v="2023-01-20T00:00:00"/>
    <n v="1"/>
    <n v="0"/>
  </r>
  <r>
    <s v="ORD-2023-374486"/>
    <d v="2023-06-24T00:00:00"/>
    <d v="2023-06-24T00:00:00"/>
    <s v="Q2 -2023"/>
    <d v="2023-06-23T00:00:00"/>
    <d v="2023-06-30T00:00:00"/>
    <n v="6"/>
    <x v="2"/>
    <s v="Brazil"/>
    <s v="Rio de Janeiro"/>
    <s v="Americas&gt;Brazil&gt;Rio de Janeiro"/>
    <s v="Non-Profit"/>
    <s v="Retail"/>
    <x v="1"/>
    <s v="Printers"/>
    <s v="PRN-6490"/>
    <n v="804.01"/>
    <n v="1405.07"/>
    <n v="1405.07"/>
    <s v="Medium"/>
    <n v="9.6000000000000002E-2"/>
    <n v="9.6000000000000002E-2"/>
    <n v="8"/>
    <n v="10161.46624"/>
    <n v="6432.08"/>
    <n v="3729.3862399999998"/>
    <n v="0.36701260939287439"/>
    <d v="2023-01-29T00:00:00"/>
    <n v="4"/>
    <n v="0"/>
  </r>
  <r>
    <s v="ORD-2023-375011"/>
    <d v="2023-08-23T00:00:00"/>
    <d v="2023-08-23T00:00:00"/>
    <s v="Q3 -2023"/>
    <d v="2023-09-22T00:00:00"/>
    <d v="2023-09-22T00:00:00"/>
    <n v="30"/>
    <x v="3"/>
    <s v="United Kingdom"/>
    <s v="London"/>
    <s v="Europe&gt;United Kingdom&gt;London"/>
    <s v="Consumer"/>
    <s v="Distributor"/>
    <x v="2"/>
    <s v="Accessories"/>
    <s v="ACC-1492"/>
    <n v="209.81"/>
    <n v="523"/>
    <n v="523"/>
    <s v="Low"/>
    <n v="5.8999999999999997E-2"/>
    <n v="5.8999999999999997E-2"/>
    <n v="15"/>
    <n v="7382.1450000000004"/>
    <n v="3147.15"/>
    <n v="4234.9950000000008"/>
    <n v="0.57368082041195356"/>
    <d v="2023-01-19T00:00:00"/>
    <n v="7"/>
    <n v="0"/>
  </r>
  <r>
    <s v="ORD-2023-378104"/>
    <d v="2023-10-18T00:00:00"/>
    <d v="2023-10-18T00:00:00"/>
    <s v="Q4 -2023"/>
    <d v="2023-10-20T00:00:00"/>
    <d v="2023-10-20T00:00:00"/>
    <n v="2"/>
    <x v="1"/>
    <s v="Kenya"/>
    <s v="Kisumu"/>
    <s v="Africa&gt;Kenya&gt;Kisumu"/>
    <s v="Consumer"/>
    <s v="Retail"/>
    <x v="5"/>
    <s v="Phones"/>
    <s v="PHN-8891"/>
    <n v="774.12"/>
    <n v="908.3"/>
    <n v="908.3"/>
    <s v="Medium"/>
    <n v="0"/>
    <n v="0"/>
    <n v="30"/>
    <n v="27249"/>
    <n v="23223.599999999999"/>
    <n v="4025.4000000000015"/>
    <n v="0.14772652207420461"/>
    <d v="2023-01-20T00:00:00"/>
    <n v="8"/>
    <n v="0"/>
  </r>
  <r>
    <s v="ORD-2023-378676"/>
    <d v="2023-05-03T00:00:00"/>
    <d v="2023-05-03T00:00:00"/>
    <s v="Q2 -2023"/>
    <d v="2023-05-16T00:00:00"/>
    <d v="2023-05-16T00:00:00"/>
    <n v="13"/>
    <x v="2"/>
    <s v="USA"/>
    <s v="New York"/>
    <s v="Americas&gt;USA&gt;New York"/>
    <s v="Corporate"/>
    <s v="Marketplace"/>
    <x v="11"/>
    <s v="Phones"/>
    <s v="PHN-5366"/>
    <n v="64.5"/>
    <n v="123.62"/>
    <n v="123.62"/>
    <s v="Low"/>
    <n v="0"/>
    <n v="0"/>
    <n v="3"/>
    <n v="370.86"/>
    <n v="193.5"/>
    <n v="177.36"/>
    <n v="0.47823976702798904"/>
    <d v="2023-01-13T00:00:00"/>
    <n v="3"/>
    <n v="0"/>
  </r>
  <r>
    <s v="ORD-2023-382017"/>
    <d v="2023-01-13T00:00:00"/>
    <d v="2023-01-13T00:00:00"/>
    <s v="Q1 -2023"/>
    <d v="2023-01-19T00:00:00"/>
    <d v="2023-01-19T00:00:00"/>
    <n v="6"/>
    <x v="2"/>
    <s v="USA"/>
    <s v="Chicago"/>
    <s v="Americas&gt;USA&gt;Chicago"/>
    <s v="Corporate"/>
    <s v="Direct"/>
    <x v="7"/>
    <s v="Phones"/>
    <s v="PHN-3159"/>
    <n v="833.57"/>
    <n v="881.57"/>
    <n v="881.57"/>
    <s v="Medium"/>
    <n v="5.7000000000000002E-2"/>
    <n v="5.7000000000000002E-2"/>
    <n v="18"/>
    <n v="14963.769179999999"/>
    <n v="15004.26"/>
    <n v="-40.490820000000895"/>
    <n v="-2.7059238560107821E-3"/>
    <d v="2023-01-13T00:00:00"/>
    <n v="0"/>
    <n v="0"/>
  </r>
  <r>
    <s v="ORD-2023-382272"/>
    <d v="2023-05-20T00:00:00"/>
    <d v="2023-05-20T00:00:00"/>
    <s v="Q2 -2023"/>
    <d v="2023-05-18T00:00:00"/>
    <d v="2023-05-25T00:00:00"/>
    <n v="5"/>
    <x v="1"/>
    <s v="South Africa"/>
    <s v="Durban"/>
    <s v="Africa&gt;South Africa&gt;Durban"/>
    <s v="Corporate"/>
    <s v="Distributor"/>
    <x v="0"/>
    <s v="Components"/>
    <s v="CMP-5208"/>
    <n v="917.88"/>
    <n v="1347.92"/>
    <n v="1347.92"/>
    <s v="Medium"/>
    <n v="0.34300000000000003"/>
    <n v="0.3"/>
    <n v="5"/>
    <n v="4717.72"/>
    <n v="4589.3999999999996"/>
    <n v="128.32000000000062"/>
    <n v="2.7199579457873848E-2"/>
    <d v="2023-01-07T00:00:00"/>
    <n v="4"/>
    <n v="1"/>
  </r>
  <r>
    <s v="ORD-2023-386663"/>
    <d v="2023-06-05T00:00:00"/>
    <d v="2023-06-05T00:00:00"/>
    <s v="Q2 -2023"/>
    <d v="2023-06-28T00:00:00"/>
    <d v="2023-06-28T00:00:00"/>
    <n v="23"/>
    <x v="3"/>
    <s v="United Kingdom"/>
    <s v="Birmingham"/>
    <s v="Europe&gt;United Kingdom&gt;Birmingham"/>
    <s v="Corporate"/>
    <s v="Direct"/>
    <x v="4"/>
    <s v="Printers"/>
    <s v="PRN-3690"/>
    <n v="605.82000000000005"/>
    <n v="771.12"/>
    <n v="771.12"/>
    <s v="Low"/>
    <n v="0.13200000000000001"/>
    <n v="0.13200000000000001"/>
    <n v="19"/>
    <n v="12717.311040000001"/>
    <n v="11510.580000000002"/>
    <n v="1206.7310399999988"/>
    <n v="9.4888851597986767E-2"/>
    <d v="2023-01-19T00:00:00"/>
    <n v="4"/>
    <n v="0"/>
  </r>
  <r>
    <s v="ORD-2023-390998"/>
    <d v="2023-04-19T00:00:00"/>
    <d v="2023-04-19T00:00:00"/>
    <s v="Q2 -2023"/>
    <d v="2023-04-28T00:00:00"/>
    <d v="2023-04-28T00:00:00"/>
    <n v="9"/>
    <x v="3"/>
    <s v="Germany"/>
    <s v="Berlin"/>
    <s v="Europe&gt;Germany&gt;Berlin"/>
    <s v="Education"/>
    <s v="Online"/>
    <x v="1"/>
    <s v="Monitors"/>
    <s v="MON-1663"/>
    <n v="1178.42"/>
    <n v="2446.56"/>
    <n v="2446.56"/>
    <s v="High"/>
    <n v="2.9000000000000001E-2"/>
    <n v="2.9000000000000001E-2"/>
    <n v="11"/>
    <n v="26131.70736"/>
    <n v="12962.62"/>
    <n v="13169.08736"/>
    <n v="0.5039505141618883"/>
    <d v="2023-01-22T00:00:00"/>
    <n v="2"/>
    <n v="0"/>
  </r>
  <r>
    <s v="ORD-2023-399631"/>
    <d v="2023-06-22T00:00:00"/>
    <d v="2023-06-22T00:00:00"/>
    <s v="Q2 -2023"/>
    <d v="2023-07-21T00:00:00"/>
    <d v="2023-07-21T00:00:00"/>
    <n v="29"/>
    <x v="3"/>
    <s v="France"/>
    <s v="Lyon"/>
    <s v="Europe&gt;France&gt;Lyon"/>
    <s v="Corporate"/>
    <s v="Retail"/>
    <x v="5"/>
    <s v="Accessories"/>
    <s v="ACC-3385"/>
    <n v="734.34"/>
    <n v="887.9"/>
    <n v="887.9"/>
    <s v="Medium"/>
    <n v="2.5000000000000001E-2"/>
    <n v="2.5000000000000001E-2"/>
    <n v="12"/>
    <n v="10388.429999999998"/>
    <n v="8812.08"/>
    <n v="1576.3499999999985"/>
    <n v="0.15174092716608753"/>
    <d v="2023-01-10T00:00:00"/>
    <n v="5"/>
    <n v="0"/>
  </r>
  <r>
    <s v="ORD-2023-406606"/>
    <d v="2023-10-25T00:00:00"/>
    <d v="2023-10-25T00:00:00"/>
    <s v="Q4 -2023"/>
    <d v="2023-10-28T00:00:00"/>
    <d v="2023-10-28T00:00:00"/>
    <n v="3"/>
    <x v="2"/>
    <s v="Brazil"/>
    <s v="Brasília"/>
    <s v="Americas&gt;Brazil&gt;Brasília"/>
    <s v="Corporate"/>
    <s v="Distributor"/>
    <x v="11"/>
    <s v="Accessories"/>
    <s v="ACC-2867"/>
    <n v="509.31"/>
    <n v="1145.9000000000001"/>
    <n v="1145.9000000000001"/>
    <s v="Medium"/>
    <n v="5.7000000000000002E-2"/>
    <n v="5.7000000000000002E-2"/>
    <n v="8"/>
    <n v="8644.6696000000011"/>
    <n v="4074.48"/>
    <n v="4570.1896000000015"/>
    <n v="0.52867140231709964"/>
    <d v="2023-01-29T00:00:00"/>
    <n v="8"/>
    <n v="0"/>
  </r>
  <r>
    <s v="ORD-2023-419187"/>
    <d v="2023-03-31T00:00:00"/>
    <d v="2023-03-31T00:00:00"/>
    <s v="Q1 -2023"/>
    <d v="2023-04-05T00:00:00"/>
    <d v="2023-04-05T00:00:00"/>
    <n v="5"/>
    <x v="1"/>
    <s v="Kenya"/>
    <s v="Nakuru"/>
    <s v="Africa&gt;Kenya&gt;Nakuru"/>
    <s v="Education"/>
    <s v="Marketplace"/>
    <x v="12"/>
    <s v="Laptops"/>
    <s v="LAP-7819"/>
    <n v="533.26"/>
    <n v="385.72"/>
    <n v="385.72"/>
    <s v="Low"/>
    <n v="0"/>
    <n v="0"/>
    <n v="15"/>
    <n v="5785.8"/>
    <n v="7998.9"/>
    <n v="-2213.0999999999995"/>
    <n v="-0.38250544436378708"/>
    <d v="2023-01-20T00:00:00"/>
    <n v="2"/>
    <n v="0"/>
  </r>
  <r>
    <s v="ORD-2023-422918"/>
    <d v="2023-02-28T00:00:00"/>
    <d v="2023-02-28T00:00:00"/>
    <s v="Q1 -2023"/>
    <d v="2023-03-20T00:00:00"/>
    <d v="2023-03-20T00:00:00"/>
    <n v="20"/>
    <x v="3"/>
    <s v="Germany"/>
    <s v="Berlin"/>
    <s v="Europe&gt;Germany&gt;Berlin"/>
    <s v="Small Business"/>
    <s v="Direct"/>
    <x v="7"/>
    <s v="Laptops"/>
    <s v="LAP-3679"/>
    <n v="1200.78"/>
    <n v="2001.17"/>
    <n v="2001.17"/>
    <s v="High"/>
    <n v="0.29199999999999998"/>
    <n v="0.29199999999999998"/>
    <n v="18"/>
    <n v="25502.910479999999"/>
    <n v="21614.04"/>
    <n v="3888.8704799999978"/>
    <n v="0.15248732034132906"/>
    <d v="2023-01-22T00:00:00"/>
    <n v="1"/>
    <n v="1"/>
  </r>
  <r>
    <s v="ORD-2023-427304"/>
    <d v="2023-06-09T00:00:00"/>
    <d v="2023-06-09T00:00:00"/>
    <s v="Q2 -2023"/>
    <d v="2023-06-19T00:00:00"/>
    <d v="2023-06-19T00:00:00"/>
    <n v="10"/>
    <x v="0"/>
    <s v="China"/>
    <s v="Beijing"/>
    <s v="Asia&gt;China&gt;Beijing"/>
    <s v="Enterprise"/>
    <s v="Retail"/>
    <x v="3"/>
    <s v="Monitors"/>
    <s v="MON-9194"/>
    <n v="339.61"/>
    <n v="621.02"/>
    <n v="621.02"/>
    <s v="Low"/>
    <n v="7.0999999999999994E-2"/>
    <n v="7.0999999999999994E-2"/>
    <n v="10"/>
    <n v="5769.2758000000003"/>
    <n v="3396.1000000000004"/>
    <n v="2373.1758"/>
    <n v="0.41134726129750981"/>
    <d v="2023-01-12T00:00:00"/>
    <n v="4"/>
    <n v="0"/>
  </r>
  <r>
    <s v="ORD-2023-430904"/>
    <d v="2023-01-27T00:00:00"/>
    <d v="2023-01-27T00:00:00"/>
    <s v="Q1 -2023"/>
    <d v="2023-01-31T00:00:00"/>
    <d v="2023-01-31T00:00:00"/>
    <n v="4"/>
    <x v="3"/>
    <s v="United Kingdom"/>
    <s v="Manchester"/>
    <s v="Europe&gt;United Kingdom&gt;Manchester"/>
    <s v="Enterprise"/>
    <s v="Online"/>
    <x v="13"/>
    <s v="Laptops"/>
    <s v="LAP-9782"/>
    <n v="941.2"/>
    <n v="668.02"/>
    <n v="668.02"/>
    <s v="Low"/>
    <n v="0.22"/>
    <n v="0.22"/>
    <n v="16"/>
    <n v="8336.8896000000004"/>
    <n v="15059.2"/>
    <n v="-6722.3104000000003"/>
    <n v="-0.80633314371825193"/>
    <d v="2023-01-19T00:00:00"/>
    <n v="0"/>
    <n v="1"/>
  </r>
  <r>
    <s v="ORD-2023-431328"/>
    <d v="2023-12-20T00:00:00"/>
    <d v="2023-12-20T00:00:00"/>
    <s v="Q4 -2023"/>
    <d v="2024-01-14T00:00:00"/>
    <d v="2024-01-14T00:00:00"/>
    <n v="25"/>
    <x v="0"/>
    <s v="India"/>
    <s v="Mumbai"/>
    <s v="Asia&gt;India&gt;Mumbai"/>
    <s v="Non-Profit"/>
    <s v="Marketplace"/>
    <x v="11"/>
    <s v="Monitors"/>
    <s v="MON-1572"/>
    <n v="1085.6099999999999"/>
    <n v="1246.4100000000001"/>
    <n v="1246.4100000000001"/>
    <s v="Medium"/>
    <n v="0.113"/>
    <n v="0.113"/>
    <n v="7"/>
    <n v="7738.9596900000006"/>
    <n v="7599.2699999999995"/>
    <n v="139.68969000000106"/>
    <n v="1.8050189637310417E-2"/>
    <d v="2023-01-29T00:00:00"/>
    <n v="10"/>
    <n v="0"/>
  </r>
  <r>
    <s v="ORD-2023-434071"/>
    <d v="2023-06-20T00:00:00"/>
    <d v="2023-06-20T00:00:00"/>
    <s v="Q2 -2023"/>
    <d v="2023-07-04T00:00:00"/>
    <d v="2023-07-04T00:00:00"/>
    <n v="14"/>
    <x v="2"/>
    <s v="Brazil"/>
    <s v="Brasília"/>
    <s v="Americas&gt;Brazil&gt;Brasília"/>
    <s v="Non-Profit"/>
    <s v="Direct"/>
    <x v="14"/>
    <s v="Networking"/>
    <s v="NET-1228"/>
    <n v="1292.8599999999999"/>
    <n v="2981.01"/>
    <n v="2981.01"/>
    <s v="High"/>
    <n v="0.14199999999999999"/>
    <n v="0.14199999999999999"/>
    <n v="12"/>
    <n v="30692.47896"/>
    <n v="15514.32"/>
    <n v="15178.158960000001"/>
    <n v="0.49452372288927687"/>
    <d v="2023-01-29T00:00:00"/>
    <n v="4"/>
    <n v="0"/>
  </r>
  <r>
    <s v="ORD-2023-450877"/>
    <d v="2023-09-21T00:00:00"/>
    <d v="2023-09-21T00:00:00"/>
    <s v="Q3 -2023"/>
    <d v="2023-10-10T00:00:00"/>
    <d v="2023-10-10T00:00:00"/>
    <n v="19"/>
    <x v="0"/>
    <s v="Japan"/>
    <s v="Tokyo"/>
    <s v="Asia&gt;Japan&gt;Tokyo"/>
    <s v="Education"/>
    <s v="Online"/>
    <x v="6"/>
    <s v="Components"/>
    <s v="CMP-5211"/>
    <n v="845.63"/>
    <n v="2062.12"/>
    <n v="2062.12"/>
    <s v="High"/>
    <n v="0.13400000000000001"/>
    <n v="0.13400000000000001"/>
    <n v="5"/>
    <n v="8928.9795999999988"/>
    <n v="4228.1499999999996"/>
    <n v="4700.8295999999991"/>
    <n v="0.52646884757133949"/>
    <d v="2023-03-03T00:00:00"/>
    <n v="6"/>
    <n v="0"/>
  </r>
  <r>
    <s v="ORD-2023-451931"/>
    <d v="2023-07-30T00:00:00"/>
    <d v="2023-07-30T00:00:00"/>
    <s v="Q3 -2023"/>
    <d v="2023-08-19T00:00:00"/>
    <d v="2023-08-19T00:00:00"/>
    <n v="20"/>
    <x v="3"/>
    <s v="France"/>
    <s v="Paris"/>
    <s v="Europe&gt;France&gt;Paris"/>
    <s v="Enterprise"/>
    <s v="Marketplace"/>
    <x v="10"/>
    <s v="Networking"/>
    <s v="NET-5423"/>
    <n v="1418.51"/>
    <n v="2789.61"/>
    <n v="2789.61"/>
    <s v="High"/>
    <n v="0.17100000000000001"/>
    <n v="0.17100000000000001"/>
    <n v="8"/>
    <n v="18500.693520000001"/>
    <n v="11348.08"/>
    <n v="7152.6135200000008"/>
    <n v="0.38661326464695689"/>
    <d v="2023-01-10T00:00:00"/>
    <n v="6"/>
    <n v="0"/>
  </r>
  <r>
    <s v="ORD-2023-453699"/>
    <d v="2023-07-01T00:00:00"/>
    <d v="2023-07-01T00:00:00"/>
    <s v="Q3 -2023"/>
    <d v="2023-07-08T00:00:00"/>
    <d v="2023-07-08T00:00:00"/>
    <n v="7"/>
    <x v="3"/>
    <s v="Germany"/>
    <s v="Frankfurt"/>
    <s v="Europe&gt;Germany&gt;Frankfurt"/>
    <s v="Small Business"/>
    <s v="Distributor"/>
    <x v="13"/>
    <s v="Laptops"/>
    <s v="LAP-4666"/>
    <n v="460.21"/>
    <n v="1139.1500000000001"/>
    <n v="1139.1500000000001"/>
    <s v="Medium"/>
    <n v="0.115"/>
    <n v="0.115"/>
    <n v="14"/>
    <n v="14114.068500000001"/>
    <n v="6442.94"/>
    <n v="7671.1285000000016"/>
    <n v="0.54350937151821255"/>
    <d v="2023-01-22T00:00:00"/>
    <n v="5"/>
    <n v="0"/>
  </r>
  <r>
    <s v="ORD-2023-455933"/>
    <d v="2023-11-19T00:00:00"/>
    <d v="2023-11-19T00:00:00"/>
    <s v="Q4 -2023"/>
    <d v="2023-12-19T00:00:00"/>
    <d v="2023-12-19T00:00:00"/>
    <n v="30"/>
    <x v="0"/>
    <s v="Japan"/>
    <s v="Nagoya"/>
    <s v="Asia&gt;Japan&gt;Nagoya"/>
    <s v="Consumer"/>
    <s v="Retail"/>
    <x v="15"/>
    <s v="Phones"/>
    <s v="PHN-9184"/>
    <n v="807.11"/>
    <n v="1853.86"/>
    <n v="1853.86"/>
    <s v="High"/>
    <n v="0.13900000000000001"/>
    <n v="0.13900000000000001"/>
    <n v="8"/>
    <n v="12769.38768"/>
    <n v="6456.88"/>
    <n v="6312.5076799999997"/>
    <n v="0.49434693645388639"/>
    <d v="2023-03-03T00:00:00"/>
    <n v="8"/>
    <n v="0"/>
  </r>
  <r>
    <s v="ORD-2023-472050"/>
    <d v="2023-05-10T00:00:00"/>
    <d v="2023-05-10T00:00:00"/>
    <s v="Q2 -2023"/>
    <d v="2023-05-27T00:00:00"/>
    <d v="2023-05-27T00:00:00"/>
    <n v="17"/>
    <x v="0"/>
    <s v="India"/>
    <s v="Mumbai"/>
    <s v="Asia&gt;India&gt;Mumbai"/>
    <s v="Consumer"/>
    <s v="Retail"/>
    <x v="8"/>
    <s v="Laptops"/>
    <s v="LAP-6499"/>
    <n v="1286.1600000000001"/>
    <n v="3101.11"/>
    <n v="3101.11"/>
    <s v="High"/>
    <n v="0.1"/>
    <n v="0.1"/>
    <n v="23"/>
    <n v="64192.976999999999"/>
    <n v="29581.68"/>
    <n v="34611.296999999999"/>
    <n v="0.53917575749758417"/>
    <d v="2023-01-29T00:00:00"/>
    <n v="3"/>
    <n v="0"/>
  </r>
  <r>
    <s v="ORD-2023-472078"/>
    <d v="2023-02-28T00:00:00"/>
    <d v="2023-02-28T00:00:00"/>
    <s v="Q1 -2023"/>
    <d v="2023-03-06T00:00:00"/>
    <d v="2023-03-06T00:00:00"/>
    <n v="6"/>
    <x v="3"/>
    <s v="Germany"/>
    <s v="Frankfurt"/>
    <s v="Europe&gt;Germany&gt;Frankfurt"/>
    <s v="Small Business"/>
    <s v="Marketplace"/>
    <x v="6"/>
    <s v="Printers"/>
    <s v="PRN-9624"/>
    <n v="880.02"/>
    <n v="1251.21"/>
    <n v="1251.21"/>
    <s v="Medium"/>
    <n v="0.123"/>
    <n v="0.123"/>
    <n v="29"/>
    <n v="31822.023930000003"/>
    <n v="25520.579999999998"/>
    <n v="6301.4439300000049"/>
    <n v="0.19802146915172672"/>
    <d v="2023-01-22T00:00:00"/>
    <n v="1"/>
    <n v="0"/>
  </r>
  <r>
    <s v="ORD-2023-474313"/>
    <d v="2023-10-05T00:00:00"/>
    <d v="2023-10-05T00:00:00"/>
    <s v="Q4 -2023"/>
    <d v="2023-10-06T00:00:00"/>
    <d v="2023-10-06T00:00:00"/>
    <n v="1"/>
    <x v="0"/>
    <s v="India"/>
    <s v="Bengaluru"/>
    <s v="Asia&gt;India&gt;Bengaluru"/>
    <s v="Non-Profit"/>
    <s v="Online"/>
    <x v="9"/>
    <s v="Components"/>
    <s v="CMP-4807"/>
    <n v="1470.26"/>
    <n v="2562.5500000000002"/>
    <n v="2562.5500000000002"/>
    <s v="High"/>
    <n v="0.17299999999999999"/>
    <n v="0.17299999999999999"/>
    <n v="9"/>
    <n v="19073.059649999999"/>
    <n v="13232.34"/>
    <n v="5840.7196499999991"/>
    <n v="0.30622877279157462"/>
    <d v="2023-01-29T00:00:00"/>
    <n v="8"/>
    <n v="0"/>
  </r>
  <r>
    <s v="ORD-2023-479747"/>
    <d v="2023-07-14T00:00:00"/>
    <d v="2023-07-14T00:00:00"/>
    <s v="Q3 -2023"/>
    <d v="2023-07-14T00:00:00"/>
    <d v="2023-07-14T00:00:00"/>
    <n v="0"/>
    <x v="1"/>
    <s v="Nigeria"/>
    <s v="Lagos"/>
    <s v="Africa&gt;Nigeria&gt;Lagos"/>
    <s v="Education"/>
    <s v="Retail"/>
    <x v="9"/>
    <s v="Accessories"/>
    <s v="ACC-5334"/>
    <n v="956.38"/>
    <n v="1454.22"/>
    <n v="1454.22"/>
    <s v="Medium"/>
    <n v="3.9E-2"/>
    <n v="3.9E-2"/>
    <n v="19"/>
    <n v="26552.60298"/>
    <n v="18171.22"/>
    <n v="8381.3829799999985"/>
    <n v="0.31565202802576603"/>
    <d v="2023-01-15T00:00:00"/>
    <n v="5"/>
    <n v="0"/>
  </r>
  <r>
    <s v="ORD-2023-480975"/>
    <d v="2023-02-15T00:00:00"/>
    <d v="2023-02-15T00:00:00"/>
    <s v="Q1 -2023"/>
    <d v="2023-02-26T00:00:00"/>
    <d v="2023-02-26T00:00:00"/>
    <n v="11"/>
    <x v="1"/>
    <s v="South Africa"/>
    <s v="Johannesburg"/>
    <s v="Africa&gt;South Africa&gt;Johannesburg"/>
    <s v="Non-Profit"/>
    <s v="Retail"/>
    <x v="4"/>
    <s v="Laptops"/>
    <s v="LAP-3393"/>
    <n v="498.5"/>
    <n v="755.87"/>
    <n v="755.87"/>
    <s v="Low"/>
    <n v="0.13"/>
    <n v="0.13"/>
    <n v="40"/>
    <n v="26304.275999999998"/>
    <n v="19940"/>
    <n v="6364.275999999998"/>
    <n v="0.24194834330357537"/>
    <d v="2023-01-07T00:00:00"/>
    <n v="1"/>
    <n v="0"/>
  </r>
  <r>
    <s v="ORD-2023-488227"/>
    <d v="2023-09-08T00:00:00"/>
    <d v="2023-09-08T00:00:00"/>
    <s v="Q3 -2023"/>
    <d v="2023-10-02T00:00:00"/>
    <d v="2023-10-02T00:00:00"/>
    <n v="24"/>
    <x v="2"/>
    <s v="Canada"/>
    <s v="Toronto"/>
    <s v="Americas&gt;Canada&gt;Toronto"/>
    <s v="Education"/>
    <s v="Direct"/>
    <x v="0"/>
    <s v="Accessories"/>
    <s v="ACC-3415"/>
    <n v="1299.03"/>
    <n v="2451.2199999999998"/>
    <n v="2451.2199999999998"/>
    <s v="High"/>
    <n v="0.20799999999999999"/>
    <n v="0.20799999999999999"/>
    <n v="8"/>
    <n v="15530.929919999999"/>
    <n v="10392.24"/>
    <n v="5138.6899199999989"/>
    <n v="0.3308681416032041"/>
    <d v="2023-01-02T00:00:00"/>
    <n v="8"/>
    <n v="1"/>
  </r>
  <r>
    <s v="ORD-2023-497686"/>
    <d v="2023-07-03T00:00:00"/>
    <d v="2023-07-03T00:00:00"/>
    <s v="Q3 -2023"/>
    <d v="2023-07-23T00:00:00"/>
    <d v="2023-07-23T00:00:00"/>
    <n v="20"/>
    <x v="1"/>
    <s v="South Africa"/>
    <s v="Johannesburg"/>
    <s v="Africa&gt;South Africa&gt;Johannesburg"/>
    <s v="Small Business"/>
    <s v="Distributor"/>
    <x v="3"/>
    <s v="Laptops"/>
    <s v="LAP-6342"/>
    <n v="1001.96"/>
    <n v="1254.95"/>
    <n v="1254.95"/>
    <s v="Medium"/>
    <n v="4.4999999999999998E-2"/>
    <n v="4.4999999999999998E-2"/>
    <n v="18"/>
    <n v="21572.590500000002"/>
    <n v="18035.28"/>
    <n v="3537.3105000000032"/>
    <n v="0.16397244920585699"/>
    <d v="2023-01-07T00:00:00"/>
    <n v="5"/>
    <n v="0"/>
  </r>
  <r>
    <s v="ORD-2023-501220"/>
    <d v="2023-04-19T00:00:00"/>
    <d v="2023-04-19T00:00:00"/>
    <s v="Q2 -2023"/>
    <d v="2023-05-07T00:00:00"/>
    <d v="2023-05-07T00:00:00"/>
    <n v="18"/>
    <x v="3"/>
    <s v="United Kingdom"/>
    <s v="Birmingham"/>
    <s v="Europe&gt;United Kingdom&gt;Birmingham"/>
    <s v="Enterprise"/>
    <s v="Retail"/>
    <x v="13"/>
    <s v="Laptops"/>
    <s v="LAP-9766"/>
    <n v="1089.1500000000001"/>
    <n v="1088.2"/>
    <n v="1088.2"/>
    <s v="Medium"/>
    <n v="5.0999999999999997E-2"/>
    <n v="5.0999999999999997E-2"/>
    <n v="15"/>
    <n v="15490.527"/>
    <n v="16337.250000000002"/>
    <n v="-846.72300000000178"/>
    <n v="-5.4660696824582002E-2"/>
    <d v="2023-01-19T00:00:00"/>
    <n v="3"/>
    <n v="0"/>
  </r>
  <r>
    <s v="ORD-2023-502205"/>
    <d v="2023-10-09T00:00:00"/>
    <d v="2023-10-09T00:00:00"/>
    <s v="Q4 -2023"/>
    <d v="2023-10-11T00:00:00"/>
    <d v="2023-10-11T00:00:00"/>
    <n v="2"/>
    <x v="1"/>
    <s v="Nigeria"/>
    <s v="Port Harcourt"/>
    <s v="Africa&gt;Nigeria&gt;Port Harcourt"/>
    <s v="Education"/>
    <s v="Marketplace"/>
    <x v="4"/>
    <s v="Networking"/>
    <s v="NET-8856"/>
    <n v="391.16"/>
    <n v="902.47"/>
    <n v="902.47"/>
    <s v="Medium"/>
    <n v="4.0000000000000001E-3"/>
    <n v="4.0000000000000001E-3"/>
    <n v="12"/>
    <n v="10786.32144"/>
    <n v="4693.92"/>
    <n v="6092.4014399999996"/>
    <n v="0.56482661618139207"/>
    <d v="2023-01-15T00:00:00"/>
    <n v="8"/>
    <n v="0"/>
  </r>
  <r>
    <s v="ORD-2023-517216"/>
    <d v="2023-09-19T00:00:00"/>
    <d v="2023-09-19T00:00:00"/>
    <s v="Q3 -2023"/>
    <d v="2023-10-08T00:00:00"/>
    <d v="2023-10-08T00:00:00"/>
    <n v="19"/>
    <x v="0"/>
    <s v="India"/>
    <s v="Bengaluru"/>
    <s v="Asia&gt;India&gt;Bengaluru"/>
    <s v="Education"/>
    <s v="Direct"/>
    <x v="5"/>
    <s v="Printers"/>
    <s v="PRN-5005"/>
    <n v="385.32"/>
    <n v="606.76"/>
    <n v="606.76"/>
    <s v="Low"/>
    <n v="8.5999999999999993E-2"/>
    <n v="8.5999999999999993E-2"/>
    <n v="8"/>
    <n v="4436.6291200000005"/>
    <n v="3082.56"/>
    <n v="1354.0691200000006"/>
    <n v="0.30520223425842735"/>
    <d v="2023-01-29T00:00:00"/>
    <n v="7"/>
    <n v="0"/>
  </r>
  <r>
    <s v="ORD-2023-521280"/>
    <d v="2023-05-27T00:00:00"/>
    <d v="2023-05-27T00:00:00"/>
    <s v="Q2 -2023"/>
    <d v="2023-06-19T00:00:00"/>
    <d v="2023-06-19T00:00:00"/>
    <n v="23"/>
    <x v="3"/>
    <s v="Germany"/>
    <s v="Berlin"/>
    <s v="Europe&gt;Germany&gt;Berlin"/>
    <s v="Education"/>
    <s v="Retail"/>
    <x v="2"/>
    <s v="Accessories"/>
    <s v="ACC-1882"/>
    <n v="1471.58"/>
    <n v="2576.65"/>
    <n v="2576.65"/>
    <s v="High"/>
    <n v="4.0000000000000001E-3"/>
    <n v="4.0000000000000001E-3"/>
    <n v="7"/>
    <n v="17964.4038"/>
    <n v="10301.06"/>
    <n v="7663.3438000000006"/>
    <n v="0.4265849223451546"/>
    <d v="2023-01-22T00:00:00"/>
    <n v="4"/>
    <n v="0"/>
  </r>
  <r>
    <s v="ORD-2023-521818"/>
    <d v="2023-01-22T00:00:00"/>
    <d v="2023-01-22T00:00:00"/>
    <s v="Q1 -2023"/>
    <d v="2023-01-30T00:00:00"/>
    <d v="2023-01-30T00:00:00"/>
    <n v="8"/>
    <x v="2"/>
    <s v="USA"/>
    <s v="San Francisco"/>
    <s v="Americas&gt;USA&gt;San Francisco"/>
    <s v="Small Business"/>
    <s v="Online"/>
    <x v="0"/>
    <s v="Networking"/>
    <s v="NET-4155"/>
    <n v="413.52"/>
    <n v="1004.34"/>
    <n v="1004.34"/>
    <s v="Medium"/>
    <n v="0.111"/>
    <n v="0.111"/>
    <n v="18"/>
    <n v="16071.44868"/>
    <n v="7443.36"/>
    <n v="8628.0886800000007"/>
    <n v="0.53685817948304593"/>
    <d v="2023-01-13T00:00:00"/>
    <n v="0"/>
    <n v="0"/>
  </r>
  <r>
    <s v="ORD-2023-521818"/>
    <d v="2023-01-29T00:00:00"/>
    <d v="2023-01-29T00:00:00"/>
    <s v="Q1 -2023"/>
    <d v="2023-02-28T00:00:00"/>
    <d v="2023-02-28T00:00:00"/>
    <n v="30"/>
    <x v="0"/>
    <s v="India"/>
    <s v="Bengaluru"/>
    <s v="Asia&gt;India&gt;Bengaluru"/>
    <s v="Non-Profit"/>
    <s v="Retail"/>
    <x v="12"/>
    <s v="Accessories"/>
    <s v="ACC-4631"/>
    <n v="1262.0999999999999"/>
    <n v="1395.53"/>
    <n v="1395.53"/>
    <s v="Medium"/>
    <n v="0.23300000000000001"/>
    <n v="0.23300000000000001"/>
    <n v="25"/>
    <n v="26759.28775"/>
    <n v="31552.499999999996"/>
    <n v="-4793.2122499999969"/>
    <n v="-0.17912331205452198"/>
    <d v="2023-01-29T00:00:00"/>
    <n v="0"/>
    <n v="1"/>
  </r>
  <r>
    <s v="ORD-2023-525643"/>
    <d v="2023-08-17T00:00:00"/>
    <d v="2023-08-17T00:00:00"/>
    <s v="Q3 -2023"/>
    <d v="2023-09-03T00:00:00"/>
    <d v="2023-09-03T00:00:00"/>
    <n v="17"/>
    <x v="1"/>
    <s v="South Africa"/>
    <s v="Durban"/>
    <s v="Africa&gt;South Africa&gt;Durban"/>
    <s v="Enterprise"/>
    <s v="Retail"/>
    <x v="0"/>
    <s v="Phones"/>
    <s v="PHN-8072"/>
    <n v="676.37"/>
    <n v="1276.67"/>
    <n v="1276.67"/>
    <s v="Medium"/>
    <n v="6.6000000000000003E-2"/>
    <n v="6.6000000000000003E-2"/>
    <n v="10"/>
    <n v="11924.0978"/>
    <n v="6763.7"/>
    <n v="5160.3977999999997"/>
    <n v="0.4327705027712872"/>
    <d v="2023-01-07T00:00:00"/>
    <n v="7"/>
    <n v="0"/>
  </r>
  <r>
    <s v="ORD-2023-536542"/>
    <d v="2023-06-10T00:00:00"/>
    <d v="2023-06-10T00:00:00"/>
    <s v="Q2 -2023"/>
    <d v="2023-06-18T00:00:00"/>
    <d v="2023-06-18T00:00:00"/>
    <n v="8"/>
    <x v="1"/>
    <s v="Kenya"/>
    <s v="Nakuru"/>
    <s v="Africa&gt;Kenya&gt;Nakuru"/>
    <s v="Enterprise"/>
    <s v="Direct"/>
    <x v="7"/>
    <s v="Phones"/>
    <s v="PHN-2337"/>
    <n v="894.23"/>
    <n v="1421.55"/>
    <n v="1421.55"/>
    <s v="Medium"/>
    <n v="0.109"/>
    <n v="0.109"/>
    <n v="3"/>
    <n v="3799.8031499999997"/>
    <n v="2682.69"/>
    <n v="1117.1131499999997"/>
    <n v="0.29399237431549574"/>
    <d v="2023-01-20T00:00:00"/>
    <n v="4"/>
    <n v="0"/>
  </r>
  <r>
    <s v="ORD-2023-539967"/>
    <d v="2023-07-09T00:00:00"/>
    <d v="2023-07-09T00:00:00"/>
    <s v="Q3 -2023"/>
    <d v="2023-07-19T00:00:00"/>
    <d v="2023-07-19T00:00:00"/>
    <n v="10"/>
    <x v="0"/>
    <s v="Japan"/>
    <s v="Tokyo"/>
    <s v="Asia&gt;Japan&gt;Tokyo"/>
    <s v="Enterprise"/>
    <s v="Distributor"/>
    <x v="13"/>
    <s v="Components"/>
    <s v="CMP-6649"/>
    <n v="141.26"/>
    <n v="206.88"/>
    <n v="206.88"/>
    <s v="Low"/>
    <n v="0.107"/>
    <n v="0.107"/>
    <n v="9"/>
    <n v="1662.6945600000001"/>
    <n v="1271.3399999999999"/>
    <n v="391.35456000000022"/>
    <n v="0.23537369365062469"/>
    <d v="2023-03-03T00:00:00"/>
    <n v="4"/>
    <n v="0"/>
  </r>
  <r>
    <s v="ORD-2023-545150"/>
    <d v="2023-04-06T00:00:00"/>
    <d v="2023-04-06T00:00:00"/>
    <s v="Q2 -2023"/>
    <d v="2023-04-08T00:00:00"/>
    <d v="2023-04-08T00:00:00"/>
    <n v="2"/>
    <x v="1"/>
    <s v="Nigeria"/>
    <s v="Abuja"/>
    <s v="Africa&gt;Nigeria&gt;Abuja"/>
    <s v="Small Business"/>
    <s v="Marketplace"/>
    <x v="4"/>
    <s v="Monitors"/>
    <s v="MON-4373"/>
    <n v="720.35"/>
    <n v="1571.66"/>
    <n v="1571.66"/>
    <s v="Medium"/>
    <n v="0.107"/>
    <n v="0.107"/>
    <n v="23"/>
    <n v="32280.32474"/>
    <n v="16568.05"/>
    <n v="15712.274740000001"/>
    <n v="0.4867446305622265"/>
    <d v="2023-01-15T00:00:00"/>
    <n v="2"/>
    <n v="0"/>
  </r>
  <r>
    <s v="ORD-2023-548874"/>
    <d v="2023-03-19T00:00:00"/>
    <d v="2023-03-19T00:00:00"/>
    <s v="Q1 -2023"/>
    <d v="2023-04-09T00:00:00"/>
    <d v="2023-04-09T00:00:00"/>
    <n v="21"/>
    <x v="3"/>
    <s v="United Kingdom"/>
    <s v="Manchester"/>
    <s v="Europe&gt;United Kingdom&gt;Manchester"/>
    <s v="Consumer"/>
    <s v="Retail"/>
    <x v="11"/>
    <s v="Accessories"/>
    <s v="ACC-9150"/>
    <n v="1082.17"/>
    <n v="1234.0999999999999"/>
    <n v="1234.0999999999999"/>
    <s v="Medium"/>
    <n v="0.189"/>
    <n v="0.189"/>
    <n v="16"/>
    <n v="16013.681599999998"/>
    <n v="17314.72"/>
    <n v="-1301.0384000000031"/>
    <n v="-8.124542703534228E-2"/>
    <d v="2023-01-19T00:00:00"/>
    <n v="2"/>
    <n v="0"/>
  </r>
  <r>
    <s v="ORD-2023-548934"/>
    <d v="2023-08-03T00:00:00"/>
    <d v="2023-08-03T00:00:00"/>
    <s v="Q3 -2023"/>
    <d v="2023-08-30T00:00:00"/>
    <d v="2023-08-30T00:00:00"/>
    <n v="27"/>
    <x v="0"/>
    <s v="China"/>
    <s v="Shanghai"/>
    <s v="Asia&gt;China&gt;Shanghai"/>
    <s v="Consumer"/>
    <s v="Distributor"/>
    <x v="13"/>
    <s v="Monitors"/>
    <s v="MON-3773"/>
    <n v="226.04"/>
    <n v="545.72"/>
    <n v="545.72"/>
    <s v="Low"/>
    <n v="0.151"/>
    <n v="0.151"/>
    <n v="11"/>
    <n v="5096.4790800000001"/>
    <n v="2486.44"/>
    <n v="2610.03908"/>
    <n v="0.51212592831834014"/>
    <d v="2023-01-12T00:00:00"/>
    <n v="6"/>
    <n v="0"/>
  </r>
  <r>
    <s v="ORD-2023-552115"/>
    <d v="2023-09-17T00:00:00"/>
    <d v="2023-09-17T00:00:00"/>
    <s v="Q3 -2023"/>
    <d v="2023-10-02T00:00:00"/>
    <d v="2023-10-02T00:00:00"/>
    <n v="15"/>
    <x v="2"/>
    <s v="Brazil"/>
    <s v="Rio de Janeiro"/>
    <s v="Americas&gt;Brazil&gt;Rio de Janeiro"/>
    <s v="Small Business"/>
    <s v="Retail"/>
    <x v="12"/>
    <s v="Laptops"/>
    <s v="LAP-4932"/>
    <n v="689.33"/>
    <n v="668.27"/>
    <n v="668.27"/>
    <s v="Low"/>
    <n v="0.186"/>
    <n v="0.186"/>
    <n v="13"/>
    <n v="7071.6331400000008"/>
    <n v="8961.2900000000009"/>
    <n v="-1889.6568600000001"/>
    <n v="-0.26721647214861033"/>
    <d v="2023-01-29T00:00:00"/>
    <n v="7"/>
    <n v="0"/>
  </r>
  <r>
    <s v="ORD-2023-561823"/>
    <d v="2023-11-19T00:00:00"/>
    <d v="2023-11-19T00:00:00"/>
    <s v="Q4 -2023"/>
    <d v="2023-12-12T00:00:00"/>
    <d v="2023-12-12T00:00:00"/>
    <n v="23"/>
    <x v="0"/>
    <s v="India"/>
    <s v="Delhi"/>
    <s v="Asia&gt;India&gt;Delhi"/>
    <s v="Small Business"/>
    <s v="Direct"/>
    <x v="14"/>
    <s v="Networking"/>
    <s v="NET-2460"/>
    <n v="1349.04"/>
    <n v="2636.6"/>
    <n v="2636.6"/>
    <s v="High"/>
    <n v="0.114"/>
    <n v="0.114"/>
    <n v="14"/>
    <n v="32704.386400000003"/>
    <n v="18886.559999999998"/>
    <n v="13817.826400000005"/>
    <n v="0.42250682312143928"/>
    <d v="2023-01-29T00:00:00"/>
    <n v="9"/>
    <n v="0"/>
  </r>
  <r>
    <s v="ORD-2023-562894"/>
    <d v="2023-02-23T00:00:00"/>
    <d v="2023-02-23T00:00:00"/>
    <s v="Q1 -2023"/>
    <d v="2023-03-25T00:00:00"/>
    <d v="2023-03-25T00:00:00"/>
    <n v="30"/>
    <x v="2"/>
    <s v="Canada"/>
    <s v="Montreal"/>
    <s v="Americas&gt;Canada&gt;Montreal"/>
    <s v="Enterprise"/>
    <s v="Online"/>
    <x v="6"/>
    <s v="Phones"/>
    <s v="PHN-4854"/>
    <n v="1242.6600000000001"/>
    <n v="1794.07"/>
    <n v="1794.07"/>
    <s v="High"/>
    <n v="8.8999999999999996E-2"/>
    <n v="8.8999999999999996E-2"/>
    <n v="16"/>
    <n v="26150.364320000001"/>
    <n v="19882.560000000001"/>
    <n v="6267.8043199999993"/>
    <n v="0.23968325042440553"/>
    <d v="2023-01-02T00:00:00"/>
    <n v="1"/>
    <n v="0"/>
  </r>
  <r>
    <s v="ORD-2023-568013"/>
    <d v="2023-09-30T00:00:00"/>
    <d v="2023-09-30T00:00:00"/>
    <s v="Q3 -2023"/>
    <d v="2023-10-30T00:00:00"/>
    <d v="2023-10-30T00:00:00"/>
    <n v="30"/>
    <x v="0"/>
    <s v="Japan"/>
    <s v="Tokyo"/>
    <s v="Asia&gt;Japan&gt;Tokyo"/>
    <s v="Enterprise"/>
    <s v="Online"/>
    <x v="6"/>
    <s v="Printers"/>
    <s v="PRN-1786"/>
    <n v="649.13"/>
    <n v="975.43"/>
    <n v="975.43"/>
    <s v="Medium"/>
    <n v="0.157"/>
    <n v="0.157"/>
    <n v="27"/>
    <n v="22201.762229999997"/>
    <n v="17526.509999999998"/>
    <n v="4675.2522299999982"/>
    <n v="0.21058023149543473"/>
    <d v="2023-03-03T00:00:00"/>
    <n v="6"/>
    <n v="0"/>
  </r>
  <r>
    <s v="ORD-2023-569862"/>
    <d v="2023-07-16T00:00:00"/>
    <d v="2023-07-16T00:00:00"/>
    <s v="Q3 -2023"/>
    <d v="2023-08-13T00:00:00"/>
    <d v="2023-08-13T00:00:00"/>
    <n v="28"/>
    <x v="3"/>
    <s v="United Kingdom"/>
    <s v="Manchester"/>
    <s v="Europe&gt;United Kingdom&gt;Manchester"/>
    <s v="Non-Profit"/>
    <s v="Online"/>
    <x v="5"/>
    <s v="Laptops"/>
    <s v="LAP-1178"/>
    <n v="1039.03"/>
    <n v="2545.81"/>
    <n v="2545.81"/>
    <s v="High"/>
    <n v="0.216"/>
    <n v="0.216"/>
    <n v="21"/>
    <n v="41914.215840000004"/>
    <n v="21819.63"/>
    <n v="20094.585840000003"/>
    <n v="0.47942172929364774"/>
    <d v="2023-01-19T00:00:00"/>
    <n v="5"/>
    <n v="1"/>
  </r>
  <r>
    <s v="ORD-2023-573146"/>
    <d v="2023-12-01T00:00:00"/>
    <d v="2023-12-01T00:00:00"/>
    <s v="Q4 -2023"/>
    <d v="2023-12-18T00:00:00"/>
    <d v="2023-12-18T00:00:00"/>
    <n v="17"/>
    <x v="0"/>
    <s v="Japan"/>
    <s v="Nagoya"/>
    <s v="Asia&gt;Japan&gt;Nagoya"/>
    <s v="Small Business"/>
    <s v="Direct"/>
    <x v="13"/>
    <s v="Laptops"/>
    <s v="LAP-3604"/>
    <n v="1495.79"/>
    <n v="2783.12"/>
    <n v="2783.12"/>
    <s v="High"/>
    <n v="0.02"/>
    <n v="0.02"/>
    <n v="5"/>
    <n v="13637.287999999999"/>
    <n v="7478.95"/>
    <n v="6158.3379999999988"/>
    <n v="0.45158084217331185"/>
    <d v="2023-03-03T00:00:00"/>
    <n v="8"/>
    <n v="0"/>
  </r>
  <r>
    <s v="ORD-2023-573656"/>
    <d v="2023-05-02T00:00:00"/>
    <d v="2023-05-02T00:00:00"/>
    <s v="Q2 -2023"/>
    <d v="2023-05-16T00:00:00"/>
    <d v="2023-05-16T00:00:00"/>
    <n v="14"/>
    <x v="0"/>
    <s v="India"/>
    <s v="Bengaluru"/>
    <s v="Asia&gt;India&gt;Bengaluru"/>
    <s v="Non-Profit"/>
    <s v="Retail"/>
    <x v="11"/>
    <s v="Monitors"/>
    <s v="MON-4830"/>
    <n v="475.37"/>
    <n v="963.73"/>
    <n v="963.73"/>
    <s v="Medium"/>
    <n v="4.1000000000000002E-2"/>
    <n v="4.1000000000000002E-2"/>
    <n v="22"/>
    <n v="20332.775539999999"/>
    <n v="10458.14"/>
    <n v="9874.6355399999993"/>
    <n v="0.48565113604750881"/>
    <d v="2023-01-29T00:00:00"/>
    <n v="3"/>
    <n v="0"/>
  </r>
  <r>
    <s v="ORD-2023-575584"/>
    <d v="2023-01-30T00:00:00"/>
    <d v="2023-01-30T00:00:00"/>
    <s v="Q1 -2023"/>
    <d v="2023-02-21T00:00:00"/>
    <d v="2023-02-21T00:00:00"/>
    <n v="22"/>
    <x v="3"/>
    <s v="Germany"/>
    <s v="Munich"/>
    <s v="Europe&gt;Germany&gt;Munich"/>
    <s v="Small Business"/>
    <s v="Marketplace"/>
    <x v="10"/>
    <s v="Networking"/>
    <s v="NET-3460"/>
    <n v="1142.8800000000001"/>
    <n v="1465.29"/>
    <n v="1465.29"/>
    <s v="Medium"/>
    <n v="0.186"/>
    <n v="0.186"/>
    <n v="7"/>
    <n v="8349.2224200000001"/>
    <n v="8000.1600000000008"/>
    <n v="349.06241999999929"/>
    <n v="4.1807775915017401E-2"/>
    <d v="2023-01-22T00:00:00"/>
    <n v="0"/>
    <n v="0"/>
  </r>
  <r>
    <s v="ORD-2023-576840"/>
    <d v="2023-11-19T00:00:00"/>
    <d v="2023-11-19T00:00:00"/>
    <s v="Q4 -2023"/>
    <d v="2023-12-13T00:00:00"/>
    <d v="2023-12-13T00:00:00"/>
    <n v="24"/>
    <x v="3"/>
    <s v="France"/>
    <s v="Lyon"/>
    <s v="Europe&gt;France&gt;Lyon"/>
    <s v="Non-Profit"/>
    <s v="Direct"/>
    <x v="7"/>
    <s v="Monitors"/>
    <s v="MON-3745"/>
    <n v="1297.42"/>
    <n v="2742.97"/>
    <n v="2742.97"/>
    <s v="High"/>
    <n v="6.9000000000000006E-2"/>
    <n v="6.9000000000000006E-2"/>
    <n v="9"/>
    <n v="22983.34563"/>
    <n v="11676.78"/>
    <n v="11306.565629999999"/>
    <n v="0.49194602961727291"/>
    <d v="2023-01-10T00:00:00"/>
    <n v="10"/>
    <n v="0"/>
  </r>
  <r>
    <s v="ORD-2023-580751"/>
    <d v="2023-12-24T00:00:00"/>
    <d v="2023-12-24T00:00:00"/>
    <s v="Q4 -2023"/>
    <d v="2024-01-13T00:00:00"/>
    <d v="2024-01-13T00:00:00"/>
    <n v="20"/>
    <x v="0"/>
    <s v="Japan"/>
    <s v="Nagoya"/>
    <s v="Asia&gt;Japan&gt;Nagoya"/>
    <s v="Education"/>
    <s v="Direct"/>
    <x v="12"/>
    <s v="Laptops"/>
    <s v="LAP-1946"/>
    <n v="625.37"/>
    <n v="1319.04"/>
    <n v="1319.04"/>
    <s v="Medium"/>
    <n v="7.3999999999999996E-2"/>
    <n v="7.3999999999999996E-2"/>
    <n v="8"/>
    <n v="9771.4483199999995"/>
    <n v="5002.96"/>
    <n v="4768.4883199999995"/>
    <n v="0.48800220436513547"/>
    <d v="2023-03-03T00:00:00"/>
    <n v="9"/>
    <n v="0"/>
  </r>
  <r>
    <s v="ORD-2023-581799"/>
    <d v="2023-12-05T00:00:00"/>
    <d v="2023-12-05T00:00:00"/>
    <s v="Q4 -2023"/>
    <d v="2023-12-12T00:00:00"/>
    <d v="2023-12-12T00:00:00"/>
    <n v="7"/>
    <x v="2"/>
    <s v="Brazil"/>
    <s v="Brasília"/>
    <s v="Americas&gt;Brazil&gt;Brasília"/>
    <s v="Corporate"/>
    <s v="Direct"/>
    <x v="3"/>
    <s v="Phones"/>
    <s v="PHN-6506"/>
    <n v="307.43"/>
    <n v="495.19"/>
    <n v="495.19"/>
    <s v="Low"/>
    <n v="0"/>
    <n v="0"/>
    <n v="42"/>
    <n v="20797.98"/>
    <n v="12912.06"/>
    <n v="7885.92"/>
    <n v="0.37916759223732305"/>
    <d v="2023-01-29T00:00:00"/>
    <n v="10"/>
    <n v="0"/>
  </r>
  <r>
    <s v="ORD-2023-586275"/>
    <d v="2023-01-20T00:00:00"/>
    <d v="2023-01-20T00:00:00"/>
    <s v="Q1 -2023"/>
    <d v="2023-02-03T00:00:00"/>
    <d v="2023-02-03T00:00:00"/>
    <n v="14"/>
    <x v="1"/>
    <s v="Kenya"/>
    <s v="Kisumu"/>
    <s v="Africa&gt;Kenya&gt;Kisumu"/>
    <s v="Corporate"/>
    <s v="Retail"/>
    <x v="8"/>
    <s v="Networking"/>
    <s v="NET-6036"/>
    <n v="884.36"/>
    <n v="1545.34"/>
    <n v="1545.34"/>
    <s v="Medium"/>
    <n v="0.24299999999999999"/>
    <n v="0.24299999999999999"/>
    <n v="41"/>
    <n v="47962.717579999997"/>
    <n v="36258.76"/>
    <n v="11703.957579999995"/>
    <n v="0.24402198562827965"/>
    <d v="2023-01-20T00:00:00"/>
    <n v="0"/>
    <n v="1"/>
  </r>
  <r>
    <s v="ORD-2023-588455"/>
    <d v="2023-05-23T00:00:00"/>
    <d v="2023-05-23T00:00:00"/>
    <s v="Q2 -2023"/>
    <d v="2023-05-25T00:00:00"/>
    <d v="2023-05-25T00:00:00"/>
    <n v="2"/>
    <x v="2"/>
    <s v="Brazil"/>
    <s v="Rio de Janeiro"/>
    <s v="Americas&gt;Brazil&gt;Rio de Janeiro"/>
    <s v="Enterprise"/>
    <s v="Retail"/>
    <x v="8"/>
    <s v="Printers"/>
    <s v="PRN-1271"/>
    <n v="690.49"/>
    <n v="1290.29"/>
    <n v="1290.29"/>
    <s v="Medium"/>
    <n v="4.2000000000000003E-2"/>
    <n v="4.2000000000000003E-2"/>
    <n v="22"/>
    <n v="27194.152039999997"/>
    <n v="15190.78"/>
    <n v="12003.372039999997"/>
    <n v="0.44139534199647718"/>
    <d v="2023-01-29T00:00:00"/>
    <n v="3"/>
    <n v="0"/>
  </r>
  <r>
    <s v="ORD-2023-594700"/>
    <d v="2023-07-18T00:00:00"/>
    <d v="2023-07-18T00:00:00"/>
    <s v="Q3 -2023"/>
    <d v="2023-07-22T00:00:00"/>
    <d v="2023-07-22T00:00:00"/>
    <n v="4"/>
    <x v="2"/>
    <s v="Brazil"/>
    <s v="São Paulo"/>
    <s v="Americas&gt;Brazil&gt;São Paulo"/>
    <s v="Consumer"/>
    <s v="Direct"/>
    <x v="3"/>
    <s v="Networking"/>
    <s v="NET-1699"/>
    <n v="1269.55"/>
    <n v="2071.1"/>
    <n v="2071.1"/>
    <s v="High"/>
    <n v="0.129"/>
    <n v="0.129"/>
    <n v="22"/>
    <n v="39686.4182"/>
    <n v="27930.1"/>
    <n v="11756.318200000002"/>
    <n v="0.29623026549672354"/>
    <d v="2023-01-29T00:00:00"/>
    <n v="5"/>
    <n v="0"/>
  </r>
  <r>
    <s v="ORD-2023-594955"/>
    <d v="2023-06-20T00:00:00"/>
    <d v="2023-06-20T00:00:00"/>
    <s v="Q2 -2023"/>
    <d v="2023-07-08T00:00:00"/>
    <d v="2023-07-08T00:00:00"/>
    <n v="18"/>
    <x v="2"/>
    <s v="USA"/>
    <s v="New York"/>
    <s v="Americas&gt;USA&gt;New York"/>
    <s v="Consumer"/>
    <s v="Marketplace"/>
    <x v="2"/>
    <s v="Networking"/>
    <s v="NET-3828"/>
    <n v="1145.53"/>
    <n v="1278.3"/>
    <n v="1278.3"/>
    <s v="Medium"/>
    <n v="0.09"/>
    <n v="0.09"/>
    <n v="41"/>
    <n v="47693.373"/>
    <n v="46966.729999999996"/>
    <n v="726.64300000000367"/>
    <n v="1.5235722581416158E-2"/>
    <d v="2023-01-13T00:00:00"/>
    <n v="5"/>
    <n v="0"/>
  </r>
  <r>
    <s v="ORD-2023-596758"/>
    <d v="2023-12-07T00:00:00"/>
    <d v="2023-12-07T00:00:00"/>
    <s v="Q4 -2023"/>
    <d v="2023-12-05T00:00:00"/>
    <d v="2023-12-12T00:00:00"/>
    <n v="5"/>
    <x v="0"/>
    <s v="Japan"/>
    <s v="Tokyo"/>
    <s v="Asia&gt;Japan&gt;Tokyo"/>
    <s v="Non-Profit"/>
    <s v="Marketplace"/>
    <x v="7"/>
    <s v="Printers"/>
    <s v="PRN-8175"/>
    <n v="1097.5899999999999"/>
    <n v="845.55"/>
    <n v="845.55"/>
    <s v="Medium"/>
    <n v="0.184"/>
    <n v="0.184"/>
    <n v="6"/>
    <n v="4139.8127999999997"/>
    <n v="6585.5399999999991"/>
    <n v="-2445.7271999999994"/>
    <n v="-0.59078207594314402"/>
    <d v="2023-03-03T00:00:00"/>
    <n v="9"/>
    <n v="0"/>
  </r>
  <r>
    <s v="ORD-2023-597666"/>
    <d v="2023-10-25T00:00:00"/>
    <d v="2023-10-25T00:00:00"/>
    <s v="Q4 -2023"/>
    <d v="2023-11-24T00:00:00"/>
    <d v="2023-11-24T00:00:00"/>
    <n v="30"/>
    <x v="3"/>
    <s v="France"/>
    <s v="Paris"/>
    <s v="Europe&gt;France&gt;Paris"/>
    <s v="Enterprise"/>
    <s v="Distributor"/>
    <x v="14"/>
    <s v="Phones"/>
    <s v="PHN-5938"/>
    <n v="287.85000000000002"/>
    <n v="602.91999999999996"/>
    <n v="602.91999999999996"/>
    <s v="Low"/>
    <n v="0.222"/>
    <n v="0.222"/>
    <n v="11"/>
    <n v="5159.7893599999998"/>
    <n v="3166.3500000000004"/>
    <n v="1993.4393599999994"/>
    <n v="0.38634122847216373"/>
    <d v="2023-01-10T00:00:00"/>
    <n v="9"/>
    <n v="1"/>
  </r>
  <r>
    <s v="ORD-2023-602648"/>
    <d v="2023-06-20T00:00:00"/>
    <d v="2023-06-20T00:00:00"/>
    <s v="Q2 -2023"/>
    <d v="2023-07-08T00:00:00"/>
    <d v="2023-07-08T00:00:00"/>
    <n v="18"/>
    <x v="2"/>
    <s v="USA"/>
    <s v="Austin"/>
    <s v="Americas&gt;USA&gt;Austin"/>
    <s v="Non-Profit"/>
    <s v="Direct"/>
    <x v="3"/>
    <s v="Monitors"/>
    <s v="MON-4326"/>
    <n v="337"/>
    <n v="511.03"/>
    <n v="511.03"/>
    <s v="Low"/>
    <n v="0.108"/>
    <n v="0.108"/>
    <n v="7"/>
    <n v="3190.8713200000002"/>
    <n v="2359"/>
    <n v="831.8713200000002"/>
    <n v="0.26070349963219458"/>
    <d v="2023-01-13T00:00:00"/>
    <n v="5"/>
    <n v="0"/>
  </r>
  <r>
    <s v="ORD-2023-603238"/>
    <d v="2023-08-21T00:00:00"/>
    <d v="2023-08-21T00:00:00"/>
    <s v="Q3 -2023"/>
    <d v="2023-09-04T00:00:00"/>
    <d v="2023-09-04T00:00:00"/>
    <n v="14"/>
    <x v="2"/>
    <s v="Canada"/>
    <s v="Montreal"/>
    <s v="Americas&gt;Canada&gt;Montreal"/>
    <s v="Education"/>
    <s v="Distributor"/>
    <x v="3"/>
    <s v="Components"/>
    <s v="CMP-2136"/>
    <n v="178.19"/>
    <n v="284.43"/>
    <n v="284.43"/>
    <s v="Low"/>
    <n v="8.8999999999999996E-2"/>
    <n v="8.8999999999999996E-2"/>
    <n v="8"/>
    <n v="2072.9258400000003"/>
    <n v="1425.52"/>
    <n v="647.40584000000035"/>
    <n v="0.31231500302972742"/>
    <d v="2023-01-02T00:00:00"/>
    <n v="7"/>
    <n v="0"/>
  </r>
  <r>
    <s v="ORD-2023-603650"/>
    <d v="2023-05-23T00:00:00"/>
    <d v="2023-05-23T00:00:00"/>
    <s v="Q2 -2023"/>
    <d v="2023-06-10T00:00:00"/>
    <d v="2023-06-10T00:00:00"/>
    <n v="18"/>
    <x v="0"/>
    <s v="China"/>
    <s v="Shanghai"/>
    <s v="Asia&gt;China&gt;Shanghai"/>
    <s v="Corporate"/>
    <s v="Distributor"/>
    <x v="1"/>
    <s v="Components"/>
    <s v="CMP-6925"/>
    <n v="54.62"/>
    <n v="48.94"/>
    <n v="48.94"/>
    <s v="Low"/>
    <n v="0.14799999999999999"/>
    <n v="0.14799999999999999"/>
    <n v="16"/>
    <n v="667.15008"/>
    <n v="873.92"/>
    <n v="-206.76991999999996"/>
    <n v="-0.3099301434543783"/>
    <d v="2023-01-12T00:00:00"/>
    <n v="4"/>
    <n v="0"/>
  </r>
  <r>
    <s v="ORD-2023-609394"/>
    <d v="2023-04-16T00:00:00"/>
    <d v="2023-04-16T00:00:00"/>
    <s v="Q2 -2023"/>
    <d v="2023-04-19T00:00:00"/>
    <d v="2023-04-19T00:00:00"/>
    <n v="3"/>
    <x v="3"/>
    <s v="Germany"/>
    <s v="Munich"/>
    <s v="Europe&gt;Germany&gt;Munich"/>
    <s v="Corporate"/>
    <s v="Direct"/>
    <x v="12"/>
    <s v="Accessories"/>
    <s v="ACC-1731"/>
    <n v="553.61"/>
    <n v="699.47"/>
    <n v="699.47"/>
    <s v="Low"/>
    <n v="0.02"/>
    <n v="0.02"/>
    <n v="33"/>
    <n v="22620.859800000002"/>
    <n v="18269.13"/>
    <n v="4351.729800000001"/>
    <n v="0.19237685209472014"/>
    <d v="2023-01-22T00:00:00"/>
    <n v="2"/>
    <n v="0"/>
  </r>
  <r>
    <s v="ORD-2023-610470"/>
    <d v="2023-06-24T00:00:00"/>
    <d v="2023-06-24T00:00:00"/>
    <s v="Q2 -2023"/>
    <d v="2023-07-21T00:00:00"/>
    <d v="2023-07-21T00:00:00"/>
    <n v="27"/>
    <x v="0"/>
    <s v="Japan"/>
    <s v="Nagoya"/>
    <s v="Asia&gt;Japan&gt;Nagoya"/>
    <s v="Consumer"/>
    <s v="Marketplace"/>
    <x v="5"/>
    <s v="Phones"/>
    <s v="PHN-6818"/>
    <n v="554.76"/>
    <n v="728.69"/>
    <n v="728.69"/>
    <s v="Low"/>
    <n v="0.22"/>
    <n v="0.22"/>
    <n v="7"/>
    <n v="3978.6474000000003"/>
    <n v="3883.3199999999997"/>
    <n v="95.32740000000058"/>
    <n v="2.395975074343119E-2"/>
    <d v="2023-03-03T00:00:00"/>
    <n v="3"/>
    <n v="1"/>
  </r>
  <r>
    <s v="ORD-2023-613287"/>
    <d v="2023-03-31T00:00:00"/>
    <d v="2023-03-31T00:00:00"/>
    <s v="Q1 -2023"/>
    <d v="2023-04-12T00:00:00"/>
    <d v="2023-04-12T00:00:00"/>
    <n v="12"/>
    <x v="1"/>
    <s v="Kenya"/>
    <s v="Mombasa"/>
    <s v="Africa&gt;Kenya&gt;Mombasa"/>
    <s v="Small Business"/>
    <s v="Online"/>
    <x v="14"/>
    <s v="Phones"/>
    <s v="PHN-8014"/>
    <n v="304.22000000000003"/>
    <n v="393.31"/>
    <n v="393.31"/>
    <s v="Low"/>
    <n v="0.26500000000000001"/>
    <n v="0.26500000000000001"/>
    <n v="15"/>
    <n v="4336.2427499999994"/>
    <n v="4563.3"/>
    <n v="-227.05725000000075"/>
    <n v="-5.2362670424759034E-2"/>
    <d v="2023-01-20T00:00:00"/>
    <n v="2"/>
    <n v="1"/>
  </r>
  <r>
    <s v="ORD-2023-613317"/>
    <d v="2023-01-22T00:00:00"/>
    <d v="2023-01-22T00:00:00"/>
    <s v="Q1 -2023"/>
    <d v="2023-01-21T00:00:00"/>
    <d v="2023-01-28T00:00:00"/>
    <n v="6"/>
    <x v="3"/>
    <s v="Germany"/>
    <s v="Munich"/>
    <s v="Europe&gt;Germany&gt;Munich"/>
    <s v="Corporate"/>
    <s v="Direct"/>
    <x v="3"/>
    <s v="Monitors"/>
    <s v="MON-2537"/>
    <n v="150.86000000000001"/>
    <n v="346.96"/>
    <n v="346.96"/>
    <s v="Low"/>
    <n v="0.19600000000000001"/>
    <n v="0.19600000000000001"/>
    <n v="8"/>
    <n v="2231.6467200000002"/>
    <n v="1206.8800000000001"/>
    <n v="1024.7667200000001"/>
    <n v="0.45919755614365343"/>
    <d v="2023-01-22T00:00:00"/>
    <n v="0"/>
    <n v="0"/>
  </r>
  <r>
    <s v="ORD-2023-619385"/>
    <d v="2023-09-30T00:00:00"/>
    <d v="2023-09-30T00:00:00"/>
    <s v="Q3 -2023"/>
    <d v="2023-10-03T00:00:00"/>
    <d v="2023-10-03T00:00:00"/>
    <n v="3"/>
    <x v="0"/>
    <s v="China"/>
    <s v="Beijing"/>
    <s v="Asia&gt;China&gt;Beijing"/>
    <s v="Non-Profit"/>
    <s v="Retail"/>
    <x v="5"/>
    <s v="Laptops"/>
    <s v="LAP-5763"/>
    <n v="1019.36"/>
    <n v="972.91"/>
    <n v="972.91"/>
    <s v="Medium"/>
    <n v="0.14699999999999999"/>
    <n v="0.14699999999999999"/>
    <n v="17"/>
    <n v="14108.16791"/>
    <n v="17329.12"/>
    <n v="-3220.9520899999989"/>
    <n v="-0.22830406545678819"/>
    <d v="2023-01-12T00:00:00"/>
    <n v="8"/>
    <n v="0"/>
  </r>
  <r>
    <s v="ORD-2023-619493"/>
    <d v="2023-02-27T00:00:00"/>
    <d v="2023-02-27T00:00:00"/>
    <s v="Q1 -2023"/>
    <d v="2023-02-26T00:00:00"/>
    <d v="2023-03-05T00:00:00"/>
    <n v="6"/>
    <x v="2"/>
    <s v="USA"/>
    <s v="San Francisco"/>
    <s v="Americas&gt;USA&gt;San Francisco"/>
    <s v="Non-Profit"/>
    <s v="Online"/>
    <x v="11"/>
    <s v="Networking"/>
    <s v="NET-1282"/>
    <n v="1015.91"/>
    <n v="2331.48"/>
    <n v="2331.48"/>
    <s v="High"/>
    <n v="0.14599999999999999"/>
    <n v="0.14599999999999999"/>
    <n v="26"/>
    <n v="51768.181920000003"/>
    <n v="26413.66"/>
    <n v="25354.521920000003"/>
    <n v="0.48977037592669626"/>
    <d v="2023-01-13T00:00:00"/>
    <n v="1"/>
    <n v="0"/>
  </r>
  <r>
    <s v="ORD-2023-619570"/>
    <d v="2023-11-14T00:00:00"/>
    <d v="2023-11-14T00:00:00"/>
    <s v="Q4 -2023"/>
    <d v="2023-11-30T00:00:00"/>
    <d v="2023-11-30T00:00:00"/>
    <n v="16"/>
    <x v="2"/>
    <s v="Brazil"/>
    <s v="São Paulo"/>
    <s v="Americas&gt;Brazil&gt;São Paulo"/>
    <s v="Enterprise"/>
    <s v="Direct"/>
    <x v="4"/>
    <s v="Networking"/>
    <s v="NET-4104"/>
    <n v="1017.92"/>
    <n v="1175.25"/>
    <n v="1175.25"/>
    <s v="Medium"/>
    <n v="7.4999999999999997E-2"/>
    <n v="7.4999999999999997E-2"/>
    <n v="15"/>
    <n v="16306.59375"/>
    <n v="15268.8"/>
    <n v="1037.7937500000007"/>
    <n v="6.3642583234159542E-2"/>
    <d v="2023-01-29T00:00:00"/>
    <n v="9"/>
    <n v="0"/>
  </r>
  <r>
    <s v="ORD-2023-621393"/>
    <d v="2023-07-07T00:00:00"/>
    <d v="2023-07-07T00:00:00"/>
    <s v="Q3 -2023"/>
    <d v="2023-07-13T00:00:00"/>
    <d v="2023-07-13T00:00:00"/>
    <n v="6"/>
    <x v="1"/>
    <s v="South Africa"/>
    <s v="Cape Town"/>
    <s v="Africa&gt;South Africa&gt;Cape Town"/>
    <s v="Small Business"/>
    <s v="Marketplace"/>
    <x v="12"/>
    <s v="Accessories"/>
    <s v="ACC-9445"/>
    <n v="612.59"/>
    <n v="1424.74"/>
    <n v="1424.74"/>
    <s v="Medium"/>
    <n v="4.3999999999999997E-2"/>
    <n v="4.3999999999999997E-2"/>
    <n v="15"/>
    <n v="20430.771599999996"/>
    <n v="9188.85"/>
    <n v="11241.921599999996"/>
    <n v="0.55024459281802152"/>
    <d v="2023-01-07T00:00:00"/>
    <n v="6"/>
    <n v="0"/>
  </r>
  <r>
    <s v="ORD-2023-623293"/>
    <d v="2023-10-12T00:00:00"/>
    <d v="2023-10-12T00:00:00"/>
    <s v="Q4 -2023"/>
    <d v="2023-10-29T00:00:00"/>
    <d v="2023-10-29T00:00:00"/>
    <n v="17"/>
    <x v="0"/>
    <s v="Japan"/>
    <s v="Nagoya"/>
    <s v="Asia&gt;Japan&gt;Nagoya"/>
    <s v="Non-Profit"/>
    <s v="Direct"/>
    <x v="7"/>
    <s v="Phones"/>
    <s v="PHN-8478"/>
    <n v="1102.19"/>
    <n v="1711.16"/>
    <n v="1711.16"/>
    <s v="High"/>
    <n v="0.151"/>
    <n v="0.151"/>
    <n v="10"/>
    <n v="14527.748400000002"/>
    <n v="11021.900000000001"/>
    <n v="3505.8484000000008"/>
    <n v="0.24132083675127525"/>
    <d v="2023-03-03T00:00:00"/>
    <n v="7"/>
    <n v="0"/>
  </r>
  <r>
    <s v="ORD-2023-630430"/>
    <d v="2023-08-04T00:00:00"/>
    <d v="2023-08-04T00:00:00"/>
    <s v="Q3 -2023"/>
    <d v="2023-08-24T00:00:00"/>
    <d v="2023-08-24T00:00:00"/>
    <n v="20"/>
    <x v="2"/>
    <s v="Brazil"/>
    <s v="Brasília"/>
    <s v="Americas&gt;Brazil&gt;Brasília"/>
    <s v="Non-Profit"/>
    <s v="Direct"/>
    <x v="15"/>
    <s v="Networking"/>
    <s v="NET-9125"/>
    <n v="582.88"/>
    <n v="1044.1400000000001"/>
    <n v="1044.1400000000001"/>
    <s v="Medium"/>
    <n v="0.216"/>
    <n v="0.216"/>
    <n v="10"/>
    <n v="8186.057600000001"/>
    <n v="5828.8"/>
    <n v="2357.2576000000008"/>
    <n v="0.28796005539956138"/>
    <d v="2023-01-29T00:00:00"/>
    <n v="6"/>
    <n v="1"/>
  </r>
  <r>
    <s v="ORD-2023-632893"/>
    <d v="2023-05-07T00:00:00"/>
    <d v="2023-05-07T00:00:00"/>
    <s v="Q2 -2023"/>
    <d v="2023-05-05T00:00:00"/>
    <d v="2023-05-12T00:00:00"/>
    <n v="5"/>
    <x v="1"/>
    <s v="Nigeria"/>
    <s v="Port Harcourt"/>
    <s v="Africa&gt;Nigeria&gt;Port Harcourt"/>
    <s v="Non-Profit"/>
    <s v="Marketplace"/>
    <x v="0"/>
    <s v="Components"/>
    <s v="CMP-9392"/>
    <n v="1269.6500000000001"/>
    <n v="2462.77"/>
    <n v="2462.77"/>
    <s v="High"/>
    <n v="0.107"/>
    <n v="0.107"/>
    <n v="8"/>
    <n v="17594.028880000002"/>
    <n v="10157.200000000001"/>
    <n v="7436.8288800000009"/>
    <n v="0.42269050089225502"/>
    <d v="2023-01-15T00:00:00"/>
    <n v="3"/>
    <n v="0"/>
  </r>
  <r>
    <s v="ORD-2023-638181"/>
    <d v="2023-05-20T00:00:00"/>
    <d v="2023-05-20T00:00:00"/>
    <s v="Q2 -2023"/>
    <d v="2023-06-07T00:00:00"/>
    <d v="2023-06-07T00:00:00"/>
    <n v="18"/>
    <x v="1"/>
    <s v="Nigeria"/>
    <s v="Port Harcourt"/>
    <s v="Africa&gt;Nigeria&gt;Port Harcourt"/>
    <s v="Enterprise"/>
    <s v="Distributor"/>
    <x v="1"/>
    <s v="Components"/>
    <s v="CMP-4630"/>
    <n v="1120.06"/>
    <n v="2068.21"/>
    <n v="2068.21"/>
    <s v="High"/>
    <n v="7.8E-2"/>
    <n v="7.8E-2"/>
    <n v="12"/>
    <n v="22882.675440000003"/>
    <n v="13440.72"/>
    <n v="9441.9554400000034"/>
    <n v="0.41262462795303284"/>
    <d v="2023-01-15T00:00:00"/>
    <n v="4"/>
    <n v="0"/>
  </r>
  <r>
    <s v="ORD-2023-640022"/>
    <d v="2023-08-24T00:00:00"/>
    <d v="2023-08-24T00:00:00"/>
    <s v="Q3 -2023"/>
    <d v="2023-09-20T00:00:00"/>
    <d v="2023-09-20T00:00:00"/>
    <n v="27"/>
    <x v="1"/>
    <s v="South Africa"/>
    <s v="Durban"/>
    <s v="Africa&gt;South Africa&gt;Durban"/>
    <s v="Small Business"/>
    <s v="Marketplace"/>
    <x v="8"/>
    <s v="Printers"/>
    <s v="PRN-4732"/>
    <n v="1399.64"/>
    <n v="3342.11"/>
    <n v="3342.11"/>
    <s v="High"/>
    <n v="0"/>
    <n v="0"/>
    <n v="10"/>
    <n v="33421.1"/>
    <n v="13996.400000000001"/>
    <n v="19424.699999999997"/>
    <n v="0.58121067229983447"/>
    <d v="2023-01-07T00:00:00"/>
    <n v="7"/>
    <n v="0"/>
  </r>
  <r>
    <s v="ORD-2023-651638"/>
    <d v="2023-06-17T00:00:00"/>
    <d v="2023-06-17T00:00:00"/>
    <s v="Q2 -2023"/>
    <d v="2023-06-24T00:00:00"/>
    <d v="2023-06-24T00:00:00"/>
    <n v="7"/>
    <x v="2"/>
    <s v="USA"/>
    <s v="San Francisco"/>
    <s v="Americas&gt;USA&gt;San Francisco"/>
    <s v="Corporate"/>
    <s v="Retail"/>
    <x v="9"/>
    <s v="Printers"/>
    <s v="PRN-6536"/>
    <n v="313.99"/>
    <n v="454.42"/>
    <n v="454.42"/>
    <s v="Low"/>
    <n v="0.129"/>
    <n v="0.129"/>
    <n v="9"/>
    <n v="3562.1983800000003"/>
    <n v="2825.91"/>
    <n v="736.28838000000042"/>
    <n v="0.20669493988147858"/>
    <d v="2023-01-13T00:00:00"/>
    <n v="5"/>
    <n v="0"/>
  </r>
  <r>
    <s v="ORD-2023-653343"/>
    <d v="2023-11-10T00:00:00"/>
    <d v="2023-11-10T00:00:00"/>
    <s v="Q4 -2023"/>
    <d v="2023-11-28T00:00:00"/>
    <d v="2023-11-28T00:00:00"/>
    <n v="18"/>
    <x v="2"/>
    <s v="Brazil"/>
    <s v="Brasília"/>
    <s v="Americas&gt;Brazil&gt;Brasília"/>
    <s v="Education"/>
    <s v="Marketplace"/>
    <x v="11"/>
    <s v="Accessories"/>
    <s v="ACC-5260"/>
    <n v="388.51"/>
    <n v="776.46"/>
    <n v="776.46"/>
    <s v="Low"/>
    <n v="0.157"/>
    <n v="0.157"/>
    <n v="12"/>
    <n v="7854.6693599999999"/>
    <n v="4662.12"/>
    <n v="3192.54936"/>
    <n v="0.40645241876864946"/>
    <d v="2023-01-29T00:00:00"/>
    <n v="9"/>
    <n v="0"/>
  </r>
  <r>
    <s v="ORD-2023-659070"/>
    <d v="2023-10-21T00:00:00"/>
    <d v="2023-10-21T00:00:00"/>
    <s v="Q4 -2023"/>
    <d v="2023-10-21T00:00:00"/>
    <d v="2023-10-21T00:00:00"/>
    <n v="0"/>
    <x v="3"/>
    <s v="United Kingdom"/>
    <s v="Manchester"/>
    <s v="Europe&gt;United Kingdom&gt;Manchester"/>
    <s v="Enterprise"/>
    <s v="Distributor"/>
    <x v="5"/>
    <s v="Monitors"/>
    <s v="MON-8697"/>
    <n v="384.19"/>
    <n v="278.35000000000002"/>
    <n v="278.35000000000002"/>
    <s v="Low"/>
    <n v="5.6000000000000001E-2"/>
    <n v="5.6000000000000001E-2"/>
    <n v="10"/>
    <n v="2627.6239999999998"/>
    <n v="3841.9"/>
    <n v="-1214.2760000000003"/>
    <n v="-0.46211938998882657"/>
    <d v="2023-01-19T00:00:00"/>
    <n v="9"/>
    <n v="0"/>
  </r>
  <r>
    <s v="ORD-2023-660608"/>
    <d v="2023-07-25T00:00:00"/>
    <d v="2023-07-25T00:00:00"/>
    <s v="Q3 -2023"/>
    <d v="2023-08-10T00:00:00"/>
    <d v="2023-08-10T00:00:00"/>
    <n v="16"/>
    <x v="1"/>
    <s v="Nigeria"/>
    <s v="Port Harcourt"/>
    <s v="Africa&gt;Nigeria&gt;Port Harcourt"/>
    <s v="Corporate"/>
    <s v="Distributor"/>
    <x v="9"/>
    <s v="Accessories"/>
    <s v="ACC-8178"/>
    <n v="506.83"/>
    <n v="441.74"/>
    <n v="441.74"/>
    <s v="Low"/>
    <n v="0.24"/>
    <n v="0.24"/>
    <n v="9"/>
    <n v="3021.5016000000001"/>
    <n v="4561.47"/>
    <n v="-1539.9684000000002"/>
    <n v="-0.50966989393618067"/>
    <d v="2023-01-15T00:00:00"/>
    <n v="6"/>
    <n v="1"/>
  </r>
  <r>
    <s v="ORD-2023-664749"/>
    <d v="2023-08-27T00:00:00"/>
    <d v="2023-08-27T00:00:00"/>
    <s v="Q3 -2023"/>
    <d v="2023-09-11T00:00:00"/>
    <d v="2023-09-11T00:00:00"/>
    <n v="15"/>
    <x v="3"/>
    <s v="United Kingdom"/>
    <s v="London"/>
    <s v="Europe&gt;United Kingdom&gt;London"/>
    <s v="Consumer"/>
    <s v="Marketplace"/>
    <x v="13"/>
    <s v="Printers"/>
    <s v="PRN-5107"/>
    <n v="943.79"/>
    <n v="1913.76"/>
    <n v="1913.76"/>
    <s v="High"/>
    <n v="9.0999999999999998E-2"/>
    <n v="9.0999999999999998E-2"/>
    <n v="9"/>
    <n v="15656.47056"/>
    <n v="8494.11"/>
    <n v="7162.3605599999992"/>
    <n v="0.45746967891338081"/>
    <d v="2023-01-19T00:00:00"/>
    <n v="7"/>
    <n v="0"/>
  </r>
  <r>
    <s v="ORD-2023-664790"/>
    <d v="2023-04-16T00:00:00"/>
    <d v="2023-04-16T00:00:00"/>
    <s v="Q2 -2023"/>
    <d v="2023-04-23T00:00:00"/>
    <d v="2023-04-23T00:00:00"/>
    <n v="7"/>
    <x v="2"/>
    <s v="USA"/>
    <s v="Austin"/>
    <s v="Americas&gt;USA&gt;Austin"/>
    <s v="Corporate"/>
    <s v="Distributor"/>
    <x v="2"/>
    <s v="Printers"/>
    <s v="PRN-9249"/>
    <n v="1099.1500000000001"/>
    <n v="1431.37"/>
    <n v="1431.37"/>
    <s v="Medium"/>
    <n v="0.104"/>
    <n v="0.104"/>
    <n v="8"/>
    <n v="10260.060159999999"/>
    <n v="8793.2000000000007"/>
    <n v="1466.8601599999984"/>
    <n v="0.14296798821109433"/>
    <d v="2023-01-13T00:00:00"/>
    <n v="3"/>
    <n v="0"/>
  </r>
  <r>
    <s v="ORD-2023-667815"/>
    <d v="2023-10-21T00:00:00"/>
    <d v="2023-10-21T00:00:00"/>
    <s v="Q4 -2023"/>
    <d v="2023-11-09T00:00:00"/>
    <d v="2023-11-09T00:00:00"/>
    <n v="19"/>
    <x v="3"/>
    <s v="United Kingdom"/>
    <s v="London"/>
    <s v="Europe&gt;United Kingdom&gt;London"/>
    <s v="Non-Profit"/>
    <s v="Direct"/>
    <x v="0"/>
    <s v="Accessories"/>
    <s v="ACC-8557"/>
    <n v="1142.48"/>
    <n v="2105.5300000000002"/>
    <n v="2105.5300000000002"/>
    <s v="High"/>
    <n v="0.20699999999999999"/>
    <n v="0.20699999999999999"/>
    <n v="14"/>
    <n v="23375.594060000003"/>
    <n v="15994.720000000001"/>
    <n v="7380.8740600000019"/>
    <n v="0.31575129346680658"/>
    <d v="2023-01-19T00:00:00"/>
    <n v="9"/>
    <n v="1"/>
  </r>
  <r>
    <s v="ORD-2023-674887"/>
    <d v="2023-12-16T00:00:00"/>
    <d v="2023-12-16T00:00:00"/>
    <s v="Q4 -2023"/>
    <d v="2023-12-19T00:00:00"/>
    <d v="2023-12-19T00:00:00"/>
    <n v="3"/>
    <x v="0"/>
    <s v="China"/>
    <s v="Beijing"/>
    <s v="Asia&gt;China&gt;Beijing"/>
    <s v="Education"/>
    <s v="Retail"/>
    <x v="0"/>
    <s v="Accessories"/>
    <s v="ACC-9644"/>
    <n v="1415.05"/>
    <n v="1972.38"/>
    <n v="1972.38"/>
    <s v="High"/>
    <n v="0"/>
    <n v="0"/>
    <n v="12"/>
    <n v="23668.560000000001"/>
    <n v="16980.599999999999"/>
    <n v="6687.9600000000028"/>
    <n v="0.28256725377462771"/>
    <d v="2023-01-12T00:00:00"/>
    <n v="11"/>
    <n v="0"/>
  </r>
  <r>
    <s v="ORD-2023-676553"/>
    <d v="2023-05-20T00:00:00"/>
    <d v="2023-05-20T00:00:00"/>
    <s v="Q2 -2023"/>
    <d v="2023-06-19T00:00:00"/>
    <d v="2023-06-19T00:00:00"/>
    <n v="30"/>
    <x v="0"/>
    <s v="India"/>
    <s v="Delhi"/>
    <s v="Asia&gt;India&gt;Delhi"/>
    <s v="Non-Profit"/>
    <s v="Marketplace"/>
    <x v="7"/>
    <s v="Laptops"/>
    <s v="LAP-2806"/>
    <n v="1161.2"/>
    <n v="878.73"/>
    <n v="878.73"/>
    <s v="Medium"/>
    <n v="0.19"/>
    <n v="0.19"/>
    <n v="31"/>
    <n v="22064.910300000003"/>
    <n v="35997.200000000004"/>
    <n v="-13932.289700000001"/>
    <n v="-0.63142290227212028"/>
    <d v="2023-01-29T00:00:00"/>
    <n v="3"/>
    <n v="0"/>
  </r>
  <r>
    <s v="ORD-2023-689428"/>
    <d v="2023-01-07T00:00:00"/>
    <d v="2023-01-07T00:00:00"/>
    <s v="Q1 -2023"/>
    <d v="2023-01-30T00:00:00"/>
    <d v="2023-01-30T00:00:00"/>
    <n v="23"/>
    <x v="1"/>
    <s v="South Africa"/>
    <s v="Cape Town"/>
    <s v="Africa&gt;South Africa&gt;Cape Town"/>
    <s v="Consumer"/>
    <s v="Online"/>
    <x v="0"/>
    <s v="Printers"/>
    <s v="PRN-4787"/>
    <n v="299.02"/>
    <n v="724.7"/>
    <n v="724.7"/>
    <s v="Low"/>
    <n v="0.14000000000000001"/>
    <n v="0.14000000000000001"/>
    <n v="5"/>
    <n v="3116.21"/>
    <n v="1495.1"/>
    <n v="1621.1100000000001"/>
    <n v="0.52021847051386139"/>
    <d v="2023-01-07T00:00:00"/>
    <n v="0"/>
    <n v="0"/>
  </r>
  <r>
    <s v="ORD-2023-700699"/>
    <d v="2023-01-12T00:00:00"/>
    <d v="2023-01-12T00:00:00"/>
    <s v="Q1 -2023"/>
    <d v="2023-01-26T00:00:00"/>
    <d v="2023-01-26T00:00:00"/>
    <n v="14"/>
    <x v="0"/>
    <s v="China"/>
    <s v="Shenzhen"/>
    <s v="Asia&gt;China&gt;Shenzhen"/>
    <s v="Non-Profit"/>
    <s v="Retail"/>
    <x v="8"/>
    <s v="Printers"/>
    <s v="PRN-1641"/>
    <n v="1083.0899999999999"/>
    <n v="1425.87"/>
    <n v="1425.87"/>
    <s v="Medium"/>
    <n v="0"/>
    <n v="0"/>
    <n v="8"/>
    <n v="11406.96"/>
    <n v="8664.7199999999993"/>
    <n v="2742.24"/>
    <n v="0.24040059752992909"/>
    <d v="2023-01-12T00:00:00"/>
    <n v="0"/>
    <n v="0"/>
  </r>
  <r>
    <s v="ORD-2023-701153"/>
    <d v="2023-04-14T00:00:00"/>
    <d v="2023-04-14T00:00:00"/>
    <s v="Q2 -2023"/>
    <d v="2023-05-13T00:00:00"/>
    <d v="2023-05-13T00:00:00"/>
    <n v="29"/>
    <x v="3"/>
    <s v="Germany"/>
    <s v="Frankfurt"/>
    <s v="Europe&gt;Germany&gt;Frankfurt"/>
    <s v="Consumer"/>
    <s v="Direct"/>
    <x v="5"/>
    <s v="Printers"/>
    <s v="PRN-7019"/>
    <n v="1320.33"/>
    <n v="2645.23"/>
    <n v="2645.23"/>
    <s v="High"/>
    <n v="0.155"/>
    <n v="0.155"/>
    <n v="25"/>
    <n v="55880.483749999999"/>
    <n v="33008.25"/>
    <n v="22872.233749999999"/>
    <n v="0.40930629470436536"/>
    <d v="2023-01-22T00:00:00"/>
    <n v="2"/>
    <n v="0"/>
  </r>
  <r>
    <s v="ORD-2023-704111"/>
    <d v="2023-05-17T00:00:00"/>
    <d v="2023-05-17T00:00:00"/>
    <s v="Q2 -2023"/>
    <d v="2023-06-15T00:00:00"/>
    <d v="2023-06-15T00:00:00"/>
    <n v="29"/>
    <x v="1"/>
    <s v="South Africa"/>
    <s v="Durban"/>
    <s v="Africa&gt;South Africa&gt;Durban"/>
    <s v="Enterprise"/>
    <s v="Retail"/>
    <x v="4"/>
    <s v="Accessories"/>
    <s v="ACC-5206"/>
    <n v="40.89"/>
    <n v="62.82"/>
    <n v="62.82"/>
    <s v="Low"/>
    <n v="0.129"/>
    <n v="0.129"/>
    <n v="17"/>
    <n v="930.17574000000002"/>
    <n v="695.13"/>
    <n v="235.04574000000002"/>
    <n v="0.25268960465470752"/>
    <d v="2023-01-07T00:00:00"/>
    <n v="4"/>
    <n v="0"/>
  </r>
  <r>
    <s v="ORD-2023-713375"/>
    <d v="2023-08-26T00:00:00"/>
    <d v="2023-08-26T00:00:00"/>
    <s v="Q3 -2023"/>
    <d v="2023-09-10T00:00:00"/>
    <d v="2023-09-10T00:00:00"/>
    <n v="15"/>
    <x v="1"/>
    <s v="South Africa"/>
    <s v="Cape Town"/>
    <s v="Africa&gt;South Africa&gt;Cape Town"/>
    <s v="Non-Profit"/>
    <s v="Direct"/>
    <x v="13"/>
    <s v="Components"/>
    <s v="CMP-7063"/>
    <n v="241.14"/>
    <n v="496.52"/>
    <n v="496.52"/>
    <s v="Low"/>
    <n v="9.2999999999999999E-2"/>
    <n v="9.2999999999999999E-2"/>
    <n v="10"/>
    <n v="4503.4363999999996"/>
    <n v="2411.3999999999996"/>
    <n v="2092.0364"/>
    <n v="0.46454223268257994"/>
    <d v="2023-01-07T00:00:00"/>
    <n v="7"/>
    <n v="0"/>
  </r>
  <r>
    <s v="ORD-2023-713614"/>
    <d v="2023-08-02T00:00:00"/>
    <d v="2023-08-02T00:00:00"/>
    <s v="Q3 -2023"/>
    <d v="2023-08-19T00:00:00"/>
    <d v="2023-08-19T00:00:00"/>
    <n v="17"/>
    <x v="2"/>
    <s v="Canada"/>
    <s v="Vancouver"/>
    <s v="Americas&gt;Canada&gt;Vancouver"/>
    <s v="Corporate"/>
    <s v="Online"/>
    <x v="3"/>
    <s v="Networking"/>
    <s v="NET-3689"/>
    <n v="175.38"/>
    <n v="347.9"/>
    <n v="347.9"/>
    <s v="Low"/>
    <n v="7.1999999999999995E-2"/>
    <n v="7.1999999999999995E-2"/>
    <n v="43"/>
    <n v="13882.6016"/>
    <n v="7541.34"/>
    <n v="6341.2615999999998"/>
    <n v="0.45677761148169804"/>
    <d v="2023-01-02T00:00:00"/>
    <n v="7"/>
    <n v="0"/>
  </r>
  <r>
    <s v="ORD-2023-715175"/>
    <d v="2023-06-15T00:00:00"/>
    <d v="2023-06-15T00:00:00"/>
    <s v="Q2 -2023"/>
    <d v="2023-06-23T00:00:00"/>
    <d v="2023-06-23T00:00:00"/>
    <n v="8"/>
    <x v="2"/>
    <s v="USA"/>
    <s v="San Francisco"/>
    <s v="Americas&gt;USA&gt;San Francisco"/>
    <s v="Consumer"/>
    <s v="Distributor"/>
    <x v="2"/>
    <s v="Monitors"/>
    <s v="MON-5424"/>
    <n v="1097.0899999999999"/>
    <n v="2182.31"/>
    <n v="2182.31"/>
    <s v="High"/>
    <n v="0.112"/>
    <n v="0.112"/>
    <n v="9"/>
    <n v="17441.021520000002"/>
    <n v="9873.81"/>
    <n v="7567.2115200000026"/>
    <n v="0.43387432962699546"/>
    <d v="2023-01-13T00:00:00"/>
    <n v="5"/>
    <n v="0"/>
  </r>
  <r>
    <s v="ORD-2023-722117"/>
    <d v="2023-09-18T00:00:00"/>
    <d v="2023-09-18T00:00:00"/>
    <s v="Q3 -2023"/>
    <d v="2023-10-08T00:00:00"/>
    <d v="2023-10-08T00:00:00"/>
    <n v="20"/>
    <x v="0"/>
    <s v="India"/>
    <s v="Delhi"/>
    <s v="Asia&gt;India&gt;Delhi"/>
    <s v="Small Business"/>
    <s v="Direct"/>
    <x v="12"/>
    <s v="Components"/>
    <s v="CMP-1009"/>
    <n v="825.64"/>
    <n v="1108.43"/>
    <n v="1108.43"/>
    <s v="Medium"/>
    <n v="0.114"/>
    <n v="0.114"/>
    <n v="7"/>
    <n v="6874.4828600000001"/>
    <n v="5779.48"/>
    <n v="1095.0028600000005"/>
    <n v="0.15928512475773349"/>
    <d v="2023-01-29T00:00:00"/>
    <n v="7"/>
    <n v="0"/>
  </r>
  <r>
    <s v="ORD-2023-723587"/>
    <d v="2023-01-02T00:00:00"/>
    <d v="2023-01-02T00:00:00"/>
    <s v="Q1 -2023"/>
    <d v="2023-01-05T00:00:00"/>
    <d v="2023-01-05T00:00:00"/>
    <n v="3"/>
    <x v="2"/>
    <s v="Canada"/>
    <s v="Toronto"/>
    <s v="Americas&gt;Canada&gt;Toronto"/>
    <s v="Corporate"/>
    <s v="Distributor"/>
    <x v="12"/>
    <s v="Laptops"/>
    <s v="LAP-8555"/>
    <n v="315.87"/>
    <n v="591.67999999999995"/>
    <n v="591.67999999999995"/>
    <s v="Low"/>
    <n v="0"/>
    <n v="0"/>
    <n v="7"/>
    <n v="4141.7599999999993"/>
    <n v="2211.09"/>
    <n v="1930.6699999999992"/>
    <n v="0.46614724175229844"/>
    <d v="2023-01-02T00:00:00"/>
    <n v="0"/>
    <n v="0"/>
  </r>
  <r>
    <s v="ORD-2023-727290"/>
    <d v="2023-04-03T00:00:00"/>
    <d v="2023-04-03T00:00:00"/>
    <s v="Q2 -2023"/>
    <d v="2023-04-16T00:00:00"/>
    <d v="2023-04-16T00:00:00"/>
    <n v="13"/>
    <x v="3"/>
    <s v="France"/>
    <s v="Marseille"/>
    <s v="Europe&gt;France&gt;Marseille"/>
    <s v="Non-Profit"/>
    <s v="Marketplace"/>
    <x v="8"/>
    <s v="Accessories"/>
    <s v="ACC-4815"/>
    <n v="790.54"/>
    <n v="601.49"/>
    <n v="601.49"/>
    <s v="Low"/>
    <n v="0"/>
    <n v="0"/>
    <n v="15"/>
    <n v="9022.35"/>
    <n v="11858.099999999999"/>
    <n v="-2835.7499999999982"/>
    <n v="-0.31430281467688553"/>
    <d v="2023-01-10T00:00:00"/>
    <n v="2"/>
    <n v="0"/>
  </r>
  <r>
    <s v="ORD-2023-728177"/>
    <d v="2023-12-18T00:00:00"/>
    <d v="2023-12-18T00:00:00"/>
    <s v="Q4 -2023"/>
    <d v="2024-01-14T00:00:00"/>
    <d v="2024-01-14T00:00:00"/>
    <n v="27"/>
    <x v="0"/>
    <s v="India"/>
    <s v="Mumbai"/>
    <s v="Asia&gt;India&gt;Mumbai"/>
    <s v="Consumer"/>
    <s v="Distributor"/>
    <x v="6"/>
    <s v="Networking"/>
    <s v="NET-6014"/>
    <n v="1408.3"/>
    <n v="2193.13"/>
    <n v="2193.13"/>
    <s v="High"/>
    <n v="7.0999999999999994E-2"/>
    <n v="7.0999999999999994E-2"/>
    <n v="7"/>
    <n v="14261.92439"/>
    <n v="9858.1"/>
    <n v="4403.8243899999998"/>
    <n v="0.30878191957656281"/>
    <d v="2023-01-29T00:00:00"/>
    <n v="10"/>
    <n v="0"/>
  </r>
  <r>
    <s v="ORD-2023-732585"/>
    <d v="2023-08-25T00:00:00"/>
    <d v="2023-08-25T00:00:00"/>
    <s v="Q3 -2023"/>
    <d v="2023-09-16T00:00:00"/>
    <d v="2023-09-16T00:00:00"/>
    <n v="22"/>
    <x v="1"/>
    <s v="Nigeria"/>
    <s v="Abuja"/>
    <s v="Africa&gt;Nigeria&gt;Abuja"/>
    <s v="Corporate"/>
    <s v="Marketplace"/>
    <x v="11"/>
    <s v="Phones"/>
    <s v="PHN-3971"/>
    <n v="1196.83"/>
    <n v="2513.5100000000002"/>
    <n v="2513.5100000000002"/>
    <s v="High"/>
    <n v="8.3000000000000004E-2"/>
    <n v="8.3000000000000004E-2"/>
    <n v="7"/>
    <n v="16134.22069"/>
    <n v="8377.81"/>
    <n v="7756.4106900000006"/>
    <n v="0.48074281609445374"/>
    <d v="2023-01-15T00:00:00"/>
    <n v="7"/>
    <n v="0"/>
  </r>
  <r>
    <s v="ORD-2023-735274"/>
    <d v="2023-02-23T00:00:00"/>
    <d v="2023-02-23T00:00:00"/>
    <s v="Q1 -2023"/>
    <d v="2023-03-08T00:00:00"/>
    <d v="2023-03-08T00:00:00"/>
    <n v="13"/>
    <x v="3"/>
    <s v="United Kingdom"/>
    <s v="Manchester"/>
    <s v="Europe&gt;United Kingdom&gt;Manchester"/>
    <s v="Small Business"/>
    <s v="Direct"/>
    <x v="14"/>
    <s v="Printers"/>
    <s v="PRN-7410"/>
    <n v="307.37"/>
    <n v="462.61"/>
    <n v="462.61"/>
    <s v="Low"/>
    <n v="0.188"/>
    <n v="0.188"/>
    <n v="11"/>
    <n v="4132.0325200000007"/>
    <n v="3381.07"/>
    <n v="750.9625200000005"/>
    <n v="0.18174167709599739"/>
    <d v="2023-01-19T00:00:00"/>
    <n v="1"/>
    <n v="0"/>
  </r>
  <r>
    <s v="ORD-2023-744942"/>
    <d v="2023-02-23T00:00:00"/>
    <d v="2023-02-23T00:00:00"/>
    <s v="Q1 -2023"/>
    <d v="2023-03-18T00:00:00"/>
    <d v="2023-03-18T00:00:00"/>
    <n v="23"/>
    <x v="0"/>
    <s v="China"/>
    <s v="Beijing"/>
    <s v="Asia&gt;China&gt;Beijing"/>
    <s v="Education"/>
    <s v="Distributor"/>
    <x v="4"/>
    <s v="Printers"/>
    <s v="PRN-1060"/>
    <n v="770.11"/>
    <n v="1667.82"/>
    <n v="1667.82"/>
    <s v="High"/>
    <n v="6.9000000000000006E-2"/>
    <n v="6.9000000000000006E-2"/>
    <n v="7"/>
    <n v="10869.182940000001"/>
    <n v="5390.77"/>
    <n v="5478.4129400000002"/>
    <n v="0.50403171703355287"/>
    <d v="2023-01-12T00:00:00"/>
    <n v="1"/>
    <n v="0"/>
  </r>
  <r>
    <s v="ORD-2023-747341"/>
    <d v="2023-04-19T00:00:00"/>
    <d v="2023-04-19T00:00:00"/>
    <s v="Q2 -2023"/>
    <d v="2023-04-28T00:00:00"/>
    <d v="2023-04-28T00:00:00"/>
    <n v="9"/>
    <x v="2"/>
    <s v="Brazil"/>
    <s v="Rio de Janeiro"/>
    <s v="Americas&gt;Brazil&gt;Rio de Janeiro"/>
    <s v="Corporate"/>
    <s v="Distributor"/>
    <x v="8"/>
    <s v="Phones"/>
    <s v="PHN-7132"/>
    <n v="1013.54"/>
    <n v="927.93"/>
    <n v="927.93"/>
    <s v="Medium"/>
    <n v="0.17499999999999999"/>
    <n v="0.17499999999999999"/>
    <n v="16"/>
    <n v="12248.675999999999"/>
    <n v="16216.64"/>
    <n v="-3967.9639999999999"/>
    <n v="-0.32395044166406234"/>
    <d v="2023-01-29T00:00:00"/>
    <n v="2"/>
    <n v="0"/>
  </r>
  <r>
    <s v="ORD-2023-749324"/>
    <d v="2023-08-19T00:00:00"/>
    <d v="2023-08-19T00:00:00"/>
    <s v="Q3 -2023"/>
    <d v="2023-09-07T00:00:00"/>
    <d v="2023-09-07T00:00:00"/>
    <n v="19"/>
    <x v="1"/>
    <s v="South Africa"/>
    <s v="Johannesburg"/>
    <s v="Africa&gt;South Africa&gt;Johannesburg"/>
    <s v="Enterprise"/>
    <s v="Retail"/>
    <x v="6"/>
    <s v="Monitors"/>
    <s v="MON-2296"/>
    <n v="494.61"/>
    <n v="605.23"/>
    <n v="605.23"/>
    <s v="Low"/>
    <n v="0.20399999999999999"/>
    <n v="0.20399999999999999"/>
    <n v="18"/>
    <n v="8671.7354400000004"/>
    <n v="8902.98"/>
    <n v="-231.24455999999918"/>
    <n v="-2.6666468505639647E-2"/>
    <d v="2023-01-07T00:00:00"/>
    <n v="7"/>
    <n v="1"/>
  </r>
  <r>
    <s v="ORD-2023-752962"/>
    <d v="2023-04-21T00:00:00"/>
    <d v="2023-04-21T00:00:00"/>
    <s v="Q2 -2023"/>
    <d v="2023-04-19T00:00:00"/>
    <d v="2023-04-26T00:00:00"/>
    <n v="5"/>
    <x v="0"/>
    <s v="Japan"/>
    <s v="Nagoya"/>
    <s v="Asia&gt;Japan&gt;Nagoya"/>
    <s v="Small Business"/>
    <s v="Direct"/>
    <x v="8"/>
    <s v="Components"/>
    <s v="CMP-8604"/>
    <n v="607.04"/>
    <n v="1229.3399999999999"/>
    <n v="1229.3399999999999"/>
    <s v="Medium"/>
    <n v="0.14699999999999999"/>
    <n v="0.14699999999999999"/>
    <n v="7"/>
    <n v="7340.3891399999993"/>
    <n v="4249.28"/>
    <n v="3091.1091399999996"/>
    <n v="0.42110970972310058"/>
    <d v="2023-03-03T00:00:00"/>
    <n v="1"/>
    <n v="0"/>
  </r>
  <r>
    <s v="ORD-2023-755337"/>
    <d v="2023-09-08T00:00:00"/>
    <d v="2023-09-08T00:00:00"/>
    <s v="Q3 -2023"/>
    <d v="2023-09-14T00:00:00"/>
    <d v="2023-09-14T00:00:00"/>
    <n v="6"/>
    <x v="1"/>
    <s v="Kenya"/>
    <s v="Nakuru"/>
    <s v="Africa&gt;Kenya&gt;Nakuru"/>
    <s v="Education"/>
    <s v="Direct"/>
    <x v="9"/>
    <s v="Accessories"/>
    <s v="ACC-4766"/>
    <n v="251.03"/>
    <n v="411.48"/>
    <n v="411.48"/>
    <s v="Low"/>
    <n v="0.16500000000000001"/>
    <n v="0.16500000000000001"/>
    <n v="3"/>
    <n v="1030.7574"/>
    <n v="753.09"/>
    <n v="277.66739999999993"/>
    <n v="0.26938191275658069"/>
    <d v="2023-01-20T00:00:00"/>
    <n v="7"/>
    <n v="0"/>
  </r>
  <r>
    <s v="ORD-2023-766015"/>
    <d v="2023-04-13T00:00:00"/>
    <d v="2023-04-13T00:00:00"/>
    <s v="Q2 -2023"/>
    <d v="2023-04-11T00:00:00"/>
    <d v="2023-04-18T00:00:00"/>
    <n v="5"/>
    <x v="2"/>
    <s v="USA"/>
    <s v="San Francisco"/>
    <s v="Americas&gt;USA&gt;San Francisco"/>
    <s v="Education"/>
    <s v="Marketplace"/>
    <x v="10"/>
    <s v="Networking"/>
    <s v="NET-1816"/>
    <n v="32.1"/>
    <n v="70.599999999999994"/>
    <n v="70.599999999999994"/>
    <s v="Low"/>
    <n v="0.28199999999999997"/>
    <n v="0.28199999999999997"/>
    <n v="22"/>
    <n v="1115.1975999999997"/>
    <n v="706.2"/>
    <n v="408.99759999999969"/>
    <n v="0.36674899587301818"/>
    <d v="2023-01-13T00:00:00"/>
    <n v="3"/>
    <n v="1"/>
  </r>
  <r>
    <s v="ORD-2023-769774"/>
    <d v="2023-06-13T00:00:00"/>
    <d v="2023-06-13T00:00:00"/>
    <s v="Q2 -2023"/>
    <d v="2023-06-24T00:00:00"/>
    <d v="2023-06-24T00:00:00"/>
    <n v="11"/>
    <x v="2"/>
    <s v="Canada"/>
    <s v="Toronto"/>
    <s v="Americas&gt;Canada&gt;Toronto"/>
    <s v="Corporate"/>
    <s v="Online"/>
    <x v="14"/>
    <s v="Printers"/>
    <s v="PRN-8008"/>
    <n v="247.07"/>
    <n v="495.19"/>
    <n v="495.19"/>
    <s v="Low"/>
    <n v="2.8000000000000001E-2"/>
    <n v="2.8000000000000001E-2"/>
    <n v="4"/>
    <n v="1925.29872"/>
    <n v="988.28"/>
    <n v="937.01872000000003"/>
    <n v="0.48668744764968214"/>
    <d v="2023-01-02T00:00:00"/>
    <n v="5"/>
    <n v="0"/>
  </r>
  <r>
    <s v="ORD-2023-780206"/>
    <d v="2023-01-19T00:00:00"/>
    <d v="2023-01-19T00:00:00"/>
    <s v="Q1 -2023"/>
    <d v="2023-02-03T00:00:00"/>
    <d v="2023-02-03T00:00:00"/>
    <n v="15"/>
    <x v="3"/>
    <s v="United Kingdom"/>
    <s v="London"/>
    <s v="Europe&gt;United Kingdom&gt;London"/>
    <s v="Enterprise"/>
    <s v="Distributor"/>
    <x v="10"/>
    <s v="Accessories"/>
    <s v="ACC-3645"/>
    <n v="873.06"/>
    <n v="2101.5500000000002"/>
    <n v="2101.5500000000002"/>
    <s v="High"/>
    <n v="6.6000000000000003E-2"/>
    <n v="6.6000000000000003E-2"/>
    <n v="10"/>
    <n v="19628.476999999999"/>
    <n v="8730.5999999999985"/>
    <n v="10897.877"/>
    <n v="0.55520746719167269"/>
    <d v="2023-01-19T00:00:00"/>
    <n v="0"/>
    <n v="0"/>
  </r>
  <r>
    <s v="ORD-2023-799597"/>
    <d v="2023-03-14T00:00:00"/>
    <d v="2023-03-14T00:00:00"/>
    <s v="Q1 -2023"/>
    <d v="2023-03-18T00:00:00"/>
    <d v="2023-03-18T00:00:00"/>
    <n v="4"/>
    <x v="3"/>
    <s v="Germany"/>
    <s v="Frankfurt"/>
    <s v="Europe&gt;Germany&gt;Frankfurt"/>
    <s v="Enterprise"/>
    <s v="Direct"/>
    <x v="0"/>
    <s v="Components"/>
    <s v="CMP-8675"/>
    <n v="472.33"/>
    <n v="360.34"/>
    <n v="360.34"/>
    <s v="Low"/>
    <n v="0.16500000000000001"/>
    <n v="0.16500000000000001"/>
    <n v="14"/>
    <n v="4212.3745999999992"/>
    <n v="6612.62"/>
    <n v="-2400.2454000000007"/>
    <n v="-0.56980815523861561"/>
    <d v="2023-01-22T00:00:00"/>
    <n v="1"/>
    <n v="0"/>
  </r>
  <r>
    <s v="ORD-2023-808024"/>
    <d v="2023-12-30T00:00:00"/>
    <d v="2023-12-30T00:00:00"/>
    <s v="Q4 -2023"/>
    <d v="2024-01-08T00:00:00"/>
    <d v="2024-01-08T00:00:00"/>
    <n v="9"/>
    <x v="3"/>
    <s v="France"/>
    <s v="Marseille"/>
    <s v="Europe&gt;France&gt;Marseille"/>
    <s v="Consumer"/>
    <s v="Marketplace"/>
    <x v="11"/>
    <s v="Accessories"/>
    <s v="ACC-6594"/>
    <n v="861.1"/>
    <n v="1224.72"/>
    <n v="1224.72"/>
    <s v="Medium"/>
    <n v="0.17399999999999999"/>
    <n v="0.17399999999999999"/>
    <n v="24"/>
    <n v="24278.849280000002"/>
    <n v="20666.400000000001"/>
    <n v="3612.4492800000007"/>
    <n v="0.14878997098827909"/>
    <d v="2023-01-10T00:00:00"/>
    <n v="11"/>
    <n v="0"/>
  </r>
  <r>
    <s v="ORD-2023-809913"/>
    <d v="2023-04-21T00:00:00"/>
    <d v="2023-04-21T00:00:00"/>
    <s v="Q2 -2023"/>
    <d v="2023-05-10T00:00:00"/>
    <d v="2023-05-10T00:00:00"/>
    <n v="19"/>
    <x v="0"/>
    <s v="China"/>
    <s v="Shanghai"/>
    <s v="Asia&gt;China&gt;Shanghai"/>
    <s v="Corporate"/>
    <s v="Retail"/>
    <x v="0"/>
    <s v="Components"/>
    <s v="CMP-7371"/>
    <n v="882.33"/>
    <n v="1880.15"/>
    <n v="1880.15"/>
    <s v="High"/>
    <n v="0.05"/>
    <n v="0.05"/>
    <n v="5"/>
    <n v="8930.7124999999996"/>
    <n v="4411.6500000000005"/>
    <n v="4519.0624999999991"/>
    <n v="0.50601365792482955"/>
    <d v="2023-01-12T00:00:00"/>
    <n v="3"/>
    <n v="0"/>
  </r>
  <r>
    <s v="ORD-2023-811823"/>
    <d v="2023-01-26T00:00:00"/>
    <d v="2023-01-26T00:00:00"/>
    <s v="Q1 -2023"/>
    <d v="2023-02-15T00:00:00"/>
    <d v="2023-02-15T00:00:00"/>
    <n v="20"/>
    <x v="3"/>
    <s v="Germany"/>
    <s v="Berlin"/>
    <s v="Europe&gt;Germany&gt;Berlin"/>
    <s v="Small Business"/>
    <s v="Online"/>
    <x v="2"/>
    <s v="Networking"/>
    <s v="NET-8787"/>
    <n v="492.62"/>
    <n v="366.7"/>
    <n v="366.7"/>
    <s v="Low"/>
    <n v="8.8999999999999996E-2"/>
    <n v="8.8999999999999996E-2"/>
    <n v="10"/>
    <n v="3340.6370000000002"/>
    <n v="4926.2"/>
    <n v="-1585.5629999999996"/>
    <n v="-0.47462894052840809"/>
    <d v="2023-01-22T00:00:00"/>
    <n v="0"/>
    <n v="0"/>
  </r>
  <r>
    <s v="ORD-2023-813340"/>
    <d v="2023-12-26T00:00:00"/>
    <d v="2023-12-26T00:00:00"/>
    <s v="Q4 -2023"/>
    <d v="2024-01-03T00:00:00"/>
    <d v="2024-01-03T00:00:00"/>
    <n v="8"/>
    <x v="3"/>
    <s v="France"/>
    <s v="Lyon"/>
    <s v="Europe&gt;France&gt;Lyon"/>
    <s v="Small Business"/>
    <s v="Retail"/>
    <x v="8"/>
    <s v="Laptops"/>
    <s v="LAP-2942"/>
    <n v="492.75"/>
    <n v="731.29"/>
    <n v="731.29"/>
    <s v="Low"/>
    <n v="5.8000000000000003E-2"/>
    <n v="5.8000000000000003E-2"/>
    <n v="6"/>
    <n v="4133.25108"/>
    <n v="2956.5"/>
    <n v="1176.75108"/>
    <n v="0.28470350753528384"/>
    <d v="2023-01-10T00:00:00"/>
    <n v="11"/>
    <n v="0"/>
  </r>
  <r>
    <s v="ORD-2023-824839"/>
    <d v="2023-12-06T00:00:00"/>
    <d v="2023-12-06T00:00:00"/>
    <s v="Q4 -2023"/>
    <d v="2023-12-31T00:00:00"/>
    <d v="2023-12-31T00:00:00"/>
    <n v="25"/>
    <x v="0"/>
    <s v="Japan"/>
    <s v="Osaka"/>
    <s v="Asia&gt;Japan&gt;Osaka"/>
    <s v="Consumer"/>
    <s v="Retail"/>
    <x v="11"/>
    <s v="Printers"/>
    <s v="PRN-8041"/>
    <n v="663.03"/>
    <n v="813.51"/>
    <n v="813.51"/>
    <s v="Low"/>
    <n v="0.10199999999999999"/>
    <n v="0.10199999999999999"/>
    <n v="15"/>
    <n v="10957.9797"/>
    <n v="9945.4499999999989"/>
    <n v="1012.529700000001"/>
    <n v="9.2401129379715952E-2"/>
    <d v="2023-03-03T00:00:00"/>
    <n v="9"/>
    <n v="0"/>
  </r>
  <r>
    <s v="ORD-2023-825084"/>
    <d v="2023-07-14T00:00:00"/>
    <d v="2023-07-14T00:00:00"/>
    <s v="Q3 -2023"/>
    <d v="2023-07-21T00:00:00"/>
    <d v="2023-07-21T00:00:00"/>
    <n v="7"/>
    <x v="1"/>
    <s v="South Africa"/>
    <s v="Durban"/>
    <s v="Africa&gt;South Africa&gt;Durban"/>
    <s v="Enterprise"/>
    <s v="Marketplace"/>
    <x v="15"/>
    <s v="Monitors"/>
    <s v="MON-1018"/>
    <n v="620.74"/>
    <n v="1330.07"/>
    <n v="1330.07"/>
    <s v="Medium"/>
    <n v="0.29899999999999999"/>
    <n v="0.29899999999999999"/>
    <n v="28"/>
    <n v="26106.613960000002"/>
    <n v="17380.72"/>
    <n v="8725.8939600000012"/>
    <n v="0.33424073965967516"/>
    <d v="2023-01-07T00:00:00"/>
    <n v="6"/>
    <n v="1"/>
  </r>
  <r>
    <s v="ORD-2023-825495"/>
    <d v="2023-11-30T00:00:00"/>
    <d v="2023-11-30T00:00:00"/>
    <s v="Q4 -2023"/>
    <d v="2023-11-29T00:00:00"/>
    <d v="2023-12-06T00:00:00"/>
    <n v="6"/>
    <x v="1"/>
    <s v="South Africa"/>
    <s v="Durban"/>
    <s v="Africa&gt;South Africa&gt;Durban"/>
    <s v="Small Business"/>
    <s v="Marketplace"/>
    <x v="1"/>
    <s v="Laptops"/>
    <s v="LAP-1525"/>
    <n v="275.56"/>
    <n v="630.72"/>
    <n v="630.72"/>
    <s v="Low"/>
    <n v="0.107"/>
    <n v="0.107"/>
    <n v="23"/>
    <n v="12954.358080000002"/>
    <n v="6337.88"/>
    <n v="6616.4780800000017"/>
    <n v="0.5107530638831933"/>
    <d v="2023-01-07T00:00:00"/>
    <n v="10"/>
    <n v="0"/>
  </r>
  <r>
    <s v="ORD-2023-825836"/>
    <d v="2023-07-19T00:00:00"/>
    <d v="2023-07-19T00:00:00"/>
    <s v="Q3 -2023"/>
    <d v="2023-07-31T00:00:00"/>
    <d v="2023-07-31T00:00:00"/>
    <n v="12"/>
    <x v="2"/>
    <s v="Brazil"/>
    <s v="Rio de Janeiro"/>
    <s v="Americas&gt;Brazil&gt;Rio de Janeiro"/>
    <s v="Corporate"/>
    <s v="Retail"/>
    <x v="14"/>
    <s v="Monitors"/>
    <s v="MON-7869"/>
    <n v="1334.64"/>
    <n v="2273.42"/>
    <n v="2273.42"/>
    <s v="High"/>
    <n v="0.11799999999999999"/>
    <n v="0.11799999999999999"/>
    <n v="14"/>
    <n v="28072.190160000002"/>
    <n v="18684.960000000003"/>
    <n v="9387.2301599999992"/>
    <n v="0.33439607335575267"/>
    <d v="2023-01-29T00:00:00"/>
    <n v="5"/>
    <n v="0"/>
  </r>
  <r>
    <s v="ORD-2023-835010"/>
    <d v="2023-03-23T00:00:00"/>
    <d v="2023-03-23T00:00:00"/>
    <s v="Q1 -2023"/>
    <d v="2023-04-15T00:00:00"/>
    <d v="2023-04-15T00:00:00"/>
    <n v="23"/>
    <x v="1"/>
    <s v="Kenya"/>
    <s v="Mombasa"/>
    <s v="Africa&gt;Kenya&gt;Mombasa"/>
    <s v="Small Business"/>
    <s v="Retail"/>
    <x v="14"/>
    <s v="Accessories"/>
    <s v="ACC-2988"/>
    <n v="875.36"/>
    <n v="1178.6199999999999"/>
    <n v="1178.6199999999999"/>
    <s v="Medium"/>
    <n v="0.151"/>
    <n v="0.151"/>
    <n v="53"/>
    <n v="53034.364139999991"/>
    <n v="46394.080000000002"/>
    <n v="6640.2841399999888"/>
    <n v="0.12520719815685888"/>
    <d v="2023-01-20T00:00:00"/>
    <n v="2"/>
    <n v="0"/>
  </r>
  <r>
    <s v="ORD-2023-835226"/>
    <d v="2023-10-26T00:00:00"/>
    <d v="2023-10-26T00:00:00"/>
    <s v="Q4 -2023"/>
    <d v="2023-11-05T00:00:00"/>
    <d v="2023-11-05T00:00:00"/>
    <n v="10"/>
    <x v="1"/>
    <s v="South Africa"/>
    <s v="Cape Town"/>
    <s v="Africa&gt;South Africa&gt;Cape Town"/>
    <s v="Non-Profit"/>
    <s v="Online"/>
    <x v="9"/>
    <s v="Laptops"/>
    <s v="LAP-7320"/>
    <n v="20.38"/>
    <n v="42.56"/>
    <n v="42.56"/>
    <s v="Low"/>
    <n v="7.1999999999999995E-2"/>
    <n v="7.1999999999999995E-2"/>
    <n v="11"/>
    <n v="434.45248000000004"/>
    <n v="224.17999999999998"/>
    <n v="210.27248000000006"/>
    <n v="0.48399419885921713"/>
    <d v="2023-01-07T00:00:00"/>
    <n v="9"/>
    <n v="0"/>
  </r>
  <r>
    <s v="ORD-2023-841426"/>
    <d v="2023-12-22T00:00:00"/>
    <d v="2023-12-22T00:00:00"/>
    <s v="Q4 -2023"/>
    <d v="2023-12-23T00:00:00"/>
    <d v="2023-12-23T00:00:00"/>
    <n v="1"/>
    <x v="1"/>
    <s v="South Africa"/>
    <s v="Cape Town"/>
    <s v="Africa&gt;South Africa&gt;Cape Town"/>
    <s v="Non-Profit"/>
    <s v="Marketplace"/>
    <x v="6"/>
    <s v="Components"/>
    <s v="CMP-4531"/>
    <n v="1186.18"/>
    <n v="1285.0899999999999"/>
    <n v="1285.0899999999999"/>
    <s v="Medium"/>
    <n v="7.0000000000000007E-2"/>
    <n v="7.0000000000000007E-2"/>
    <n v="11"/>
    <n v="13146.470699999998"/>
    <n v="13047.980000000001"/>
    <n v="98.49069999999665"/>
    <n v="7.4917977796121861E-3"/>
    <d v="2023-01-07T00:00:00"/>
    <n v="11"/>
    <n v="0"/>
  </r>
  <r>
    <s v="ORD-2023-842488"/>
    <d v="2023-10-31T00:00:00"/>
    <d v="2023-10-31T00:00:00"/>
    <s v="Q4 -2023"/>
    <d v="2023-11-02T00:00:00"/>
    <d v="2023-11-02T00:00:00"/>
    <n v="2"/>
    <x v="1"/>
    <s v="Kenya"/>
    <s v="Kisumu"/>
    <s v="Africa&gt;Kenya&gt;Kisumu"/>
    <s v="Education"/>
    <s v="Retail"/>
    <x v="2"/>
    <s v="Accessories"/>
    <s v="ACC-4124"/>
    <n v="867.89"/>
    <n v="1349.94"/>
    <n v="1349.94"/>
    <s v="Medium"/>
    <n v="0.184"/>
    <n v="0.184"/>
    <n v="10"/>
    <n v="11015.510400000003"/>
    <n v="8678.9"/>
    <n v="2336.6104000000032"/>
    <n v="0.21212003031652557"/>
    <d v="2023-01-20T00:00:00"/>
    <n v="9"/>
    <n v="0"/>
  </r>
  <r>
    <s v="ORD-2023-842820"/>
    <d v="2023-09-20T00:00:00"/>
    <d v="2023-09-20T00:00:00"/>
    <s v="Q3 -2023"/>
    <d v="2023-09-28T00:00:00"/>
    <d v="2023-09-28T00:00:00"/>
    <n v="8"/>
    <x v="0"/>
    <s v="India"/>
    <s v="Unknown"/>
    <s v="Asia&gt;India&gt;Unknown"/>
    <s v="Corporate"/>
    <s v="Unspecified"/>
    <x v="12"/>
    <s v="Accessories"/>
    <s v="ACC-1375"/>
    <n v="1362.06"/>
    <n v="3398.37"/>
    <n v="3398.37"/>
    <s v="High"/>
    <n v="0.157"/>
    <n v="0.157"/>
    <n v="11"/>
    <n v="31513.085009999999"/>
    <n v="14982.66"/>
    <n v="16530.425009999999"/>
    <n v="0.52455749745714919"/>
    <d v="2023-01-29T00:00:00"/>
    <n v="7"/>
    <n v="0"/>
  </r>
  <r>
    <s v="ORD-2023-848013"/>
    <d v="2023-02-20T00:00:00"/>
    <d v="2023-02-20T00:00:00"/>
    <s v="Q1 -2023"/>
    <d v="2023-03-04T00:00:00"/>
    <d v="2023-03-04T00:00:00"/>
    <n v="12"/>
    <x v="0"/>
    <s v="India"/>
    <s v="Delhi"/>
    <s v="Asia&gt;India&gt;Delhi"/>
    <s v="Consumer"/>
    <s v="Distributor"/>
    <x v="8"/>
    <s v="Monitors"/>
    <s v="MON-9906"/>
    <n v="299.75"/>
    <n v="523.01"/>
    <n v="523.01"/>
    <s v="Low"/>
    <n v="0.157"/>
    <n v="0.157"/>
    <n v="50"/>
    <n v="22044.871499999997"/>
    <n v="14987.5"/>
    <n v="7057.3714999999975"/>
    <n v="0.32013665854210122"/>
    <d v="2023-01-29T00:00:00"/>
    <n v="0"/>
    <n v="0"/>
  </r>
  <r>
    <s v="ORD-2023-854471"/>
    <d v="2023-03-06T00:00:00"/>
    <d v="2023-03-06T00:00:00"/>
    <s v="Q1 -2023"/>
    <d v="2023-04-04T00:00:00"/>
    <d v="2023-04-04T00:00:00"/>
    <n v="29"/>
    <x v="0"/>
    <s v="China"/>
    <s v="Beijing"/>
    <s v="Asia&gt;China&gt;Beijing"/>
    <s v="Small Business"/>
    <s v="Direct"/>
    <x v="14"/>
    <s v="Monitors"/>
    <s v="MON-2073"/>
    <n v="1126.29"/>
    <n v="2050.87"/>
    <n v="2050.87"/>
    <s v="High"/>
    <n v="6.4000000000000001E-2"/>
    <n v="6.4000000000000001E-2"/>
    <n v="7"/>
    <n v="13437.300239999999"/>
    <n v="7884.03"/>
    <n v="5553.2702399999989"/>
    <n v="0.41327276616690373"/>
    <d v="2023-01-12T00:00:00"/>
    <n v="1"/>
    <n v="0"/>
  </r>
  <r>
    <s v="ORD-2023-855675"/>
    <d v="2023-02-05T00:00:00"/>
    <d v="2023-02-05T00:00:00"/>
    <s v="Q1 -2023"/>
    <d v="2023-02-28T00:00:00"/>
    <d v="2023-02-28T00:00:00"/>
    <n v="23"/>
    <x v="2"/>
    <s v="USA"/>
    <s v="Austin"/>
    <s v="Americas&gt;USA&gt;Austin"/>
    <s v="Non-Profit"/>
    <s v="Distributor"/>
    <x v="11"/>
    <s v="Phones"/>
    <s v="PHN-2036"/>
    <n v="1214.49"/>
    <n v="1533.95"/>
    <n v="1533.95"/>
    <s v="Medium"/>
    <n v="0"/>
    <n v="0"/>
    <n v="11"/>
    <n v="16873.45"/>
    <n v="13359.39"/>
    <n v="3514.0600000000013"/>
    <n v="0.20825972163369086"/>
    <d v="2023-01-13T00:00:00"/>
    <n v="0"/>
    <n v="0"/>
  </r>
  <r>
    <s v="ORD-2023-856322"/>
    <d v="2023-01-29T00:00:00"/>
    <d v="2023-01-29T00:00:00"/>
    <s v="Q1 -2023"/>
    <d v="2023-02-06T00:00:00"/>
    <d v="2023-02-06T00:00:00"/>
    <n v="8"/>
    <x v="2"/>
    <s v="Brazil"/>
    <s v="Brasília"/>
    <s v="Americas&gt;Brazil&gt;Brasília"/>
    <s v="Corporate"/>
    <s v="Marketplace"/>
    <x v="6"/>
    <s v="Monitors"/>
    <s v="MON-7207"/>
    <n v="41.84"/>
    <n v="86.2"/>
    <n v="86.2"/>
    <s v="Low"/>
    <n v="0.22600000000000001"/>
    <n v="0.22600000000000001"/>
    <n v="27"/>
    <n v="1801.4076000000002"/>
    <n v="1129.68"/>
    <n v="671.72760000000017"/>
    <n v="0.37289039970742882"/>
    <d v="2023-01-29T00:00:00"/>
    <n v="0"/>
    <n v="1"/>
  </r>
  <r>
    <s v="ORD-2023-864121"/>
    <d v="2023-03-27T00:00:00"/>
    <d v="2023-03-27T00:00:00"/>
    <s v="Q1 -2023"/>
    <d v="2023-04-22T00:00:00"/>
    <d v="2023-04-22T00:00:00"/>
    <n v="26"/>
    <x v="0"/>
    <s v="India"/>
    <s v="Delhi"/>
    <s v="Asia&gt;India&gt;Delhi"/>
    <s v="Non-Profit"/>
    <s v="Marketplace"/>
    <x v="5"/>
    <s v="Printers"/>
    <s v="PRN-4506"/>
    <n v="178.53"/>
    <n v="199.37"/>
    <n v="199.37"/>
    <s v="Low"/>
    <n v="0.10100000000000001"/>
    <n v="0.10100000000000001"/>
    <n v="37"/>
    <n v="6631.6443100000006"/>
    <n v="6605.61"/>
    <n v="26.034310000000914"/>
    <n v="3.9257699573457538E-3"/>
    <d v="2023-01-29T00:00:00"/>
    <n v="1"/>
    <n v="0"/>
  </r>
  <r>
    <s v="ORD-2023-867166"/>
    <d v="2023-04-13T00:00:00"/>
    <d v="2023-04-13T00:00:00"/>
    <s v="Q2 -2023"/>
    <d v="2023-04-20T00:00:00"/>
    <d v="2023-04-20T00:00:00"/>
    <n v="7"/>
    <x v="3"/>
    <s v="France"/>
    <s v="Lyon"/>
    <s v="Europe&gt;France&gt;Lyon"/>
    <s v="Small Business"/>
    <s v="Online"/>
    <x v="0"/>
    <s v="Laptops"/>
    <s v="LAP-3565"/>
    <n v="227.02"/>
    <n v="434.72"/>
    <n v="434.72"/>
    <s v="Low"/>
    <n v="9.8000000000000004E-2"/>
    <n v="9.8000000000000004E-2"/>
    <n v="10"/>
    <n v="3921.1744000000008"/>
    <n v="2270.2000000000003"/>
    <n v="1650.9744000000005"/>
    <n v="0.42104079838938052"/>
    <d v="2023-01-10T00:00:00"/>
    <n v="3"/>
    <n v="0"/>
  </r>
  <r>
    <s v="ORD-2023-867175"/>
    <d v="2023-08-10T00:00:00"/>
    <d v="2023-08-10T00:00:00"/>
    <s v="Q3 -2023"/>
    <d v="2023-08-15T00:00:00"/>
    <d v="2023-08-15T00:00:00"/>
    <n v="5"/>
    <x v="2"/>
    <s v="Brazil"/>
    <s v="São Paulo"/>
    <s v="Americas&gt;Brazil&gt;São Paulo"/>
    <s v="Education"/>
    <s v="Direct"/>
    <x v="10"/>
    <s v="Networking"/>
    <s v="NET-2894"/>
    <n v="1307.52"/>
    <n v="1921.65"/>
    <n v="1921.65"/>
    <s v="High"/>
    <n v="0.123"/>
    <n v="0.123"/>
    <n v="13"/>
    <n v="21908.731650000002"/>
    <n v="16997.759999999998"/>
    <n v="4910.9716500000031"/>
    <n v="0.22415590863289445"/>
    <d v="2023-01-29T00:00:00"/>
    <n v="6"/>
    <n v="0"/>
  </r>
  <r>
    <s v="ORD-2023-867285"/>
    <d v="2023-04-12T00:00:00"/>
    <d v="2023-04-12T00:00:00"/>
    <s v="Q2 -2023"/>
    <d v="2023-04-17T00:00:00"/>
    <d v="2023-04-17T00:00:00"/>
    <n v="5"/>
    <x v="3"/>
    <s v="France"/>
    <s v="Lyon"/>
    <s v="Europe&gt;France&gt;Lyon"/>
    <s v="Enterprise"/>
    <s v="Direct"/>
    <x v="1"/>
    <s v="Monitors"/>
    <s v="MON-3043"/>
    <n v="1087.81"/>
    <n v="2323.87"/>
    <n v="2323.87"/>
    <s v="High"/>
    <n v="9.4E-2"/>
    <n v="9.4E-2"/>
    <n v="13"/>
    <n v="27370.540859999997"/>
    <n v="14141.529999999999"/>
    <n v="13229.010859999999"/>
    <n v="0.48333026839572651"/>
    <d v="2023-01-10T00:00:00"/>
    <n v="3"/>
    <n v="0"/>
  </r>
  <r>
    <s v="ORD-2023-867836"/>
    <d v="2023-05-11T00:00:00"/>
    <d v="2023-05-11T00:00:00"/>
    <s v="Q2 -2023"/>
    <d v="2023-05-28T00:00:00"/>
    <d v="2023-05-28T00:00:00"/>
    <n v="17"/>
    <x v="0"/>
    <s v="China"/>
    <s v="Shenzhen"/>
    <s v="Asia&gt;China&gt;Shenzhen"/>
    <s v="Enterprise"/>
    <s v="Marketplace"/>
    <x v="1"/>
    <s v="Networking"/>
    <s v="NET-3255"/>
    <n v="1331.19"/>
    <n v="2903.09"/>
    <n v="2903.09"/>
    <s v="High"/>
    <n v="0.14299999999999999"/>
    <n v="0.14299999999999999"/>
    <n v="8"/>
    <n v="19903.585040000002"/>
    <n v="10649.52"/>
    <n v="9254.0650400000013"/>
    <n v="0.46494463290920784"/>
    <d v="2023-01-12T00:00:00"/>
    <n v="3"/>
    <n v="0"/>
  </r>
  <r>
    <s v="ORD-2023-868460"/>
    <d v="2023-06-01T00:00:00"/>
    <d v="2023-06-01T00:00:00"/>
    <s v="Q2 -2023"/>
    <d v="2023-06-01T00:00:00"/>
    <d v="2023-06-01T00:00:00"/>
    <n v="0"/>
    <x v="0"/>
    <s v="India"/>
    <s v="Bengaluru"/>
    <s v="Asia&gt;India&gt;Bengaluru"/>
    <s v="Corporate"/>
    <s v="Retail"/>
    <x v="1"/>
    <s v="Accessories"/>
    <s v="ACC-4587"/>
    <n v="669.37"/>
    <n v="997.2"/>
    <n v="997.2"/>
    <s v="Medium"/>
    <n v="8.2000000000000003E-2"/>
    <n v="8.2000000000000003E-2"/>
    <n v="5"/>
    <n v="4577.1480000000001"/>
    <n v="3346.85"/>
    <n v="1230.2980000000002"/>
    <n v="0.26879139586484863"/>
    <d v="2023-01-29T00:00:00"/>
    <n v="4"/>
    <n v="0"/>
  </r>
  <r>
    <s v="ORD-2023-868734"/>
    <d v="2023-04-06T00:00:00"/>
    <d v="2023-04-06T00:00:00"/>
    <s v="Q2 -2023"/>
    <d v="2023-04-27T00:00:00"/>
    <d v="2023-04-27T00:00:00"/>
    <n v="21"/>
    <x v="3"/>
    <s v="United Kingdom"/>
    <s v="Manchester"/>
    <s v="Europe&gt;United Kingdom&gt;Manchester"/>
    <s v="Enterprise"/>
    <s v="Distributor"/>
    <x v="9"/>
    <s v="Printers"/>
    <s v="PRN-8970"/>
    <n v="1084.79"/>
    <n v="2484.9899999999998"/>
    <n v="2484.9899999999998"/>
    <s v="High"/>
    <n v="3.4000000000000002E-2"/>
    <n v="3.4000000000000002E-2"/>
    <n v="18"/>
    <n v="43209.006119999991"/>
    <n v="19526.22"/>
    <n v="23682.78611999999"/>
    <n v="0.54809837685755114"/>
    <d v="2023-01-19T00:00:00"/>
    <n v="2"/>
    <n v="0"/>
  </r>
  <r>
    <s v="ORD-2023-869884"/>
    <d v="2023-03-02T00:00:00"/>
    <d v="2023-03-02T00:00:00"/>
    <s v="Q1 -2023"/>
    <d v="2023-03-05T00:00:00"/>
    <d v="2023-03-05T00:00:00"/>
    <n v="3"/>
    <x v="2"/>
    <s v="Brazil"/>
    <s v="Brasília"/>
    <s v="Americas&gt;Brazil&gt;Brasília"/>
    <s v="Enterprise"/>
    <s v="Direct"/>
    <x v="10"/>
    <s v="Monitors"/>
    <s v="MON-2828"/>
    <n v="1473.58"/>
    <n v="3436.52"/>
    <n v="3436.52"/>
    <s v="High"/>
    <n v="0.108"/>
    <n v="0.108"/>
    <n v="8"/>
    <n v="24523.006720000001"/>
    <n v="11788.64"/>
    <n v="12734.366720000002"/>
    <n v="0.51928243813652564"/>
    <d v="2023-01-29T00:00:00"/>
    <n v="1"/>
    <n v="0"/>
  </r>
  <r>
    <s v="ORD-2023-880296"/>
    <d v="2023-05-02T00:00:00"/>
    <d v="2023-05-02T00:00:00"/>
    <s v="Q2 -2023"/>
    <d v="2023-05-19T00:00:00"/>
    <d v="2023-05-19T00:00:00"/>
    <n v="17"/>
    <x v="0"/>
    <s v="China"/>
    <s v="Shanghai"/>
    <s v="Asia&gt;China&gt;Shanghai"/>
    <s v="Non-Profit"/>
    <s v="Direct"/>
    <x v="5"/>
    <s v="Monitors"/>
    <s v="MON-5086"/>
    <n v="714.28"/>
    <n v="757.59"/>
    <n v="757.59"/>
    <s v="Low"/>
    <n v="0.13600000000000001"/>
    <n v="0.13600000000000001"/>
    <n v="12"/>
    <n v="7854.6931199999999"/>
    <n v="8571.36"/>
    <n v="-716.66688000000067"/>
    <n v="-9.1240595787910383E-2"/>
    <d v="2023-01-12T00:00:00"/>
    <n v="3"/>
    <n v="0"/>
  </r>
  <r>
    <s v="ORD-2023-883066"/>
    <d v="2023-08-12T00:00:00"/>
    <d v="2023-08-12T00:00:00"/>
    <s v="Q3 -2023"/>
    <d v="2023-09-06T00:00:00"/>
    <d v="2023-09-06T00:00:00"/>
    <n v="25"/>
    <x v="0"/>
    <s v="China"/>
    <s v="Shanghai"/>
    <s v="Asia&gt;China&gt;Shanghai"/>
    <s v="Small Business"/>
    <s v="Retail"/>
    <x v="12"/>
    <s v="Components"/>
    <s v="CMP-6352"/>
    <n v="950.77"/>
    <n v="694.78"/>
    <n v="694.78"/>
    <s v="Low"/>
    <n v="8.4000000000000005E-2"/>
    <n v="8.4000000000000005E-2"/>
    <n v="14"/>
    <n v="8909.8587200000002"/>
    <n v="13310.779999999999"/>
    <n v="-4400.9212799999987"/>
    <n v="-0.49393839097821279"/>
    <d v="2023-01-12T00:00:00"/>
    <n v="7"/>
    <n v="0"/>
  </r>
  <r>
    <s v="ORD-2023-884192"/>
    <d v="2023-01-10T00:00:00"/>
    <d v="2023-01-10T00:00:00"/>
    <s v="Q1 -2023"/>
    <d v="2023-01-29T00:00:00"/>
    <d v="2023-01-29T00:00:00"/>
    <n v="19"/>
    <x v="3"/>
    <s v="France"/>
    <s v="Lyon"/>
    <s v="Europe&gt;France&gt;Lyon"/>
    <s v="Non-Profit"/>
    <s v="Direct"/>
    <x v="6"/>
    <s v="Laptops"/>
    <s v="LAP-4551"/>
    <n v="401.66"/>
    <n v="772.09"/>
    <n v="772.09"/>
    <s v="Low"/>
    <n v="8.8999999999999996E-2"/>
    <n v="8.8999999999999996E-2"/>
    <n v="14"/>
    <n v="9847.2358600000007"/>
    <n v="5623.2400000000007"/>
    <n v="4223.99586"/>
    <n v="0.42895244107619046"/>
    <d v="2023-01-10T00:00:00"/>
    <n v="0"/>
    <n v="0"/>
  </r>
  <r>
    <s v="ORD-2023-884625"/>
    <d v="2023-02-19T00:00:00"/>
    <d v="2023-02-19T00:00:00"/>
    <s v="Q1 -2023"/>
    <d v="2023-03-12T00:00:00"/>
    <d v="2023-03-12T00:00:00"/>
    <n v="21"/>
    <x v="3"/>
    <s v="Germany"/>
    <s v="Berlin"/>
    <s v="Europe&gt;Germany&gt;Berlin"/>
    <s v="Small Business"/>
    <s v="Direct"/>
    <x v="11"/>
    <s v="Monitors"/>
    <s v="MON-6699"/>
    <n v="1234.81"/>
    <n v="2055.2399999999998"/>
    <n v="2055.2399999999998"/>
    <s v="High"/>
    <n v="5.2999999999999999E-2"/>
    <n v="5.2999999999999999E-2"/>
    <n v="44"/>
    <n v="85637.740319999997"/>
    <n v="54331.64"/>
    <n v="31306.100319999998"/>
    <n v="0.36556429680441616"/>
    <d v="2023-01-22T00:00:00"/>
    <n v="0"/>
    <n v="0"/>
  </r>
  <r>
    <s v="ORD-2023-885216"/>
    <d v="2023-08-03T00:00:00"/>
    <d v="2023-08-03T00:00:00"/>
    <s v="Q3 -2023"/>
    <d v="2023-08-02T00:00:00"/>
    <d v="2023-08-09T00:00:00"/>
    <n v="6"/>
    <x v="0"/>
    <s v="China"/>
    <s v="Shanghai"/>
    <s v="Asia&gt;China&gt;Shanghai"/>
    <s v="Non-Profit"/>
    <s v="Direct"/>
    <x v="5"/>
    <s v="Networking"/>
    <s v="NET-4735"/>
    <n v="1021.97"/>
    <n v="2296.25"/>
    <n v="2296.25"/>
    <s v="High"/>
    <n v="0.161"/>
    <n v="0.161"/>
    <n v="26"/>
    <n v="50090.397499999999"/>
    <n v="26571.22"/>
    <n v="23519.177499999998"/>
    <n v="0.46953465482081669"/>
    <d v="2023-01-12T00:00:00"/>
    <n v="6"/>
    <n v="0"/>
  </r>
  <r>
    <s v="ORD-2023-888140"/>
    <d v="2023-10-11T00:00:00"/>
    <d v="2023-10-11T00:00:00"/>
    <s v="Q4 -2023"/>
    <d v="2023-10-13T00:00:00"/>
    <d v="2023-10-13T00:00:00"/>
    <n v="2"/>
    <x v="2"/>
    <s v="Brazil"/>
    <s v="Brasília"/>
    <s v="Americas&gt;Brazil&gt;Brasília"/>
    <s v="Consumer"/>
    <s v="Distributor"/>
    <x v="15"/>
    <s v="Accessories"/>
    <s v="ACC-3567"/>
    <n v="715.94"/>
    <n v="550.07000000000005"/>
    <n v="550.07000000000005"/>
    <s v="Low"/>
    <n v="0.14000000000000001"/>
    <n v="0.14000000000000001"/>
    <n v="16"/>
    <n v="7568.9632000000001"/>
    <n v="11455.04"/>
    <n v="-3886.0768000000007"/>
    <n v="-0.51342260456491595"/>
    <d v="2023-01-29T00:00:00"/>
    <n v="8"/>
    <n v="0"/>
  </r>
  <r>
    <s v="ORD-2023-888245"/>
    <d v="2023-02-28T00:00:00"/>
    <d v="2023-02-28T00:00:00"/>
    <s v="Q1 -2023"/>
    <d v="2023-02-27T00:00:00"/>
    <d v="2023-03-06T00:00:00"/>
    <n v="6"/>
    <x v="3"/>
    <s v="France"/>
    <s v="Marseille"/>
    <s v="Europe&gt;France&gt;Marseille"/>
    <s v="Corporate"/>
    <s v="Retail"/>
    <x v="4"/>
    <s v="Networking"/>
    <s v="NET-5195"/>
    <n v="1299.81"/>
    <n v="3149.13"/>
    <n v="3149.13"/>
    <s v="High"/>
    <n v="0.10299999999999999"/>
    <n v="0.10299999999999999"/>
    <n v="14"/>
    <n v="39546.774539999999"/>
    <n v="18197.34"/>
    <n v="21349.434539999998"/>
    <n v="0.53985273864511729"/>
    <d v="2023-01-10T00:00:00"/>
    <n v="1"/>
    <n v="0"/>
  </r>
  <r>
    <s v="ORD-2023-890605"/>
    <d v="2023-06-24T00:00:00"/>
    <d v="2023-06-24T00:00:00"/>
    <s v="Q2 -2023"/>
    <d v="2023-06-22T00:00:00"/>
    <d v="2023-06-29T00:00:00"/>
    <n v="5"/>
    <x v="2"/>
    <s v="Canada"/>
    <s v="Toronto"/>
    <s v="Americas&gt;Canada&gt;Toronto"/>
    <s v="Non-Profit"/>
    <s v="Retail"/>
    <x v="8"/>
    <s v="Accessories"/>
    <s v="ACC-2903"/>
    <n v="471.42"/>
    <n v="824.81"/>
    <n v="824.81"/>
    <s v="Low"/>
    <n v="8.7999999999999995E-2"/>
    <n v="8.7999999999999995E-2"/>
    <n v="15"/>
    <n v="11283.400799999999"/>
    <n v="7071.3"/>
    <n v="4212.1007999999993"/>
    <n v="0.37330064531608231"/>
    <d v="2023-01-02T00:00:00"/>
    <n v="5"/>
    <n v="0"/>
  </r>
  <r>
    <s v="ORD-2023-897079"/>
    <d v="2023-04-14T00:00:00"/>
    <d v="2023-04-14T00:00:00"/>
    <s v="Q2 -2023"/>
    <d v="2023-05-14T00:00:00"/>
    <d v="2023-05-14T00:00:00"/>
    <n v="30"/>
    <x v="1"/>
    <s v="Kenya"/>
    <s v="Nakuru"/>
    <s v="Africa&gt;Kenya&gt;Nakuru"/>
    <s v="Consumer"/>
    <s v="Marketplace"/>
    <x v="8"/>
    <s v="Phones"/>
    <s v="PHN-1784"/>
    <n v="209.25"/>
    <n v="434.8"/>
    <n v="434.8"/>
    <s v="Low"/>
    <n v="0"/>
    <n v="0"/>
    <n v="9"/>
    <n v="3913.2000000000003"/>
    <n v="1883.25"/>
    <n v="2029.9500000000003"/>
    <n v="0.51874425022999082"/>
    <d v="2023-01-20T00:00:00"/>
    <n v="2"/>
    <n v="0"/>
  </r>
  <r>
    <s v="ORD-2023-898009"/>
    <d v="2023-05-04T00:00:00"/>
    <d v="2023-05-04T00:00:00"/>
    <s v="Q2 -2023"/>
    <d v="2023-05-16T00:00:00"/>
    <d v="2023-05-16T00:00:00"/>
    <n v="12"/>
    <x v="1"/>
    <s v="Nigeria"/>
    <s v="Abuja"/>
    <s v="Africa&gt;Nigeria&gt;Abuja"/>
    <s v="Small Business"/>
    <s v="Marketplace"/>
    <x v="5"/>
    <s v="Phones"/>
    <s v="PHN-1670"/>
    <n v="77.739999999999995"/>
    <n v="147.12"/>
    <n v="147.12"/>
    <s v="Low"/>
    <n v="0"/>
    <n v="0"/>
    <n v="15"/>
    <n v="2206.8000000000002"/>
    <n v="1166.0999999999999"/>
    <n v="1040.7000000000003"/>
    <n v="0.47158781946710177"/>
    <d v="2023-01-15T00:00:00"/>
    <n v="3"/>
    <n v="0"/>
  </r>
  <r>
    <s v="ORD-2023-906481"/>
    <d v="2023-05-02T00:00:00"/>
    <d v="2023-05-02T00:00:00"/>
    <s v="Q2 -2023"/>
    <d v="2023-05-18T00:00:00"/>
    <d v="2023-05-18T00:00:00"/>
    <n v="16"/>
    <x v="0"/>
    <s v="India"/>
    <s v="Delhi"/>
    <s v="Asia&gt;India&gt;Delhi"/>
    <s v="Small Business"/>
    <s v="Marketplace"/>
    <x v="4"/>
    <s v="Monitors"/>
    <s v="MON-2266"/>
    <n v="1463.92"/>
    <n v="2252.2399999999998"/>
    <n v="2252.2399999999998"/>
    <s v="High"/>
    <n v="0.11799999999999999"/>
    <n v="0.11799999999999999"/>
    <n v="44"/>
    <n v="87404.929919999995"/>
    <n v="64412.480000000003"/>
    <n v="22992.449919999992"/>
    <n v="0.26305667130040061"/>
    <d v="2023-01-29T00:00:00"/>
    <n v="3"/>
    <n v="0"/>
  </r>
  <r>
    <s v="ORD-2023-912395"/>
    <d v="2023-07-26T00:00:00"/>
    <d v="2023-07-26T00:00:00"/>
    <s v="Q3 -2023"/>
    <d v="2023-08-25T00:00:00"/>
    <d v="2023-08-25T00:00:00"/>
    <n v="30"/>
    <x v="2"/>
    <s v="USA"/>
    <s v="New York"/>
    <s v="Americas&gt;USA&gt;New York"/>
    <s v="Consumer"/>
    <s v="Retail"/>
    <x v="8"/>
    <s v="Accessories"/>
    <s v="ACC-7078"/>
    <n v="1261.48"/>
    <n v="1643.18"/>
    <n v="1643.18"/>
    <s v="High"/>
    <n v="0.151"/>
    <n v="0.151"/>
    <n v="23"/>
    <n v="32086.37586"/>
    <n v="29014.04"/>
    <n v="3072.3358599999992"/>
    <n v="9.5752037357079045E-2"/>
    <d v="2023-01-13T00:00:00"/>
    <n v="6"/>
    <n v="0"/>
  </r>
  <r>
    <s v="ORD-2023-913592"/>
    <d v="2023-05-10T00:00:00"/>
    <d v="2023-05-10T00:00:00"/>
    <s v="Q2 -2023"/>
    <d v="2023-05-14T00:00:00"/>
    <d v="2023-05-14T00:00:00"/>
    <n v="4"/>
    <x v="0"/>
    <s v="India"/>
    <s v="Delhi"/>
    <s v="Asia&gt;India&gt;Delhi"/>
    <s v="Non-Profit"/>
    <s v="Distributor"/>
    <x v="14"/>
    <s v="Monitors"/>
    <s v="MON-2465"/>
    <n v="622.6"/>
    <n v="833.69"/>
    <n v="833.69"/>
    <s v="Low"/>
    <n v="0.20899999999999999"/>
    <n v="0.20899999999999999"/>
    <n v="14"/>
    <n v="9232.2830599999998"/>
    <n v="8716.4"/>
    <n v="515.88306000000011"/>
    <n v="5.5878167582959715E-2"/>
    <d v="2023-01-29T00:00:00"/>
    <n v="3"/>
    <n v="1"/>
  </r>
  <r>
    <s v="ORD-2023-920483"/>
    <d v="2023-07-02T00:00:00"/>
    <d v="2023-07-02T00:00:00"/>
    <s v="Q3 -2023"/>
    <d v="2023-08-01T00:00:00"/>
    <d v="2023-08-01T00:00:00"/>
    <n v="30"/>
    <x v="3"/>
    <s v="United Kingdom"/>
    <s v="Birmingham"/>
    <s v="Europe&gt;United Kingdom&gt;Birmingham"/>
    <s v="Small Business"/>
    <s v="Retail"/>
    <x v="12"/>
    <s v="Components"/>
    <s v="CMP-7256"/>
    <n v="137.46"/>
    <n v="188.3"/>
    <n v="188.3"/>
    <s v="Low"/>
    <n v="3.7999999999999999E-2"/>
    <n v="3.7999999999999999E-2"/>
    <n v="37"/>
    <n v="6702.3501999999999"/>
    <n v="5086.0200000000004"/>
    <n v="1616.3301999999994"/>
    <n v="0.24115872071262398"/>
    <d v="2023-01-19T00:00:00"/>
    <n v="5"/>
    <n v="0"/>
  </r>
  <r>
    <s v="ORD-2023-921939"/>
    <d v="2023-06-23T00:00:00"/>
    <d v="2023-06-23T00:00:00"/>
    <s v="Q2 -2023"/>
    <d v="2023-07-18T00:00:00"/>
    <d v="2023-07-18T00:00:00"/>
    <n v="25"/>
    <x v="2"/>
    <s v="Canada"/>
    <s v="Vancouver"/>
    <s v="Americas&gt;Canada&gt;Vancouver"/>
    <s v="Enterprise"/>
    <s v="Online"/>
    <x v="13"/>
    <s v="Phones"/>
    <s v="PHN-4677"/>
    <n v="807.02"/>
    <n v="1435.54"/>
    <n v="1435.54"/>
    <s v="Medium"/>
    <n v="0"/>
    <n v="0"/>
    <n v="23"/>
    <n v="33017.42"/>
    <n v="18561.46"/>
    <n v="14455.96"/>
    <n v="0.43782827368098415"/>
    <d v="2023-01-02T00:00:00"/>
    <n v="5"/>
    <n v="0"/>
  </r>
  <r>
    <s v="ORD-2023-925146"/>
    <d v="2023-10-15T00:00:00"/>
    <d v="2023-10-15T00:00:00"/>
    <s v="Q4 -2023"/>
    <d v="2023-11-13T00:00:00"/>
    <d v="2023-11-13T00:00:00"/>
    <n v="29"/>
    <x v="0"/>
    <s v="China"/>
    <s v="Shenzhen"/>
    <s v="Asia&gt;China&gt;Shenzhen"/>
    <s v="Non-Profit"/>
    <s v="Distributor"/>
    <x v="5"/>
    <s v="Printers"/>
    <s v="PRN-4983"/>
    <n v="986.44"/>
    <n v="790.61"/>
    <n v="790.61"/>
    <s v="Low"/>
    <n v="7.1999999999999995E-2"/>
    <n v="7.1999999999999995E-2"/>
    <n v="6"/>
    <n v="4402.1164799999997"/>
    <n v="5918.64"/>
    <n v="-1516.5235200000006"/>
    <n v="-0.34449872621271499"/>
    <d v="2023-01-12T00:00:00"/>
    <n v="9"/>
    <n v="0"/>
  </r>
  <r>
    <s v="ORD-2023-927385"/>
    <d v="2023-05-29T00:00:00"/>
    <d v="2023-05-29T00:00:00"/>
    <s v="Q2 -2023"/>
    <d v="2023-06-20T00:00:00"/>
    <d v="2023-06-20T00:00:00"/>
    <n v="22"/>
    <x v="3"/>
    <s v="United Kingdom"/>
    <s v="London"/>
    <s v="Europe&gt;United Kingdom&gt;London"/>
    <s v="Small Business"/>
    <s v="Direct"/>
    <x v="4"/>
    <s v="Components"/>
    <s v="CMP-8545"/>
    <n v="1295.3900000000001"/>
    <n v="2905.06"/>
    <n v="2905.06"/>
    <s v="High"/>
    <n v="0.14799999999999999"/>
    <n v="0.14799999999999999"/>
    <n v="8"/>
    <n v="19800.88896"/>
    <n v="10363.120000000001"/>
    <n v="9437.7689599999994"/>
    <n v="0.47663359857556614"/>
    <d v="2023-01-19T00:00:00"/>
    <n v="4"/>
    <n v="0"/>
  </r>
  <r>
    <s v="ORD-2023-931633"/>
    <d v="2023-05-14T00:00:00"/>
    <d v="2023-05-14T00:00:00"/>
    <s v="Q2 -2023"/>
    <d v="2023-05-22T00:00:00"/>
    <d v="2023-05-22T00:00:00"/>
    <n v="8"/>
    <x v="1"/>
    <s v="Kenya"/>
    <s v="Mombasa"/>
    <s v="Africa&gt;Kenya&gt;Mombasa"/>
    <s v="Small Business"/>
    <s v="Distributor"/>
    <x v="3"/>
    <s v="Printers"/>
    <s v="PRN-9488"/>
    <n v="432.01"/>
    <n v="913.78"/>
    <n v="913.78"/>
    <s v="Medium"/>
    <n v="4.9000000000000002E-2"/>
    <n v="4.9000000000000002E-2"/>
    <n v="12"/>
    <n v="10428.057360000001"/>
    <n v="5184.12"/>
    <n v="5243.9373600000008"/>
    <n v="0.50286809699711899"/>
    <d v="2023-01-20T00:00:00"/>
    <n v="3"/>
    <n v="0"/>
  </r>
  <r>
    <s v="ORD-2023-933238"/>
    <d v="2023-03-17T00:00:00"/>
    <d v="2023-03-17T00:00:00"/>
    <s v="Q1 -2023"/>
    <d v="2023-04-06T00:00:00"/>
    <d v="2023-04-06T00:00:00"/>
    <n v="20"/>
    <x v="3"/>
    <s v="Germany"/>
    <s v="Munich"/>
    <s v="Europe&gt;Germany&gt;Munich"/>
    <s v="Consumer"/>
    <s v="Retail"/>
    <x v="2"/>
    <s v="Phones"/>
    <s v="PHN-8483"/>
    <n v="692.18"/>
    <n v="1159.3499999999999"/>
    <n v="1159.3499999999999"/>
    <s v="Medium"/>
    <n v="0.112"/>
    <n v="0.112"/>
    <n v="2"/>
    <n v="2059.0056"/>
    <n v="1384.36"/>
    <n v="674.64560000000006"/>
    <n v="0.32765602968734037"/>
    <d v="2023-01-22T00:00:00"/>
    <n v="1"/>
    <n v="0"/>
  </r>
  <r>
    <s v="ORD-2023-937291"/>
    <d v="2023-04-23T00:00:00"/>
    <d v="2023-04-23T00:00:00"/>
    <s v="Q2 -2023"/>
    <d v="2023-04-22T00:00:00"/>
    <d v="2023-04-29T00:00:00"/>
    <n v="6"/>
    <x v="1"/>
    <s v="Kenya"/>
    <s v="Nairobi"/>
    <s v="Africa&gt;Kenya&gt;Nairobi"/>
    <s v="Small Business"/>
    <s v="Direct"/>
    <x v="1"/>
    <s v="Laptops"/>
    <s v="LAP-1698"/>
    <n v="756.51"/>
    <n v="850.8"/>
    <n v="850.8"/>
    <s v="Medium"/>
    <n v="7.3999999999999996E-2"/>
    <n v="7.3999999999999996E-2"/>
    <n v="9"/>
    <n v="7090.5672000000004"/>
    <n v="6808.59"/>
    <n v="281.97720000000027"/>
    <n v="3.9767932810791252E-2"/>
    <d v="2023-01-20T00:00:00"/>
    <n v="3"/>
    <n v="0"/>
  </r>
  <r>
    <s v="ORD-2023-944052"/>
    <d v="2023-08-30T00:00:00"/>
    <d v="2023-08-30T00:00:00"/>
    <s v="Q3 -2023"/>
    <d v="2023-09-03T00:00:00"/>
    <d v="2023-09-03T00:00:00"/>
    <n v="4"/>
    <x v="0"/>
    <s v="India"/>
    <s v="Delhi"/>
    <s v="Asia&gt;India&gt;Delhi"/>
    <s v="Small Business"/>
    <s v="Marketplace"/>
    <x v="11"/>
    <s v="Accessories"/>
    <s v="ACC-3068"/>
    <n v="1082.25"/>
    <n v="2433.34"/>
    <n v="2433.34"/>
    <s v="High"/>
    <n v="0.27"/>
    <n v="0.27"/>
    <n v="4"/>
    <n v="7105.3528000000006"/>
    <n v="4329"/>
    <n v="2776.3528000000006"/>
    <n v="0.3907410199251472"/>
    <d v="2023-01-29T00:00:00"/>
    <n v="7"/>
    <n v="1"/>
  </r>
  <r>
    <s v="ORD-2023-946143"/>
    <d v="2023-03-14T00:00:00"/>
    <d v="2023-03-14T00:00:00"/>
    <s v="Q1 -2023"/>
    <d v="2023-03-30T00:00:00"/>
    <d v="2023-03-30T00:00:00"/>
    <n v="16"/>
    <x v="1"/>
    <s v="South Africa"/>
    <s v="Cape Town"/>
    <s v="Africa&gt;South Africa&gt;Cape Town"/>
    <s v="Consumer"/>
    <s v="Distributor"/>
    <x v="4"/>
    <s v="Components"/>
    <s v="CMP-8230"/>
    <n v="1309.77"/>
    <n v="1589.07"/>
    <n v="1589.07"/>
    <s v="Medium"/>
    <n v="0.10199999999999999"/>
    <n v="0.10199999999999999"/>
    <n v="10"/>
    <n v="14269.848599999999"/>
    <n v="13097.7"/>
    <n v="1172.1485999999986"/>
    <n v="8.2141628328137886E-2"/>
    <d v="2023-01-07T00:00:00"/>
    <n v="2"/>
    <n v="0"/>
  </r>
  <r>
    <s v="ORD-2023-949710"/>
    <d v="2023-03-07T00:00:00"/>
    <d v="2023-03-07T00:00:00"/>
    <s v="Q1 -2023"/>
    <d v="2023-04-01T00:00:00"/>
    <d v="2023-04-01T00:00:00"/>
    <n v="25"/>
    <x v="1"/>
    <s v="Kenya"/>
    <s v="Nairobi"/>
    <s v="Africa&gt;Kenya&gt;Nairobi"/>
    <s v="Consumer"/>
    <s v="Marketplace"/>
    <x v="6"/>
    <s v="Printers"/>
    <s v="PRN-7049"/>
    <n v="1024.0999999999999"/>
    <n v="918.19"/>
    <n v="918.19"/>
    <s v="Medium"/>
    <n v="0.189"/>
    <n v="0.189"/>
    <n v="10"/>
    <n v="7446.5209000000004"/>
    <n v="10241"/>
    <n v="-2794.4790999999996"/>
    <n v="-0.37527311579827827"/>
    <d v="2023-01-20T00:00:00"/>
    <n v="1"/>
    <n v="0"/>
  </r>
  <r>
    <s v="ORD-2023-957692"/>
    <d v="2023-05-07T00:00:00"/>
    <d v="2023-05-07T00:00:00"/>
    <s v="Q2 -2023"/>
    <d v="2023-05-20T00:00:00"/>
    <d v="2023-05-20T00:00:00"/>
    <n v="13"/>
    <x v="0"/>
    <s v="India"/>
    <s v="Mumbai"/>
    <s v="Asia&gt;India&gt;Mumbai"/>
    <s v="Enterprise"/>
    <s v="Retail"/>
    <x v="6"/>
    <s v="Accessories"/>
    <s v="ACC-9283"/>
    <n v="1443.28"/>
    <n v="2580.5700000000002"/>
    <n v="2580.5700000000002"/>
    <s v="High"/>
    <n v="0"/>
    <n v="0"/>
    <n v="18"/>
    <n v="46450.26"/>
    <n v="25979.040000000001"/>
    <n v="20471.22"/>
    <n v="0.4407127107577008"/>
    <d v="2023-01-29T00:00:00"/>
    <n v="3"/>
    <n v="0"/>
  </r>
  <r>
    <s v="ORD-2023-960380"/>
    <d v="2023-02-11T00:00:00"/>
    <d v="2023-02-11T00:00:00"/>
    <s v="Q1 -2023"/>
    <d v="2023-02-12T00:00:00"/>
    <d v="2023-02-12T00:00:00"/>
    <n v="1"/>
    <x v="1"/>
    <s v="Nigeria"/>
    <s v="Port Harcourt"/>
    <s v="Africa&gt;Nigeria&gt;Port Harcourt"/>
    <s v="Non-Profit"/>
    <s v="Direct"/>
    <x v="6"/>
    <s v="Accessories"/>
    <s v="ACC-8242"/>
    <n v="944.61"/>
    <n v="839.04"/>
    <n v="839.04"/>
    <s v="Medium"/>
    <n v="5.8999999999999997E-2"/>
    <n v="5.8999999999999997E-2"/>
    <n v="6"/>
    <n v="4737.2198399999997"/>
    <n v="5667.66"/>
    <n v="-930.44016000000011"/>
    <n v="-0.19641059343363726"/>
    <d v="2023-01-15T00:00:00"/>
    <n v="0"/>
    <n v="0"/>
  </r>
  <r>
    <s v="ORD-2023-961864"/>
    <d v="2023-12-07T00:00:00"/>
    <d v="2023-12-07T00:00:00"/>
    <s v="Q4 -2023"/>
    <d v="2024-01-02T00:00:00"/>
    <d v="2024-01-02T00:00:00"/>
    <n v="26"/>
    <x v="3"/>
    <s v="Germany"/>
    <s v="Frankfurt"/>
    <s v="Europe&gt;Germany&gt;Frankfurt"/>
    <s v="Enterprise"/>
    <s v="Distributor"/>
    <x v="1"/>
    <s v="Components"/>
    <s v="CMP-1940"/>
    <n v="1071.99"/>
    <n v="2397.3000000000002"/>
    <n v="2397.3000000000002"/>
    <s v="High"/>
    <n v="6.2E-2"/>
    <n v="6.2E-2"/>
    <n v="18"/>
    <n v="40476.013200000001"/>
    <n v="19295.82"/>
    <n v="21180.193200000002"/>
    <n v="0.52327765324476183"/>
    <d v="2023-01-22T00:00:00"/>
    <n v="10"/>
    <n v="0"/>
  </r>
  <r>
    <s v="ORD-2023-964434"/>
    <d v="2023-11-28T00:00:00"/>
    <d v="2023-11-28T00:00:00"/>
    <s v="Q4 -2023"/>
    <d v="2023-12-07T00:00:00"/>
    <d v="2023-12-07T00:00:00"/>
    <n v="9"/>
    <x v="0"/>
    <s v="India"/>
    <s v="Delhi"/>
    <s v="Asia&gt;India&gt;Delhi"/>
    <s v="Enterprise"/>
    <s v="Marketplace"/>
    <x v="11"/>
    <s v="Phones"/>
    <s v="PHN-2447"/>
    <n v="699.33"/>
    <n v="873.75"/>
    <n v="873.75"/>
    <s v="Medium"/>
    <n v="0.23499999999999999"/>
    <n v="0.23499999999999999"/>
    <n v="10"/>
    <n v="6684.1875"/>
    <n v="6993.3"/>
    <n v="-309.11250000000018"/>
    <n v="-4.6245336475076469E-2"/>
    <d v="2023-01-29T00:00:00"/>
    <n v="9"/>
    <n v="1"/>
  </r>
  <r>
    <s v="ORD-2023-967239"/>
    <d v="2023-12-24T00:00:00"/>
    <d v="2023-12-24T00:00:00"/>
    <s v="Q4 -2023"/>
    <d v="2024-01-01T00:00:00"/>
    <d v="2024-01-01T00:00:00"/>
    <n v="8"/>
    <x v="2"/>
    <s v="Brazil"/>
    <s v="São Paulo"/>
    <s v="Americas&gt;Brazil&gt;São Paulo"/>
    <s v="Education"/>
    <s v="Direct"/>
    <x v="14"/>
    <s v="Phones"/>
    <s v="PHN-3014"/>
    <n v="526.49"/>
    <n v="496.2"/>
    <n v="496.2"/>
    <s v="Low"/>
    <n v="0"/>
    <n v="0"/>
    <n v="14"/>
    <n v="6946.8"/>
    <n v="7370.8600000000006"/>
    <n v="-424.0600000000004"/>
    <n v="-6.1043933897621985E-2"/>
    <d v="2023-01-29T00:00:00"/>
    <n v="10"/>
    <n v="0"/>
  </r>
  <r>
    <s v="ORD-2023-974506"/>
    <d v="2023-12-28T00:00:00"/>
    <d v="2023-12-28T00:00:00"/>
    <s v="Q4 -2023"/>
    <d v="2024-01-01T00:00:00"/>
    <d v="2024-01-01T00:00:00"/>
    <n v="4"/>
    <x v="1"/>
    <s v="South Africa"/>
    <s v="Cape Town"/>
    <s v="Africa&gt;South Africa&gt;Cape Town"/>
    <s v="Education"/>
    <s v="Distributor"/>
    <x v="0"/>
    <s v="Printers"/>
    <s v="PRN-1654"/>
    <n v="1141.8"/>
    <n v="2318.7399999999998"/>
    <n v="2318.7399999999998"/>
    <s v="High"/>
    <n v="0.107"/>
    <n v="0.107"/>
    <n v="32"/>
    <n v="66260.314239999992"/>
    <n v="36537.599999999999"/>
    <n v="29722.714239999994"/>
    <n v="0.44857490612468304"/>
    <d v="2023-01-07T00:00:00"/>
    <n v="11"/>
    <n v="0"/>
  </r>
  <r>
    <s v="ORD-2023-975863"/>
    <d v="2023-11-20T00:00:00"/>
    <d v="2023-11-20T00:00:00"/>
    <s v="Q4 -2023"/>
    <d v="2023-12-05T00:00:00"/>
    <d v="2023-12-05T00:00:00"/>
    <n v="15"/>
    <x v="0"/>
    <s v="Japan"/>
    <s v="Tokyo"/>
    <s v="Asia&gt;Japan&gt;Tokyo"/>
    <s v="Enterprise"/>
    <s v="Retail"/>
    <x v="11"/>
    <s v="Networking"/>
    <s v="NET-3033"/>
    <n v="354.24"/>
    <n v="249.87"/>
    <n v="249.87"/>
    <s v="Low"/>
    <n v="0"/>
    <n v="0"/>
    <n v="6"/>
    <n v="1499.22"/>
    <n v="2125.44"/>
    <n v="-626.22"/>
    <n v="-0.41769720254532355"/>
    <d v="2023-03-03T00:00:00"/>
    <n v="8"/>
    <n v="0"/>
  </r>
  <r>
    <s v="ORD-2023-987081"/>
    <d v="2023-08-29T00:00:00"/>
    <d v="2023-08-29T00:00:00"/>
    <s v="Q3 -2023"/>
    <d v="2023-09-13T00:00:00"/>
    <d v="2023-09-13T00:00:00"/>
    <n v="15"/>
    <x v="2"/>
    <s v="Canada"/>
    <s v="Vancouver"/>
    <s v="Americas&gt;Canada&gt;Vancouver"/>
    <s v="Small Business"/>
    <s v="Marketplace"/>
    <x v="2"/>
    <s v="Printers"/>
    <s v="PRN-9975"/>
    <n v="1287.6400000000001"/>
    <n v="2717.15"/>
    <n v="2717.15"/>
    <s v="High"/>
    <n v="3.2000000000000001E-2"/>
    <n v="3.2000000000000001E-2"/>
    <n v="7"/>
    <n v="18411.4084"/>
    <n v="9013.4800000000014"/>
    <n v="9397.9283999999989"/>
    <n v="0.51044049405802105"/>
    <d v="2023-01-02T00:00:00"/>
    <n v="7"/>
    <n v="0"/>
  </r>
  <r>
    <s v="ORD-2023-987700"/>
    <d v="2023-04-05T00:00:00"/>
    <d v="2023-04-05T00:00:00"/>
    <s v="Q2 -2023"/>
    <d v="2023-04-16T00:00:00"/>
    <d v="2023-04-16T00:00:00"/>
    <n v="11"/>
    <x v="2"/>
    <s v="Canada"/>
    <s v="Vancouver"/>
    <s v="Americas&gt;Canada&gt;Vancouver"/>
    <s v="Non-Profit"/>
    <s v="Online"/>
    <x v="2"/>
    <s v="Monitors"/>
    <s v="MON-5259"/>
    <n v="213.1"/>
    <n v="501.31"/>
    <n v="501.31"/>
    <s v="Low"/>
    <n v="5.6000000000000001E-2"/>
    <n v="5.6000000000000001E-2"/>
    <n v="15"/>
    <n v="7098.5495999999994"/>
    <n v="3196.5"/>
    <n v="3902.0495999999994"/>
    <n v="0.54969674368409005"/>
    <d v="2023-01-02T00:00:00"/>
    <n v="3"/>
    <n v="0"/>
  </r>
  <r>
    <s v="ORD-2024-102866"/>
    <d v="2024-12-12T00:00:00"/>
    <d v="2024-12-12T00:00:00"/>
    <s v="Q4 -2024"/>
    <d v="2024-12-20T00:00:00"/>
    <d v="2024-12-20T00:00:00"/>
    <n v="8"/>
    <x v="0"/>
    <s v="Japan"/>
    <s v="Tokyo"/>
    <s v="Asia&gt;Japan&gt;Tokyo"/>
    <s v="Corporate"/>
    <s v="Retail"/>
    <x v="12"/>
    <s v="Laptops"/>
    <s v="LAP-8347"/>
    <n v="1202.47"/>
    <n v="1444.72"/>
    <n v="1444.72"/>
    <s v="Medium"/>
    <n v="0.24099999999999999"/>
    <n v="0.24099999999999999"/>
    <n v="17"/>
    <n v="18641.222160000001"/>
    <n v="20441.990000000002"/>
    <n v="-1800.7678400000004"/>
    <n v="-9.6601382921343834E-2"/>
    <d v="2023-03-03T00:00:00"/>
    <n v="21"/>
    <n v="1"/>
  </r>
  <r>
    <s v="ORD-2024-105586"/>
    <d v="2024-01-02T00:00:00"/>
    <d v="2024-01-02T00:00:00"/>
    <s v="Q1 -2024"/>
    <d v="2024-01-15T00:00:00"/>
    <d v="2024-01-15T00:00:00"/>
    <n v="13"/>
    <x v="0"/>
    <s v="Japan"/>
    <s v="Nagoya"/>
    <s v="Asia&gt;Japan&gt;Nagoya"/>
    <s v="Small Business"/>
    <s v="Marketplace"/>
    <x v="10"/>
    <s v="Networking"/>
    <s v="NET-1893"/>
    <n v="1219.06"/>
    <n v="2738.69"/>
    <n v="2738.69"/>
    <s v="High"/>
    <n v="7.5999999999999998E-2"/>
    <n v="7.5999999999999998E-2"/>
    <n v="16"/>
    <n v="40488.792960000006"/>
    <n v="19504.96"/>
    <n v="20983.832960000007"/>
    <n v="0.51826274447673737"/>
    <d v="2023-03-03T00:00:00"/>
    <n v="9"/>
    <n v="0"/>
  </r>
  <r>
    <s v="ORD-2024-129345"/>
    <d v="2024-02-18T00:00:00"/>
    <d v="2024-02-18T00:00:00"/>
    <s v="Q1 -2024"/>
    <d v="2024-03-03T00:00:00"/>
    <d v="2024-03-03T00:00:00"/>
    <n v="14"/>
    <x v="2"/>
    <s v="Brazil"/>
    <s v="Unknown"/>
    <s v="Americas&gt;Brazil&gt;Unknown"/>
    <s v="Enterprise"/>
    <s v="Distributor"/>
    <x v="0"/>
    <s v="Printers"/>
    <s v="PRN-5384"/>
    <n v="624.23"/>
    <n v="1318.37"/>
    <n v="1318.37"/>
    <s v="Medium"/>
    <n v="0.21"/>
    <n v="0.21"/>
    <n v="37"/>
    <n v="38535.955099999999"/>
    <n v="23096.510000000002"/>
    <n v="15439.445099999997"/>
    <n v="0.40065038118128793"/>
    <d v="2023-01-29T00:00:00"/>
    <n v="12"/>
    <n v="1"/>
  </r>
  <r>
    <s v="ORD-2024-134084"/>
    <d v="2024-06-04T00:00:00"/>
    <d v="2024-06-04T00:00:00"/>
    <s v="Q2 -2024"/>
    <d v="2024-06-16T00:00:00"/>
    <d v="2024-06-16T00:00:00"/>
    <n v="12"/>
    <x v="0"/>
    <s v="China"/>
    <s v="Shanghai"/>
    <s v="Asia&gt;China&gt;Shanghai"/>
    <s v="Corporate"/>
    <s v="Retail"/>
    <x v="5"/>
    <s v="Printers"/>
    <s v="PRN-4097"/>
    <n v="918.42"/>
    <n v="1511.71"/>
    <n v="1511.71"/>
    <s v="Medium"/>
    <n v="0.02"/>
    <n v="0.02"/>
    <n v="8"/>
    <n v="11851.806399999999"/>
    <n v="7347.36"/>
    <n v="4504.4463999999998"/>
    <n v="0.38006412254590999"/>
    <d v="2023-01-12T00:00:00"/>
    <n v="16"/>
    <n v="0"/>
  </r>
  <r>
    <s v="ORD-2024-136321"/>
    <d v="2024-08-07T00:00:00"/>
    <d v="2024-08-07T00:00:00"/>
    <s v="Q3 -2024"/>
    <d v="2024-08-17T00:00:00"/>
    <d v="2024-08-17T00:00:00"/>
    <n v="10"/>
    <x v="0"/>
    <s v="Japan"/>
    <s v="Osaka"/>
    <s v="Asia&gt;Japan&gt;Osaka"/>
    <s v="Consumer"/>
    <s v="Online"/>
    <x v="4"/>
    <s v="Networking"/>
    <s v="NET-7924"/>
    <n v="436.58"/>
    <n v="527.48"/>
    <n v="527.48"/>
    <s v="Low"/>
    <n v="0.111"/>
    <n v="0.111"/>
    <n v="19"/>
    <n v="8909.6646800000017"/>
    <n v="8295.02"/>
    <n v="614.64468000000124"/>
    <n v="6.8986286473802644E-2"/>
    <d v="2023-03-03T00:00:00"/>
    <n v="17"/>
    <n v="0"/>
  </r>
  <r>
    <s v="ORD-2024-140633"/>
    <d v="2024-12-07T00:00:00"/>
    <d v="2024-12-07T00:00:00"/>
    <s v="Q4 -2024"/>
    <d v="2024-12-26T00:00:00"/>
    <d v="2024-12-26T00:00:00"/>
    <n v="19"/>
    <x v="3"/>
    <s v="United Kingdom"/>
    <s v="London"/>
    <s v="Europe&gt;United Kingdom&gt;London"/>
    <s v="Enterprise"/>
    <s v="Online"/>
    <x v="6"/>
    <s v="Networking"/>
    <s v="NET-4491"/>
    <n v="1035.24"/>
    <n v="2383.41"/>
    <n v="2383.41"/>
    <s v="High"/>
    <n v="0.17"/>
    <n v="0.17"/>
    <n v="15"/>
    <n v="29673.454499999993"/>
    <n v="15528.6"/>
    <n v="14144.854499999992"/>
    <n v="0.47668378145860962"/>
    <d v="2023-01-19T00:00:00"/>
    <n v="22"/>
    <n v="0"/>
  </r>
  <r>
    <s v="ORD-2024-153053"/>
    <d v="2024-01-12T00:00:00"/>
    <d v="2024-01-12T00:00:00"/>
    <s v="Q1 -2024"/>
    <d v="2024-01-29T00:00:00"/>
    <d v="2024-01-29T00:00:00"/>
    <n v="17"/>
    <x v="0"/>
    <s v="India"/>
    <s v="Hyderabad"/>
    <s v="Asia&gt;India&gt;Hyderabad"/>
    <s v="Small Business"/>
    <s v="Direct"/>
    <x v="12"/>
    <s v="Components"/>
    <s v="CMP-5138"/>
    <n v="310.02"/>
    <n v="619.51"/>
    <n v="619.51"/>
    <s v="Low"/>
    <n v="4.2000000000000003E-2"/>
    <n v="4.2000000000000003E-2"/>
    <n v="4"/>
    <n v="2373.9623200000001"/>
    <n v="1240.08"/>
    <n v="1133.8823200000002"/>
    <n v="0.47763282106347843"/>
    <d v="2023-01-29T00:00:00"/>
    <n v="11"/>
    <n v="0"/>
  </r>
  <r>
    <s v="ORD-2024-155337"/>
    <d v="2024-05-21T00:00:00"/>
    <d v="2024-05-21T00:00:00"/>
    <s v="Q2 -2024"/>
    <d v="2024-05-27T00:00:00"/>
    <d v="2024-05-27T00:00:00"/>
    <n v="6"/>
    <x v="1"/>
    <s v="South Africa"/>
    <s v="Johannesburg"/>
    <s v="Africa&gt;South Africa&gt;Johannesburg"/>
    <s v="Non-Profit"/>
    <s v="Online"/>
    <x v="8"/>
    <s v="Components"/>
    <s v="CMP-8101"/>
    <n v="1157.51"/>
    <n v="1394.3"/>
    <n v="1394.3"/>
    <s v="Medium"/>
    <n v="0.27800000000000002"/>
    <n v="0.27800000000000002"/>
    <n v="12"/>
    <n v="12080.215199999999"/>
    <n v="13890.119999999999"/>
    <n v="-1809.9048000000003"/>
    <n v="-0.14982388724333326"/>
    <d v="2023-01-07T00:00:00"/>
    <n v="16"/>
    <n v="1"/>
  </r>
  <r>
    <s v="ORD-2024-164288"/>
    <d v="2024-12-21T00:00:00"/>
    <d v="2024-12-21T00:00:00"/>
    <s v="Q4 -2024"/>
    <d v="2024-12-26T00:00:00"/>
    <d v="2024-12-26T00:00:00"/>
    <n v="5"/>
    <x v="2"/>
    <s v="USA"/>
    <s v="San Francisco"/>
    <s v="Americas&gt;USA&gt;San Francisco"/>
    <s v="Consumer"/>
    <s v="Marketplace"/>
    <x v="8"/>
    <s v="Printers"/>
    <s v="PRN-4788"/>
    <n v="699.57"/>
    <n v="572.71"/>
    <n v="572.71"/>
    <s v="Low"/>
    <n v="0.192"/>
    <n v="0.192"/>
    <n v="26"/>
    <n v="12031.491680000001"/>
    <n v="18188.82"/>
    <n v="-6157.3283199999987"/>
    <n v="-0.51176765805651114"/>
    <d v="2023-01-13T00:00:00"/>
    <n v="23"/>
    <n v="0"/>
  </r>
  <r>
    <s v="ORD-2024-165942"/>
    <d v="2024-12-29T00:00:00"/>
    <d v="2024-12-29T00:00:00"/>
    <s v="Q4 -2024"/>
    <d v="2025-01-12T00:00:00"/>
    <d v="2025-01-12T00:00:00"/>
    <n v="14"/>
    <x v="3"/>
    <s v="United Kingdom"/>
    <s v="Manchester"/>
    <s v="Europe&gt;United Kingdom&gt;Manchester"/>
    <s v="Corporate"/>
    <s v="Direct"/>
    <x v="12"/>
    <s v="Monitors"/>
    <s v="MON-6310"/>
    <n v="1399.72"/>
    <n v="3149.21"/>
    <n v="3149.21"/>
    <s v="High"/>
    <n v="0.185"/>
    <n v="0.185"/>
    <n v="12"/>
    <n v="30799.273800000003"/>
    <n v="16796.64"/>
    <n v="14002.633800000003"/>
    <n v="0.45464168703873797"/>
    <d v="2023-01-19T00:00:00"/>
    <n v="23"/>
    <n v="0"/>
  </r>
  <r>
    <s v="ORD-2024-166150"/>
    <d v="2024-06-02T00:00:00"/>
    <d v="2024-06-02T00:00:00"/>
    <s v="Q2 -2024"/>
    <d v="2024-06-08T00:00:00"/>
    <d v="2024-06-08T00:00:00"/>
    <n v="6"/>
    <x v="1"/>
    <s v="Kenya"/>
    <s v="Kisumu"/>
    <s v="Africa&gt;Kenya&gt;Kisumu"/>
    <s v="Consumer"/>
    <s v="Marketplace"/>
    <x v="0"/>
    <s v="Accessories"/>
    <s v="ACC-9820"/>
    <n v="292.94"/>
    <n v="356.55"/>
    <n v="356.55"/>
    <s v="Low"/>
    <n v="0.22900000000000001"/>
    <n v="0.22900000000000001"/>
    <n v="2"/>
    <n v="549.80010000000004"/>
    <n v="585.88"/>
    <n v="-36.079899999999952"/>
    <n v="-6.5623669402751925E-2"/>
    <d v="2023-01-20T00:00:00"/>
    <n v="16"/>
    <n v="1"/>
  </r>
  <r>
    <s v="ORD-2024-167215"/>
    <d v="2024-08-23T00:00:00"/>
    <d v="2024-08-23T00:00:00"/>
    <s v="Q3 -2024"/>
    <d v="2024-08-21T00:00:00"/>
    <d v="2024-08-28T00:00:00"/>
    <n v="5"/>
    <x v="1"/>
    <s v="South Africa"/>
    <s v="Johannesburg"/>
    <s v="Africa&gt;South Africa&gt;Johannesburg"/>
    <s v="Education"/>
    <s v="Retail"/>
    <x v="1"/>
    <s v="Components"/>
    <s v="CMP-1559"/>
    <n v="1432.52"/>
    <n v="3036.87"/>
    <n v="3036.87"/>
    <s v="High"/>
    <n v="0"/>
    <n v="0"/>
    <n v="9"/>
    <n v="27331.829999999998"/>
    <n v="12892.68"/>
    <n v="14439.149999999998"/>
    <n v="0.52829064135112791"/>
    <d v="2023-01-07T00:00:00"/>
    <n v="19"/>
    <n v="0"/>
  </r>
  <r>
    <s v="ORD-2024-170021"/>
    <d v="2024-11-05T00:00:00"/>
    <d v="2024-11-05T00:00:00"/>
    <s v="Q4 -2024"/>
    <d v="2024-11-08T00:00:00"/>
    <d v="2024-11-08T00:00:00"/>
    <n v="3"/>
    <x v="2"/>
    <s v="Canada"/>
    <s v="Toronto"/>
    <s v="Americas&gt;Canada&gt;Toronto"/>
    <s v="Education"/>
    <s v="Marketplace"/>
    <x v="2"/>
    <s v="Components"/>
    <s v="CMP-2015"/>
    <n v="1020.4"/>
    <n v="1184.71"/>
    <n v="1184.71"/>
    <s v="Medium"/>
    <n v="0.106"/>
    <n v="0.106"/>
    <n v="16"/>
    <n v="16946.091840000001"/>
    <n v="16326.4"/>
    <n v="619.69184000000132"/>
    <n v="3.6568422138328345E-2"/>
    <d v="2023-01-02T00:00:00"/>
    <n v="22"/>
    <n v="0"/>
  </r>
  <r>
    <s v="ORD-2024-170313"/>
    <d v="2024-12-27T00:00:00"/>
    <d v="2024-12-27T00:00:00"/>
    <s v="Q4 -2024"/>
    <d v="2025-01-15T00:00:00"/>
    <d v="2025-01-15T00:00:00"/>
    <n v="19"/>
    <x v="0"/>
    <s v="India"/>
    <s v="Delhi"/>
    <s v="Asia&gt;India&gt;Delhi"/>
    <s v="Non-Profit"/>
    <s v="Distributor"/>
    <x v="10"/>
    <s v="Components"/>
    <s v="CMP-6919"/>
    <n v="495.59"/>
    <n v="631.78"/>
    <n v="631.78"/>
    <s v="Low"/>
    <n v="8.6999999999999994E-2"/>
    <n v="8.6999999999999994E-2"/>
    <n v="17"/>
    <n v="9805.8573800000013"/>
    <n v="8425.0299999999988"/>
    <n v="1380.8273800000024"/>
    <n v="0.14081658813601899"/>
    <d v="2023-01-29T00:00:00"/>
    <n v="22"/>
    <n v="0"/>
  </r>
  <r>
    <s v="ORD-2024-192263"/>
    <d v="2024-11-21T00:00:00"/>
    <d v="2024-11-21T00:00:00"/>
    <s v="Q4 -2024"/>
    <d v="2024-12-21T00:00:00"/>
    <d v="2024-12-21T00:00:00"/>
    <n v="30"/>
    <x v="3"/>
    <s v="France"/>
    <s v="Marseille"/>
    <s v="Europe&gt;France&gt;Marseille"/>
    <s v="Small Business"/>
    <s v="Direct"/>
    <x v="9"/>
    <s v="Monitors"/>
    <s v="MON-7943"/>
    <n v="1122.68"/>
    <n v="1997.19"/>
    <n v="1997.19"/>
    <s v="High"/>
    <n v="0.186"/>
    <n v="0.186"/>
    <n v="3"/>
    <n v="4877.1379800000004"/>
    <n v="3368.04"/>
    <n v="1509.0979800000005"/>
    <n v="0.30942285951073306"/>
    <d v="2023-01-10T00:00:00"/>
    <n v="22"/>
    <n v="0"/>
  </r>
  <r>
    <s v="ORD-2024-197852"/>
    <d v="2024-02-29T00:00:00"/>
    <d v="2024-02-29T00:00:00"/>
    <s v="Q1 -2024"/>
    <d v="2024-03-30T00:00:00"/>
    <d v="2024-03-30T00:00:00"/>
    <n v="30"/>
    <x v="0"/>
    <s v="Japan"/>
    <s v="Nagoya"/>
    <s v="Asia&gt;Japan&gt;Nagoya"/>
    <s v="Small Business"/>
    <s v="Direct"/>
    <x v="9"/>
    <s v="Networking"/>
    <s v="NET-7588"/>
    <n v="231.11"/>
    <n v="318.17"/>
    <n v="318.17"/>
    <s v="Low"/>
    <n v="0.20100000000000001"/>
    <n v="0.20100000000000001"/>
    <n v="60"/>
    <n v="15253.069799999999"/>
    <n v="13866.6"/>
    <n v="1386.4697999999989"/>
    <n v="9.0897754889969692E-2"/>
    <d v="2023-03-03T00:00:00"/>
    <n v="11"/>
    <n v="1"/>
  </r>
  <r>
    <s v="ORD-2024-201376"/>
    <d v="2024-02-18T00:00:00"/>
    <d v="2024-02-18T00:00:00"/>
    <s v="Q1 -2024"/>
    <d v="2024-03-04T00:00:00"/>
    <d v="2024-03-04T00:00:00"/>
    <n v="15"/>
    <x v="1"/>
    <s v="Kenya"/>
    <s v="Kisumu"/>
    <s v="Africa&gt;Kenya&gt;Kisumu"/>
    <s v="Education"/>
    <s v="Direct"/>
    <x v="4"/>
    <s v="Printers"/>
    <s v="PRN-7089"/>
    <n v="928.68"/>
    <n v="2145.17"/>
    <n v="2145.17"/>
    <s v="High"/>
    <n v="0.13600000000000001"/>
    <n v="0.13600000000000001"/>
    <n v="16"/>
    <n v="29654.83008"/>
    <n v="14858.88"/>
    <n v="14795.950080000001"/>
    <n v="0.49893896003062177"/>
    <d v="2023-01-20T00:00:00"/>
    <n v="12"/>
    <n v="0"/>
  </r>
  <r>
    <s v="ORD-2024-202166"/>
    <d v="2024-05-05T00:00:00"/>
    <d v="2024-05-05T00:00:00"/>
    <s v="Q2 -2024"/>
    <d v="2024-05-18T00:00:00"/>
    <d v="2024-05-18T00:00:00"/>
    <n v="13"/>
    <x v="3"/>
    <s v="France"/>
    <s v="Marseille"/>
    <s v="Europe&gt;France&gt;Marseille"/>
    <s v="Corporate"/>
    <s v="Marketplace"/>
    <x v="0"/>
    <s v="Components"/>
    <s v="CMP-3313"/>
    <n v="1264.04"/>
    <n v="1870.89"/>
    <n v="1870.89"/>
    <s v="High"/>
    <n v="0"/>
    <n v="0"/>
    <n v="13"/>
    <n v="24321.57"/>
    <n v="16432.52"/>
    <n v="7889.0499999999993"/>
    <n v="0.32436433996653996"/>
    <d v="2023-01-10T00:00:00"/>
    <n v="15"/>
    <n v="0"/>
  </r>
  <r>
    <s v="ORD-2024-202877"/>
    <d v="2024-07-13T00:00:00"/>
    <d v="2024-07-13T00:00:00"/>
    <s v="Q3 -2024"/>
    <d v="2024-08-03T00:00:00"/>
    <d v="2024-08-03T00:00:00"/>
    <n v="21"/>
    <x v="2"/>
    <s v="Brazil"/>
    <s v="Rio de Janeiro"/>
    <s v="Americas&gt;Brazil&gt;Rio de Janeiro"/>
    <s v="Corporate"/>
    <s v="Marketplace"/>
    <x v="8"/>
    <s v="Monitors"/>
    <s v="MON-6287"/>
    <n v="702.98"/>
    <n v="1104.8"/>
    <n v="1104.8"/>
    <s v="Medium"/>
    <n v="0.17499999999999999"/>
    <n v="0.17499999999999999"/>
    <n v="12"/>
    <n v="10937.519999999999"/>
    <n v="8435.76"/>
    <n v="2501.7599999999984"/>
    <n v="0.22873192460448061"/>
    <d v="2023-01-29T00:00:00"/>
    <n v="17"/>
    <n v="0"/>
  </r>
  <r>
    <s v="ORD-2024-206081"/>
    <d v="2024-12-10T00:00:00"/>
    <d v="2024-12-10T00:00:00"/>
    <s v="Q4 -2024"/>
    <d v="2025-01-08T00:00:00"/>
    <d v="2025-01-08T00:00:00"/>
    <n v="29"/>
    <x v="3"/>
    <s v="France"/>
    <s v="Marseille"/>
    <s v="Europe&gt;France&gt;Marseille"/>
    <s v="Small Business"/>
    <s v="Retail"/>
    <x v="4"/>
    <s v="Printers"/>
    <s v="PRN-6791"/>
    <n v="891.08"/>
    <n v="1040.0999999999999"/>
    <n v="1040.0999999999999"/>
    <s v="Medium"/>
    <n v="0.109"/>
    <n v="0.109"/>
    <n v="28"/>
    <n v="25948.414799999995"/>
    <n v="24950.240000000002"/>
    <n v="998.17479999999341"/>
    <n v="3.8467660074556598E-2"/>
    <d v="2023-01-10T00:00:00"/>
    <n v="23"/>
    <n v="0"/>
  </r>
  <r>
    <s v="ORD-2024-206121"/>
    <d v="2024-02-18T00:00:00"/>
    <d v="2024-02-18T00:00:00"/>
    <s v="Q1 -2024"/>
    <d v="2024-03-11T00:00:00"/>
    <d v="2024-03-11T00:00:00"/>
    <n v="22"/>
    <x v="2"/>
    <s v="Brazil"/>
    <s v="São Paulo"/>
    <s v="Americas&gt;Brazil&gt;São Paulo"/>
    <s v="Consumer"/>
    <s v="Online"/>
    <x v="0"/>
    <s v="Components"/>
    <s v="CMP-9801"/>
    <n v="80.48"/>
    <n v="65.650000000000006"/>
    <n v="65.650000000000006"/>
    <s v="Low"/>
    <n v="0.17599999999999999"/>
    <n v="0.17599999999999999"/>
    <n v="13"/>
    <n v="703.2428000000001"/>
    <n v="1046.24"/>
    <n v="-342.99719999999991"/>
    <n v="-0.48773652570634191"/>
    <d v="2023-01-29T00:00:00"/>
    <n v="12"/>
    <n v="0"/>
  </r>
  <r>
    <s v="ORD-2024-206311"/>
    <d v="2024-01-13T00:00:00"/>
    <d v="2024-01-13T00:00:00"/>
    <s v="Q1 -2024"/>
    <d v="2024-01-15T00:00:00"/>
    <d v="2024-01-15T00:00:00"/>
    <n v="2"/>
    <x v="2"/>
    <s v="USA"/>
    <s v="San Francisco"/>
    <s v="Americas&gt;USA&gt;San Francisco"/>
    <s v="Non-Profit"/>
    <s v="Direct"/>
    <x v="1"/>
    <s v="Components"/>
    <s v="CMP-2410"/>
    <n v="1061.3699999999999"/>
    <n v="1938.33"/>
    <n v="1938.33"/>
    <s v="High"/>
    <n v="0.17"/>
    <n v="0.17"/>
    <n v="4"/>
    <n v="6435.2555999999995"/>
    <n v="4245.4799999999996"/>
    <n v="2189.7755999999999"/>
    <n v="0.34027795259600879"/>
    <d v="2023-01-13T00:00:00"/>
    <n v="12"/>
    <n v="0"/>
  </r>
  <r>
    <s v="ORD-2024-207096"/>
    <d v="2024-03-26T00:00:00"/>
    <d v="2024-03-26T00:00:00"/>
    <s v="Q1 -2024"/>
    <d v="2024-04-05T00:00:00"/>
    <d v="2024-04-05T00:00:00"/>
    <n v="10"/>
    <x v="2"/>
    <s v="USA"/>
    <s v="Austin"/>
    <s v="Americas&gt;USA&gt;Austin"/>
    <s v="Consumer"/>
    <s v="Direct"/>
    <x v="5"/>
    <s v="Monitors"/>
    <s v="MON-5444"/>
    <n v="5.66"/>
    <n v="4.22"/>
    <n v="4.22"/>
    <s v="Low"/>
    <n v="0.11899999999999999"/>
    <n v="0.11899999999999999"/>
    <n v="18"/>
    <n v="66.920760000000001"/>
    <n v="101.88"/>
    <n v="-34.959239999999994"/>
    <n v="-0.52239753403876454"/>
    <d v="2023-01-13T00:00:00"/>
    <n v="14"/>
    <n v="0"/>
  </r>
  <r>
    <s v="ORD-2024-207669"/>
    <d v="2024-01-24T00:00:00"/>
    <d v="2024-01-24T00:00:00"/>
    <s v="Q1 -2024"/>
    <d v="2024-02-04T00:00:00"/>
    <d v="2024-02-04T00:00:00"/>
    <n v="11"/>
    <x v="3"/>
    <s v="United Kingdom"/>
    <s v="Manchester"/>
    <s v="Europe&gt;United Kingdom&gt;Manchester"/>
    <s v="Consumer"/>
    <s v="Retail"/>
    <x v="12"/>
    <s v="Laptops"/>
    <s v="LAP-5689"/>
    <n v="525.34"/>
    <n v="1233.79"/>
    <n v="1233.79"/>
    <s v="Medium"/>
    <n v="0.14299999999999999"/>
    <n v="0.14299999999999999"/>
    <n v="4"/>
    <n v="4229.4321199999995"/>
    <n v="2101.36"/>
    <n v="2128.0721199999994"/>
    <n v="0.50315788494082736"/>
    <d v="2023-01-19T00:00:00"/>
    <n v="12"/>
    <n v="0"/>
  </r>
  <r>
    <s v="ORD-2024-207792"/>
    <d v="2024-09-03T00:00:00"/>
    <d v="2024-09-03T00:00:00"/>
    <s v="Q3 -2024"/>
    <d v="2024-09-07T00:00:00"/>
    <d v="2024-09-07T00:00:00"/>
    <n v="4"/>
    <x v="0"/>
    <s v="Japan"/>
    <s v="Tokyo"/>
    <s v="Asia&gt;Japan&gt;Tokyo"/>
    <s v="Small Business"/>
    <s v="Distributor"/>
    <x v="13"/>
    <s v="Printers"/>
    <s v="PRN-3917"/>
    <n v="43.23"/>
    <n v="94.78"/>
    <n v="94.78"/>
    <s v="Low"/>
    <n v="9.0999999999999998E-2"/>
    <n v="9.0999999999999998E-2"/>
    <n v="55"/>
    <n v="4738.5261"/>
    <n v="2377.6499999999996"/>
    <n v="2360.8761000000004"/>
    <n v="0.49823005090127082"/>
    <d v="2023-03-03T00:00:00"/>
    <n v="18"/>
    <n v="0"/>
  </r>
  <r>
    <s v="ORD-2024-210687"/>
    <d v="2024-01-28T00:00:00"/>
    <d v="2024-01-28T00:00:00"/>
    <s v="Q1 -2024"/>
    <d v="2024-02-09T00:00:00"/>
    <d v="2024-02-09T00:00:00"/>
    <n v="12"/>
    <x v="3"/>
    <s v="Germany"/>
    <s v="Berlin"/>
    <s v="Europe&gt;Germany&gt;Berlin"/>
    <s v="Corporate"/>
    <s v="Online"/>
    <x v="10"/>
    <s v="Accessories"/>
    <s v="ACC-7938"/>
    <n v="644.16999999999996"/>
    <n v="700.12"/>
    <n v="700.12"/>
    <s v="Low"/>
    <n v="6.0000000000000001E-3"/>
    <n v="6.0000000000000001E-3"/>
    <n v="23"/>
    <n v="16006.14344"/>
    <n v="14815.91"/>
    <n v="1190.23344"/>
    <n v="7.436103796405813E-2"/>
    <d v="2023-01-22T00:00:00"/>
    <n v="12"/>
    <n v="0"/>
  </r>
  <r>
    <s v="ORD-2024-211453"/>
    <d v="2024-04-04T00:00:00"/>
    <d v="2024-04-04T00:00:00"/>
    <s v="Q2 -2024"/>
    <d v="2024-04-24T00:00:00"/>
    <d v="2024-04-24T00:00:00"/>
    <n v="20"/>
    <x v="3"/>
    <s v="Germany"/>
    <s v="Frankfurt"/>
    <s v="Europe&gt;Germany&gt;Frankfurt"/>
    <s v="Non-Profit"/>
    <s v="Direct"/>
    <x v="2"/>
    <s v="Accessories"/>
    <s v="ACC-6543"/>
    <n v="683.42"/>
    <n v="951.51"/>
    <n v="951.51"/>
    <s v="Medium"/>
    <n v="0"/>
    <n v="0"/>
    <n v="14"/>
    <n v="13321.14"/>
    <n v="9567.8799999999992"/>
    <n v="3753.26"/>
    <n v="0.28175216235247136"/>
    <d v="2023-01-22T00:00:00"/>
    <n v="14"/>
    <n v="0"/>
  </r>
  <r>
    <s v="ORD-2024-212990"/>
    <d v="2024-08-12T00:00:00"/>
    <d v="2024-08-12T00:00:00"/>
    <s v="Q3 -2024"/>
    <d v="2024-09-03T00:00:00"/>
    <d v="2024-09-03T00:00:00"/>
    <n v="22"/>
    <x v="2"/>
    <s v="USA"/>
    <s v="Austin"/>
    <s v="Americas&gt;USA&gt;Austin"/>
    <s v="Consumer"/>
    <s v="Distributor"/>
    <x v="9"/>
    <s v="Laptops"/>
    <s v="LAP-7979"/>
    <n v="797.8"/>
    <n v="886.22"/>
    <n v="886.22"/>
    <s v="Medium"/>
    <n v="0.23599999999999999"/>
    <n v="0.23599999999999999"/>
    <n v="36"/>
    <n v="24374.594880000001"/>
    <n v="28720.799999999999"/>
    <n v="-4346.2051199999987"/>
    <n v="-0.17830881462428633"/>
    <d v="2023-01-13T00:00:00"/>
    <n v="18"/>
    <n v="1"/>
  </r>
  <r>
    <s v="ORD-2024-215294"/>
    <d v="2024-06-30T00:00:00"/>
    <d v="2024-06-30T00:00:00"/>
    <s v="Q2 -2024"/>
    <d v="2024-07-14T00:00:00"/>
    <d v="2024-07-14T00:00:00"/>
    <n v="14"/>
    <x v="2"/>
    <s v="Brazil"/>
    <s v="Brasília"/>
    <s v="Americas&gt;Brazil&gt;Brasília"/>
    <s v="Education"/>
    <s v="Retail"/>
    <x v="14"/>
    <s v="Accessories"/>
    <s v="ACC-8683"/>
    <n v="1491.85"/>
    <n v="2583.02"/>
    <n v="2583.02"/>
    <s v="High"/>
    <n v="0.16800000000000001"/>
    <n v="0.16800000000000001"/>
    <n v="4"/>
    <n v="8596.2905599999995"/>
    <n v="5967.4"/>
    <n v="2628.8905599999998"/>
    <n v="0.30581685689321325"/>
    <d v="2023-01-29T00:00:00"/>
    <n v="17"/>
    <n v="0"/>
  </r>
  <r>
    <s v="ORD-2024-219735"/>
    <d v="2024-04-03T00:00:00"/>
    <d v="2024-04-03T00:00:00"/>
    <s v="Q2 -2024"/>
    <d v="2024-04-07T00:00:00"/>
    <d v="2024-04-07T00:00:00"/>
    <n v="4"/>
    <x v="2"/>
    <s v="Brazil"/>
    <s v="Brasília"/>
    <s v="Americas&gt;Brazil&gt;Brasília"/>
    <s v="Non-Profit"/>
    <s v="Direct"/>
    <x v="13"/>
    <s v="Phones"/>
    <s v="PHN-5445"/>
    <n v="1023.27"/>
    <n v="1343.64"/>
    <n v="1343.64"/>
    <s v="Medium"/>
    <n v="0.13300000000000001"/>
    <n v="0.13300000000000001"/>
    <n v="7"/>
    <n v="8154.5511600000009"/>
    <n v="7162.8899999999994"/>
    <n v="991.66116000000147"/>
    <n v="0.12160830688810116"/>
    <d v="2023-01-29T00:00:00"/>
    <n v="14"/>
    <n v="0"/>
  </r>
  <r>
    <s v="ORD-2024-220234"/>
    <d v="2024-03-15T00:00:00"/>
    <d v="2024-03-15T00:00:00"/>
    <s v="Q1 -2024"/>
    <d v="2024-04-09T00:00:00"/>
    <d v="2024-04-09T00:00:00"/>
    <n v="25"/>
    <x v="2"/>
    <s v="Canada"/>
    <s v="Vancouver"/>
    <s v="Americas&gt;Canada&gt;Vancouver"/>
    <s v="Consumer"/>
    <s v="Online"/>
    <x v="3"/>
    <s v="Monitors"/>
    <s v="MON-4361"/>
    <n v="648.64"/>
    <n v="815.19"/>
    <n v="815.19"/>
    <s v="Low"/>
    <n v="0.22500000000000001"/>
    <n v="0.22500000000000001"/>
    <n v="28"/>
    <n v="17689.623"/>
    <n v="18161.919999999998"/>
    <n v="-472.29699999999866"/>
    <n v="-2.6699099240272032E-2"/>
    <d v="2023-01-02T00:00:00"/>
    <n v="14"/>
    <n v="1"/>
  </r>
  <r>
    <s v="ORD-2024-223618"/>
    <d v="2024-06-10T00:00:00"/>
    <d v="2024-06-10T00:00:00"/>
    <s v="Q2 -2024"/>
    <d v="2024-06-11T00:00:00"/>
    <d v="2024-06-11T00:00:00"/>
    <n v="1"/>
    <x v="3"/>
    <s v="United Kingdom"/>
    <s v="Birmingham"/>
    <s v="Europe&gt;United Kingdom&gt;Birmingham"/>
    <s v="Small Business"/>
    <s v="Marketplace"/>
    <x v="8"/>
    <s v="Laptops"/>
    <s v="LAP-9230"/>
    <n v="1187.1300000000001"/>
    <n v="1795.17"/>
    <n v="1795.17"/>
    <s v="High"/>
    <n v="1.2E-2"/>
    <n v="1.2E-2"/>
    <n v="17"/>
    <n v="30151.675319999998"/>
    <n v="20181.210000000003"/>
    <n v="9970.4653199999957"/>
    <n v="0.33067699271046663"/>
    <d v="2023-01-19T00:00:00"/>
    <n v="16"/>
    <n v="0"/>
  </r>
  <r>
    <s v="ORD-2024-225829"/>
    <d v="2024-11-07T00:00:00"/>
    <d v="2024-11-07T00:00:00"/>
    <s v="Q4 -2024"/>
    <d v="2024-11-26T00:00:00"/>
    <d v="2024-11-26T00:00:00"/>
    <n v="19"/>
    <x v="2"/>
    <s v="Brazil"/>
    <s v="Rio de Janeiro"/>
    <s v="Americas&gt;Brazil&gt;Rio de Janeiro"/>
    <s v="Non-Profit"/>
    <s v="Distributor"/>
    <x v="5"/>
    <s v="Printers"/>
    <s v="PRN-9960"/>
    <n v="55.35"/>
    <n v="128.68"/>
    <n v="128.68"/>
    <s v="Low"/>
    <n v="0.128"/>
    <n v="0.128"/>
    <n v="10"/>
    <n v="1122.0896000000002"/>
    <n v="553.5"/>
    <n v="568.58960000000025"/>
    <n v="0.50672388372550647"/>
    <d v="2023-01-29T00:00:00"/>
    <n v="21"/>
    <n v="0"/>
  </r>
  <r>
    <s v="ORD-2024-232632"/>
    <d v="2024-02-14T00:00:00"/>
    <d v="2024-02-14T00:00:00"/>
    <s v="Q1 -2024"/>
    <d v="2024-02-14T00:00:00"/>
    <d v="2024-02-14T00:00:00"/>
    <n v="0"/>
    <x v="0"/>
    <s v="China"/>
    <s v="Beijing"/>
    <s v="Asia&gt;China&gt;Beijing"/>
    <s v="Corporate"/>
    <s v="Distributor"/>
    <x v="11"/>
    <s v="Accessories"/>
    <s v="ACC-1021"/>
    <n v="65.930000000000007"/>
    <n v="84.9"/>
    <n v="84.9"/>
    <s v="Low"/>
    <n v="0.25900000000000001"/>
    <n v="0.25900000000000001"/>
    <n v="23"/>
    <n v="1446.9507000000001"/>
    <n v="1516.39"/>
    <n v="-69.439300000000003"/>
    <n v="-4.7990093926489688E-2"/>
    <d v="2023-01-12T00:00:00"/>
    <n v="13"/>
    <n v="1"/>
  </r>
  <r>
    <s v="ORD-2024-237478"/>
    <d v="2024-10-03T00:00:00"/>
    <d v="2024-10-03T00:00:00"/>
    <s v="Q4 -2024"/>
    <d v="2024-10-11T00:00:00"/>
    <d v="2024-10-11T00:00:00"/>
    <n v="8"/>
    <x v="0"/>
    <s v="China"/>
    <s v="Beijing"/>
    <s v="Asia&gt;China&gt;Beijing"/>
    <s v="Enterprise"/>
    <s v="Direct"/>
    <x v="12"/>
    <s v="Phones"/>
    <s v="PHN-7488"/>
    <n v="1132.6099999999999"/>
    <n v="2206.63"/>
    <n v="2206.63"/>
    <s v="High"/>
    <n v="6.3E-2"/>
    <n v="6.3E-2"/>
    <n v="20"/>
    <n v="41352.246200000009"/>
    <n v="22652.199999999997"/>
    <n v="18700.046200000012"/>
    <n v="0.45221355351671338"/>
    <d v="2023-01-12T00:00:00"/>
    <n v="20"/>
    <n v="0"/>
  </r>
  <r>
    <s v="ORD-2024-243988"/>
    <d v="2024-03-13T00:00:00"/>
    <d v="2024-03-13T00:00:00"/>
    <s v="Q1 -2024"/>
    <d v="2024-04-06T00:00:00"/>
    <d v="2024-04-06T00:00:00"/>
    <n v="24"/>
    <x v="1"/>
    <s v="Nigeria"/>
    <s v="Abuja"/>
    <s v="Africa&gt;Nigeria&gt;Abuja"/>
    <s v="Consumer"/>
    <s v="Distributor"/>
    <x v="11"/>
    <s v="Components"/>
    <s v="CMP-9001"/>
    <n v="1232.78"/>
    <n v="1731.75"/>
    <n v="1731.75"/>
    <s v="High"/>
    <n v="9.2999999999999999E-2"/>
    <n v="9.2999999999999999E-2"/>
    <n v="16"/>
    <n v="25131.155999999999"/>
    <n v="19724.48"/>
    <n v="5406.6759999999995"/>
    <n v="0.21513837246484005"/>
    <d v="2023-01-15T00:00:00"/>
    <n v="13"/>
    <n v="0"/>
  </r>
  <r>
    <s v="ORD-2024-247032"/>
    <d v="2024-04-21T00:00:00"/>
    <d v="2024-04-21T00:00:00"/>
    <s v="Q2 -2024"/>
    <d v="2024-05-19T00:00:00"/>
    <d v="2024-05-19T00:00:00"/>
    <n v="28"/>
    <x v="1"/>
    <s v="Nigeria"/>
    <s v="Lagos"/>
    <s v="Africa&gt;Nigeria&gt;Lagos"/>
    <s v="Corporate"/>
    <s v="Distributor"/>
    <x v="0"/>
    <s v="Accessories"/>
    <s v="ACC-2990"/>
    <n v="187.22"/>
    <n v="309.47000000000003"/>
    <n v="309.47000000000003"/>
    <s v="Low"/>
    <n v="0"/>
    <n v="0"/>
    <n v="5"/>
    <n v="1547.3500000000001"/>
    <n v="936.1"/>
    <n v="611.25000000000011"/>
    <n v="0.39503021294471197"/>
    <d v="2023-01-15T00:00:00"/>
    <n v="15"/>
    <n v="0"/>
  </r>
  <r>
    <s v="ORD-2024-247979"/>
    <d v="2024-11-02T00:00:00"/>
    <d v="2024-11-02T00:00:00"/>
    <s v="Q4 -2024"/>
    <d v="2024-11-18T00:00:00"/>
    <d v="2024-11-18T00:00:00"/>
    <n v="16"/>
    <x v="0"/>
    <s v="India"/>
    <s v="Mumbai"/>
    <s v="Asia&gt;India&gt;Mumbai"/>
    <s v="Small Business"/>
    <s v="Distributor"/>
    <x v="2"/>
    <s v="Monitors"/>
    <s v="MON-5188"/>
    <n v="1233.58"/>
    <n v="1912.51"/>
    <n v="1912.51"/>
    <s v="High"/>
    <n v="0.255"/>
    <n v="0.255"/>
    <n v="51"/>
    <n v="72665.817450000002"/>
    <n v="62912.579999999994"/>
    <n v="9753.2374500000078"/>
    <n v="0.134220432553601"/>
    <d v="2023-01-29T00:00:00"/>
    <n v="21"/>
    <n v="1"/>
  </r>
  <r>
    <s v="ORD-2024-250862"/>
    <d v="2024-10-25T00:00:00"/>
    <d v="2024-10-25T00:00:00"/>
    <s v="Q4 -2024"/>
    <d v="2024-11-05T00:00:00"/>
    <d v="2024-11-05T00:00:00"/>
    <n v="11"/>
    <x v="2"/>
    <s v="USA"/>
    <s v="New York"/>
    <s v="Americas&gt;USA&gt;New York"/>
    <s v="Corporate"/>
    <s v="Distributor"/>
    <x v="13"/>
    <s v="Components"/>
    <s v="CMP-9498"/>
    <n v="446.66"/>
    <n v="527.64"/>
    <n v="527.64"/>
    <s v="Low"/>
    <n v="0.14499999999999999"/>
    <n v="0.14499999999999999"/>
    <n v="15"/>
    <n v="6766.9829999999993"/>
    <n v="6699.9000000000005"/>
    <n v="67.082999999998719"/>
    <n v="9.9132804087137105E-3"/>
    <d v="2023-01-13T00:00:00"/>
    <n v="21"/>
    <n v="0"/>
  </r>
  <r>
    <s v="ORD-2024-251426"/>
    <d v="2024-03-09T00:00:00"/>
    <d v="2024-03-09T00:00:00"/>
    <s v="Q1 -2024"/>
    <d v="2024-03-26T00:00:00"/>
    <d v="2024-03-26T00:00:00"/>
    <n v="17"/>
    <x v="2"/>
    <s v="USA"/>
    <s v="San Francisco"/>
    <s v="Americas&gt;USA&gt;San Francisco"/>
    <s v="Education"/>
    <s v="Direct"/>
    <x v="9"/>
    <s v="Phones"/>
    <s v="PHN-3398"/>
    <n v="1137.4100000000001"/>
    <n v="1680.93"/>
    <n v="1680.93"/>
    <s v="High"/>
    <n v="0.254"/>
    <n v="0.254"/>
    <n v="9"/>
    <n v="11285.764020000001"/>
    <n v="10236.69"/>
    <n v="1049.07402"/>
    <n v="9.2955516183121464E-2"/>
    <d v="2023-01-13T00:00:00"/>
    <n v="13"/>
    <n v="1"/>
  </r>
  <r>
    <s v="ORD-2024-257550"/>
    <d v="2024-12-27T00:00:00"/>
    <d v="2024-12-27T00:00:00"/>
    <s v="Q4 -2024"/>
    <d v="2024-12-29T00:00:00"/>
    <d v="2024-12-29T00:00:00"/>
    <n v="2"/>
    <x v="2"/>
    <s v="Canada"/>
    <s v="Vancouver"/>
    <s v="Americas&gt;Canada&gt;Vancouver"/>
    <s v="Enterprise"/>
    <s v="Marketplace"/>
    <x v="14"/>
    <s v="Accessories"/>
    <s v="ACC-8620"/>
    <n v="1146.72"/>
    <n v="2074.34"/>
    <n v="2074.34"/>
    <s v="High"/>
    <n v="0.111"/>
    <n v="0.111"/>
    <n v="8"/>
    <n v="14752.706080000002"/>
    <n v="9173.76"/>
    <n v="5578.9460800000015"/>
    <n v="0.37816425337472737"/>
    <d v="2023-01-02T00:00:00"/>
    <n v="23"/>
    <n v="0"/>
  </r>
  <r>
    <s v="ORD-2024-260775"/>
    <d v="2024-10-17T00:00:00"/>
    <d v="2024-10-17T00:00:00"/>
    <s v="Q4 -2024"/>
    <d v="2024-11-06T00:00:00"/>
    <d v="2024-11-06T00:00:00"/>
    <n v="20"/>
    <x v="0"/>
    <s v="India"/>
    <s v="Bengaluru"/>
    <s v="Asia&gt;India&gt;Bengaluru"/>
    <s v="Enterprise"/>
    <s v="Distributor"/>
    <x v="2"/>
    <s v="Monitors"/>
    <s v="MON-4330"/>
    <n v="72.94"/>
    <n v="106.3"/>
    <n v="106.3"/>
    <s v="Low"/>
    <n v="0.29499999999999998"/>
    <n v="0.29499999999999998"/>
    <n v="8"/>
    <n v="599.53200000000004"/>
    <n v="583.52"/>
    <n v="16.012000000000057"/>
    <n v="2.6707498515508857E-2"/>
    <d v="2023-01-29T00:00:00"/>
    <n v="20"/>
    <n v="1"/>
  </r>
  <r>
    <s v="ORD-2024-266562"/>
    <d v="2024-11-27T00:00:00"/>
    <d v="2024-11-27T00:00:00"/>
    <s v="Q4 -2024"/>
    <d v="2024-12-24T00:00:00"/>
    <d v="2024-12-24T00:00:00"/>
    <n v="27"/>
    <x v="1"/>
    <s v="Kenya"/>
    <s v="Mombasa"/>
    <s v="Africa&gt;Kenya&gt;Mombasa"/>
    <s v="Corporate"/>
    <s v="Distributor"/>
    <x v="12"/>
    <s v="Printers"/>
    <s v="PRN-5569"/>
    <n v="143.33000000000001"/>
    <n v="233.51"/>
    <n v="233.51"/>
    <s v="Low"/>
    <n v="0.16300000000000001"/>
    <n v="0.16300000000000001"/>
    <n v="14"/>
    <n v="2736.27018"/>
    <n v="2006.6200000000001"/>
    <n v="729.65017999999986"/>
    <n v="0.26665867476580835"/>
    <d v="2023-01-20T00:00:00"/>
    <n v="22"/>
    <n v="0"/>
  </r>
  <r>
    <s v="ORD-2024-275203"/>
    <d v="2024-03-11T00:00:00"/>
    <d v="2024-03-11T00:00:00"/>
    <s v="Q1 -2024"/>
    <d v="2024-04-06T00:00:00"/>
    <d v="2024-04-06T00:00:00"/>
    <n v="26"/>
    <x v="1"/>
    <s v="Kenya"/>
    <s v="Kisumu"/>
    <s v="Africa&gt;Kenya&gt;Kisumu"/>
    <s v="Corporate"/>
    <s v="Retail"/>
    <x v="14"/>
    <s v="Components"/>
    <s v="CMP-8270"/>
    <n v="279.24"/>
    <n v="608.9"/>
    <n v="608.9"/>
    <s v="Low"/>
    <n v="0.112"/>
    <n v="0.112"/>
    <n v="9"/>
    <n v="4866.3287999999993"/>
    <n v="2513.16"/>
    <n v="2353.1687999999995"/>
    <n v="0.48356140670149533"/>
    <d v="2023-01-20T00:00:00"/>
    <n v="13"/>
    <n v="0"/>
  </r>
  <r>
    <s v="ORD-2024-277241"/>
    <d v="2024-01-28T00:00:00"/>
    <d v="2024-01-28T00:00:00"/>
    <s v="Q1 -2024"/>
    <d v="2024-01-30T00:00:00"/>
    <d v="2024-01-30T00:00:00"/>
    <n v="2"/>
    <x v="1"/>
    <s v="South Africa"/>
    <s v="Cape Town"/>
    <s v="Africa&gt;South Africa&gt;Cape Town"/>
    <s v="Consumer"/>
    <s v="Direct"/>
    <x v="3"/>
    <s v="Accessories"/>
    <s v="ACC-6223"/>
    <n v="798.45"/>
    <n v="1592.02"/>
    <n v="1592.02"/>
    <s v="Medium"/>
    <n v="6.6000000000000003E-2"/>
    <n v="6.6000000000000003E-2"/>
    <n v="18"/>
    <n v="26765.040239999998"/>
    <n v="14372.1"/>
    <n v="12392.940239999998"/>
    <n v="0.46302714768494585"/>
    <d v="2023-01-07T00:00:00"/>
    <n v="12"/>
    <n v="0"/>
  </r>
  <r>
    <s v="ORD-2024-281211"/>
    <d v="2024-01-11T00:00:00"/>
    <d v="2024-01-11T00:00:00"/>
    <s v="Q1 -2024"/>
    <d v="2024-02-02T00:00:00"/>
    <d v="2024-02-02T00:00:00"/>
    <n v="22"/>
    <x v="0"/>
    <s v="Japan"/>
    <s v="Nagoya"/>
    <s v="Asia&gt;Japan&gt;Nagoya"/>
    <s v="Small Business"/>
    <s v="Online"/>
    <x v="15"/>
    <s v="Printers"/>
    <s v="PRN-7816"/>
    <n v="1237.68"/>
    <n v="1432.8"/>
    <n v="1432.8"/>
    <s v="Medium"/>
    <n v="6.8000000000000005E-2"/>
    <n v="6.8000000000000005E-2"/>
    <n v="13"/>
    <n v="17359.804799999998"/>
    <n v="16089.84"/>
    <n v="1269.9647999999979"/>
    <n v="7.315547695559331E-2"/>
    <d v="2023-03-03T00:00:00"/>
    <n v="10"/>
    <n v="0"/>
  </r>
  <r>
    <s v="ORD-2024-286833"/>
    <d v="2024-08-14T00:00:00"/>
    <d v="2024-08-14T00:00:00"/>
    <s v="Q3 -2024"/>
    <d v="2024-09-04T00:00:00"/>
    <d v="2024-09-04T00:00:00"/>
    <n v="21"/>
    <x v="3"/>
    <s v="United Kingdom"/>
    <s v="Manchester"/>
    <s v="Europe&gt;United Kingdom&gt;Manchester"/>
    <s v="Non-Profit"/>
    <s v="Online"/>
    <x v="5"/>
    <s v="Phones"/>
    <s v="PHN-2341"/>
    <n v="1138.8"/>
    <n v="2250.81"/>
    <n v="2250.81"/>
    <s v="High"/>
    <n v="0.123"/>
    <n v="0.123"/>
    <n v="12"/>
    <n v="23687.524440000001"/>
    <n v="13665.599999999999"/>
    <n v="10021.924440000003"/>
    <n v="0.42308872188756258"/>
    <d v="2023-01-19T00:00:00"/>
    <n v="18"/>
    <n v="0"/>
  </r>
  <r>
    <s v="ORD-2024-287210"/>
    <d v="2024-03-18T00:00:00"/>
    <d v="2024-03-18T00:00:00"/>
    <s v="Q1 -2024"/>
    <d v="2024-03-21T00:00:00"/>
    <d v="2024-03-21T00:00:00"/>
    <n v="3"/>
    <x v="3"/>
    <s v="Germany"/>
    <s v="Munich"/>
    <s v="Europe&gt;Germany&gt;Munich"/>
    <s v="Small Business"/>
    <s v="Online"/>
    <x v="8"/>
    <s v="Accessories"/>
    <s v="ACC-2761"/>
    <n v="910.63"/>
    <n v="1269.4000000000001"/>
    <n v="1269.4000000000001"/>
    <s v="Medium"/>
    <n v="6.8000000000000005E-2"/>
    <n v="6.8000000000000005E-2"/>
    <n v="9"/>
    <n v="10647.727199999999"/>
    <n v="8195.67"/>
    <n v="2452.0571999999993"/>
    <n v="0.23028925834989455"/>
    <d v="2023-01-22T00:00:00"/>
    <n v="13"/>
    <n v="0"/>
  </r>
  <r>
    <s v="ORD-2024-289089"/>
    <d v="2024-12-17T00:00:00"/>
    <d v="2024-12-17T00:00:00"/>
    <s v="Q4 -2024"/>
    <d v="2024-12-18T00:00:00"/>
    <d v="2024-12-18T00:00:00"/>
    <n v="1"/>
    <x v="3"/>
    <s v="Germany"/>
    <s v="Munich"/>
    <s v="Europe&gt;Germany&gt;Munich"/>
    <s v="Education"/>
    <s v="Retail"/>
    <x v="11"/>
    <s v="Accessories"/>
    <s v="ACC-5780"/>
    <n v="346.82"/>
    <n v="701.95"/>
    <n v="701.95"/>
    <s v="Low"/>
    <n v="0.14699999999999999"/>
    <n v="0.14699999999999999"/>
    <n v="8"/>
    <n v="4790.1068000000005"/>
    <n v="2774.56"/>
    <n v="2015.5468000000005"/>
    <n v="0.42077283120284509"/>
    <d v="2023-01-22T00:00:00"/>
    <n v="22"/>
    <n v="0"/>
  </r>
  <r>
    <s v="ORD-2024-296582"/>
    <d v="2024-01-11T00:00:00"/>
    <d v="2024-01-11T00:00:00"/>
    <s v="Q1 -2024"/>
    <d v="2024-02-02T00:00:00"/>
    <d v="2024-02-02T00:00:00"/>
    <n v="22"/>
    <x v="1"/>
    <s v="South Africa"/>
    <s v="Durban"/>
    <s v="Africa&gt;South Africa&gt;Durban"/>
    <s v="Consumer"/>
    <s v="Online"/>
    <x v="4"/>
    <s v="Networking"/>
    <s v="NET-1412"/>
    <n v="1206.2"/>
    <n v="1759.79"/>
    <n v="1759.79"/>
    <s v="High"/>
    <n v="0"/>
    <n v="0"/>
    <n v="6"/>
    <n v="10558.74"/>
    <n v="7237.2000000000007"/>
    <n v="3321.5399999999991"/>
    <n v="0.31457730751964713"/>
    <d v="2023-01-07T00:00:00"/>
    <n v="12"/>
    <n v="0"/>
  </r>
  <r>
    <s v="ORD-2024-301260"/>
    <d v="2024-07-29T00:00:00"/>
    <d v="2024-07-29T00:00:00"/>
    <s v="Q3 -2024"/>
    <d v="2024-07-31T00:00:00"/>
    <d v="2024-07-31T00:00:00"/>
    <n v="2"/>
    <x v="2"/>
    <s v="USA"/>
    <s v="New York"/>
    <s v="Americas&gt;USA&gt;New York"/>
    <s v="Education"/>
    <s v="Marketplace"/>
    <x v="9"/>
    <s v="Printers"/>
    <s v="PRN-2829"/>
    <n v="798.97"/>
    <n v="1814.06"/>
    <n v="1814.06"/>
    <s v="High"/>
    <n v="0.122"/>
    <n v="0.122"/>
    <n v="16"/>
    <n v="25483.91488"/>
    <n v="12783.52"/>
    <n v="12700.39488"/>
    <n v="0.49836906691159061"/>
    <d v="2023-01-13T00:00:00"/>
    <n v="18"/>
    <n v="0"/>
  </r>
  <r>
    <s v="ORD-2024-307849"/>
    <d v="2024-08-10T00:00:00"/>
    <d v="2024-08-10T00:00:00"/>
    <s v="Q3 -2024"/>
    <d v="2024-09-07T00:00:00"/>
    <d v="2024-09-07T00:00:00"/>
    <n v="28"/>
    <x v="3"/>
    <s v="France"/>
    <s v="Marseille"/>
    <s v="Europe&gt;France&gt;Marseille"/>
    <s v="Non-Profit"/>
    <s v="Direct"/>
    <x v="3"/>
    <s v="Printers"/>
    <s v="PRN-1183"/>
    <n v="229.96"/>
    <n v="564.26"/>
    <n v="564.26"/>
    <s v="Low"/>
    <n v="0.105"/>
    <n v="0.105"/>
    <n v="5"/>
    <n v="2525.0635000000002"/>
    <n v="1149.8"/>
    <n v="1375.2635000000002"/>
    <n v="0.54464511486542821"/>
    <d v="2023-01-10T00:00:00"/>
    <n v="19"/>
    <n v="0"/>
  </r>
  <r>
    <s v="ORD-2024-310809"/>
    <d v="2024-04-05T00:00:00"/>
    <d v="2024-04-05T00:00:00"/>
    <s v="Q2 -2024"/>
    <d v="2024-04-09T00:00:00"/>
    <d v="2024-04-09T00:00:00"/>
    <n v="4"/>
    <x v="1"/>
    <s v="Nigeria"/>
    <s v="Lagos"/>
    <s v="Africa&gt;Nigeria&gt;Lagos"/>
    <s v="Non-Profit"/>
    <s v="Direct"/>
    <x v="4"/>
    <s v="Components"/>
    <s v="CMP-6529"/>
    <n v="395.07"/>
    <n v="970.27"/>
    <n v="970.27"/>
    <s v="Medium"/>
    <n v="0.123"/>
    <n v="0.123"/>
    <n v="38"/>
    <n v="32335.21802"/>
    <n v="15012.66"/>
    <n v="17322.55802"/>
    <n v="0.53571799049833657"/>
    <d v="2023-01-15T00:00:00"/>
    <n v="14"/>
    <n v="0"/>
  </r>
  <r>
    <s v="ORD-2024-320972"/>
    <d v="2024-11-08T00:00:00"/>
    <d v="2024-11-08T00:00:00"/>
    <s v="Q4 -2024"/>
    <d v="2024-11-08T00:00:00"/>
    <d v="2024-11-08T00:00:00"/>
    <n v="0"/>
    <x v="1"/>
    <s v="Kenya"/>
    <s v="Nakuru"/>
    <s v="Africa&gt;Kenya&gt;Nakuru"/>
    <s v="Enterprise"/>
    <s v="Marketplace"/>
    <x v="8"/>
    <s v="Networking"/>
    <s v="NET-2628"/>
    <n v="803.28"/>
    <n v="1009"/>
    <n v="1009"/>
    <s v="Medium"/>
    <n v="0.11"/>
    <n v="0.11"/>
    <n v="4"/>
    <n v="3592.04"/>
    <n v="3213.12"/>
    <n v="378.92000000000007"/>
    <n v="0.10548880302001093"/>
    <d v="2023-01-20T00:00:00"/>
    <n v="21"/>
    <n v="0"/>
  </r>
  <r>
    <s v="ORD-2024-329104"/>
    <d v="2024-05-23T00:00:00"/>
    <d v="2024-05-23T00:00:00"/>
    <s v="Q2 -2024"/>
    <d v="2024-06-14T00:00:00"/>
    <d v="2024-06-14T00:00:00"/>
    <n v="22"/>
    <x v="3"/>
    <s v="France"/>
    <s v="Marseille"/>
    <s v="Europe&gt;France&gt;Marseille"/>
    <s v="Small Business"/>
    <s v="Online"/>
    <x v="13"/>
    <s v="Monitors"/>
    <s v="MON-2100"/>
    <n v="1481.74"/>
    <n v="1848.97"/>
    <n v="1848.97"/>
    <s v="High"/>
    <n v="0.254"/>
    <n v="0.254"/>
    <n v="9"/>
    <n v="12413.98458"/>
    <n v="13335.66"/>
    <n v="-921.67541999999958"/>
    <n v="-7.4244930309072407E-2"/>
    <d v="2023-01-10T00:00:00"/>
    <n v="16"/>
    <n v="1"/>
  </r>
  <r>
    <s v="ORD-2024-331226"/>
    <d v="2024-11-30T00:00:00"/>
    <d v="2024-11-30T00:00:00"/>
    <s v="Q4 -2024"/>
    <d v="2024-12-19T00:00:00"/>
    <d v="2024-12-19T00:00:00"/>
    <n v="19"/>
    <x v="1"/>
    <s v="Kenya"/>
    <s v="Kisumu"/>
    <s v="Africa&gt;Kenya&gt;Kisumu"/>
    <s v="Corporate"/>
    <s v="Online"/>
    <x v="11"/>
    <s v="Phones"/>
    <s v="PHN-1919"/>
    <n v="1195.98"/>
    <n v="1841.9"/>
    <n v="1841.9"/>
    <s v="High"/>
    <n v="5.5E-2"/>
    <n v="5.5E-2"/>
    <n v="19"/>
    <n v="33071.3145"/>
    <n v="22723.62"/>
    <n v="10347.694500000001"/>
    <n v="0.31289032977506842"/>
    <d v="2023-01-20T00:00:00"/>
    <n v="22"/>
    <n v="0"/>
  </r>
  <r>
    <s v="ORD-2024-331408"/>
    <d v="2024-02-01T00:00:00"/>
    <d v="2024-02-01T00:00:00"/>
    <s v="Q1 -2024"/>
    <d v="2024-02-01T00:00:00"/>
    <d v="2024-02-01T00:00:00"/>
    <n v="0"/>
    <x v="2"/>
    <s v="USA"/>
    <s v="Austin"/>
    <s v="Americas&gt;USA&gt;Austin"/>
    <s v="Consumer"/>
    <s v="Distributor"/>
    <x v="7"/>
    <s v="Printers"/>
    <s v="PRN-4906"/>
    <n v="714.43"/>
    <n v="1595.52"/>
    <n v="1595.52"/>
    <s v="Medium"/>
    <n v="0.19400000000000001"/>
    <n v="0.19400000000000001"/>
    <n v="14"/>
    <n v="18003.847679999999"/>
    <n v="10002.019999999999"/>
    <n v="8001.8276800000003"/>
    <n v="0.44445097638151093"/>
    <d v="2023-01-13T00:00:00"/>
    <n v="12"/>
    <n v="0"/>
  </r>
  <r>
    <s v="ORD-2024-332076"/>
    <d v="2024-04-09T00:00:00"/>
    <d v="2024-04-09T00:00:00"/>
    <s v="Q2 -2024"/>
    <d v="2024-04-18T00:00:00"/>
    <d v="2024-04-18T00:00:00"/>
    <n v="9"/>
    <x v="3"/>
    <s v="France"/>
    <s v="Lyon"/>
    <s v="Europe&gt;France&gt;Lyon"/>
    <s v="Consumer"/>
    <s v="Online"/>
    <x v="1"/>
    <s v="Printers"/>
    <s v="PRN-1086"/>
    <n v="1288.8499999999999"/>
    <n v="2751.84"/>
    <n v="2751.84"/>
    <s v="High"/>
    <n v="0.158"/>
    <n v="0.158"/>
    <n v="7"/>
    <n v="16219.34496"/>
    <n v="9021.9499999999989"/>
    <n v="7197.3949600000014"/>
    <n v="0.44375373837538756"/>
    <d v="2023-01-10T00:00:00"/>
    <n v="14"/>
    <n v="0"/>
  </r>
  <r>
    <s v="ORD-2024-333192"/>
    <d v="2024-10-29T00:00:00"/>
    <d v="2024-10-29T00:00:00"/>
    <s v="Q4 -2024"/>
    <d v="2024-11-04T00:00:00"/>
    <d v="2024-11-04T00:00:00"/>
    <n v="6"/>
    <x v="1"/>
    <s v="Kenya"/>
    <s v="Nairobi"/>
    <s v="Africa&gt;Kenya&gt;Nairobi"/>
    <s v="Corporate"/>
    <s v="Distributor"/>
    <x v="8"/>
    <s v="Printers"/>
    <s v="PRN-4893"/>
    <n v="805.81"/>
    <n v="1823.04"/>
    <n v="1823.04"/>
    <s v="High"/>
    <n v="0"/>
    <n v="0"/>
    <n v="11"/>
    <n v="20053.439999999999"/>
    <n v="8863.91"/>
    <n v="11189.529999999999"/>
    <n v="0.55798556257679477"/>
    <d v="2023-01-20T00:00:00"/>
    <n v="21"/>
    <n v="0"/>
  </r>
  <r>
    <s v="ORD-2024-336584"/>
    <d v="2024-12-27T00:00:00"/>
    <d v="2024-12-27T00:00:00"/>
    <s v="Q4 -2024"/>
    <d v="2025-01-14T00:00:00"/>
    <d v="2025-01-14T00:00:00"/>
    <n v="18"/>
    <x v="0"/>
    <s v="India"/>
    <s v="Bengaluru"/>
    <s v="Asia&gt;India&gt;Bengaluru"/>
    <s v="Small Business"/>
    <s v="Marketplace"/>
    <x v="1"/>
    <s v="Monitors"/>
    <s v="MON-8629"/>
    <n v="586.07000000000005"/>
    <n v="845.97"/>
    <n v="845.97"/>
    <s v="Medium"/>
    <n v="0.14699999999999999"/>
    <n v="0.14699999999999999"/>
    <n v="4"/>
    <n v="2886.4496399999998"/>
    <n v="2344.2800000000002"/>
    <n v="542.16963999999962"/>
    <n v="0.18783270370862928"/>
    <d v="2023-01-29T00:00:00"/>
    <n v="22"/>
    <n v="0"/>
  </r>
  <r>
    <s v="ORD-2024-341535"/>
    <d v="2024-06-25T00:00:00"/>
    <d v="2024-06-25T00:00:00"/>
    <s v="Q2 -2024"/>
    <d v="2024-06-30T00:00:00"/>
    <d v="2024-06-30T00:00:00"/>
    <n v="5"/>
    <x v="1"/>
    <s v="Kenya"/>
    <s v="Kisumu"/>
    <s v="Africa&gt;Kenya&gt;Kisumu"/>
    <s v="Education"/>
    <s v="Direct"/>
    <x v="8"/>
    <s v="Networking"/>
    <s v="NET-5987"/>
    <n v="1323.55"/>
    <n v="3230.35"/>
    <n v="3230.35"/>
    <s v="High"/>
    <n v="2.1999999999999999E-2"/>
    <n v="2.1999999999999999E-2"/>
    <n v="26"/>
    <n v="82141.339799999987"/>
    <n v="34412.299999999996"/>
    <n v="47729.039799999991"/>
    <n v="0.58105991351263542"/>
    <d v="2023-01-20T00:00:00"/>
    <n v="17"/>
    <n v="0"/>
  </r>
  <r>
    <s v="ORD-2024-343877"/>
    <d v="2024-03-09T00:00:00"/>
    <d v="2024-03-09T00:00:00"/>
    <s v="Q1 -2024"/>
    <d v="2024-03-26T00:00:00"/>
    <d v="2024-03-26T00:00:00"/>
    <n v="17"/>
    <x v="0"/>
    <s v="China"/>
    <s v="Shenzhen"/>
    <s v="Asia&gt;China&gt;Shenzhen"/>
    <s v="Enterprise"/>
    <s v="Online"/>
    <x v="4"/>
    <s v="Monitors"/>
    <s v="MON-5749"/>
    <n v="1029.67"/>
    <n v="1118.43"/>
    <n v="1118.43"/>
    <s v="Medium"/>
    <n v="0.27200000000000002"/>
    <n v="0.27200000000000002"/>
    <n v="9"/>
    <n v="7327.9533600000004"/>
    <n v="9267.0300000000007"/>
    <n v="-1939.0766400000002"/>
    <n v="-0.26461367106736061"/>
    <d v="2023-01-12T00:00:00"/>
    <n v="13"/>
    <n v="1"/>
  </r>
  <r>
    <s v="ORD-2024-347736"/>
    <d v="2024-05-22T00:00:00"/>
    <d v="2024-05-22T00:00:00"/>
    <s v="Q2 -2024"/>
    <d v="2024-06-06T00:00:00"/>
    <d v="2024-06-06T00:00:00"/>
    <n v="15"/>
    <x v="0"/>
    <s v="Japan"/>
    <s v="Nagoya"/>
    <s v="Asia&gt;Japan&gt;Nagoya"/>
    <s v="Corporate"/>
    <s v="Distributor"/>
    <x v="14"/>
    <s v="Monitors"/>
    <s v="MON-6870"/>
    <n v="673.88"/>
    <n v="1228.01"/>
    <n v="1228.01"/>
    <s v="Medium"/>
    <n v="0.105"/>
    <n v="0.105"/>
    <n v="13"/>
    <n v="14287.896349999999"/>
    <n v="8760.44"/>
    <n v="5527.4563499999986"/>
    <n v="0.38686285332689996"/>
    <d v="2023-03-03T00:00:00"/>
    <n v="14"/>
    <n v="0"/>
  </r>
  <r>
    <s v="ORD-2024-350100"/>
    <d v="2024-10-27T00:00:00"/>
    <d v="2024-10-27T00:00:00"/>
    <s v="Q4 -2024"/>
    <d v="2024-11-20T00:00:00"/>
    <d v="2024-11-20T00:00:00"/>
    <n v="24"/>
    <x v="0"/>
    <s v="Japan"/>
    <s v="Nagoya"/>
    <s v="Asia&gt;Japan&gt;Nagoya"/>
    <s v="Non-Profit"/>
    <s v="Online"/>
    <x v="7"/>
    <s v="Monitors"/>
    <s v="MON-8939"/>
    <n v="317.25"/>
    <n v="758.92"/>
    <n v="758.92"/>
    <s v="Low"/>
    <n v="5.2999999999999999E-2"/>
    <n v="5.2999999999999999E-2"/>
    <n v="9"/>
    <n v="6468.2751599999992"/>
    <n v="2855.25"/>
    <n v="3613.0251599999992"/>
    <n v="0.5585762928489888"/>
    <d v="2023-03-03T00:00:00"/>
    <n v="19"/>
    <n v="0"/>
  </r>
  <r>
    <s v="ORD-2024-353078"/>
    <d v="2024-08-16T00:00:00"/>
    <d v="2024-08-16T00:00:00"/>
    <s v="Q3 -2024"/>
    <d v="2024-08-26T00:00:00"/>
    <d v="2024-08-26T00:00:00"/>
    <n v="10"/>
    <x v="2"/>
    <s v="USA"/>
    <s v="Chicago"/>
    <s v="Americas&gt;USA&gt;Chicago"/>
    <s v="Corporate"/>
    <s v="Distributor"/>
    <x v="11"/>
    <s v="Laptops"/>
    <s v="LAP-5763"/>
    <n v="1291.7"/>
    <n v="2657.84"/>
    <n v="2657.84"/>
    <s v="High"/>
    <n v="8.6999999999999994E-2"/>
    <n v="8.6999999999999994E-2"/>
    <n v="21"/>
    <n v="50958.766320000002"/>
    <n v="27125.7"/>
    <n v="23833.066320000002"/>
    <n v="0.46769315745083367"/>
    <d v="2023-01-13T00:00:00"/>
    <n v="19"/>
    <n v="0"/>
  </r>
  <r>
    <s v="ORD-2024-355095"/>
    <d v="2024-01-02T00:00:00"/>
    <d v="2024-01-02T00:00:00"/>
    <s v="Q1 -2024"/>
    <d v="2024-01-02T00:00:00"/>
    <d v="2024-01-02T00:00:00"/>
    <n v="0"/>
    <x v="2"/>
    <s v="Canada"/>
    <s v="Vancouver"/>
    <s v="Americas&gt;Canada&gt;Vancouver"/>
    <s v="Education"/>
    <s v="Direct"/>
    <x v="0"/>
    <s v="Laptops"/>
    <s v="LAP-3581"/>
    <n v="444.41"/>
    <n v="754.24"/>
    <n v="754.24"/>
    <s v="Low"/>
    <n v="0.20699999999999999"/>
    <n v="0.20699999999999999"/>
    <n v="32"/>
    <n v="19139.594240000002"/>
    <n v="14221.12"/>
    <n v="4918.4742400000014"/>
    <n v="0.25697902360546598"/>
    <d v="2023-01-02T00:00:00"/>
    <n v="12"/>
    <n v="1"/>
  </r>
  <r>
    <s v="ORD-2024-356812"/>
    <d v="2024-03-07T00:00:00"/>
    <d v="2024-03-07T00:00:00"/>
    <s v="Q1 -2024"/>
    <d v="2024-04-03T00:00:00"/>
    <d v="2024-04-03T00:00:00"/>
    <n v="27"/>
    <x v="3"/>
    <s v="Germany"/>
    <s v="Frankfurt"/>
    <s v="Europe&gt;Germany&gt;Frankfurt"/>
    <s v="Corporate"/>
    <s v="Direct"/>
    <x v="8"/>
    <s v="Printers"/>
    <s v="PRN-6911"/>
    <n v="738.16"/>
    <n v="956.49"/>
    <n v="956.49"/>
    <s v="Medium"/>
    <n v="0.152"/>
    <n v="0.152"/>
    <n v="5"/>
    <n v="4055.5175999999997"/>
    <n v="3690.7999999999997"/>
    <n v="364.71759999999995"/>
    <n v="8.9931208780847108E-2"/>
    <d v="2023-01-22T00:00:00"/>
    <n v="13"/>
    <n v="0"/>
  </r>
  <r>
    <s v="ORD-2024-357368"/>
    <d v="2024-10-30T00:00:00"/>
    <d v="2024-10-30T00:00:00"/>
    <s v="Q4 -2024"/>
    <d v="2024-11-24T00:00:00"/>
    <d v="2024-11-24T00:00:00"/>
    <n v="25"/>
    <x v="0"/>
    <s v="China"/>
    <s v="Shenzhen"/>
    <s v="Asia&gt;China&gt;Shenzhen"/>
    <s v="Small Business"/>
    <s v="Online"/>
    <x v="1"/>
    <s v="Components"/>
    <s v="CMP-4610"/>
    <n v="811.05"/>
    <n v="1217.71"/>
    <n v="1217.71"/>
    <s v="Medium"/>
    <n v="7.1999999999999995E-2"/>
    <n v="7.1999999999999995E-2"/>
    <n v="5"/>
    <n v="5650.1744000000008"/>
    <n v="4055.25"/>
    <n v="1594.9244000000008"/>
    <n v="0.28227879125288602"/>
    <d v="2023-01-12T00:00:00"/>
    <n v="21"/>
    <n v="0"/>
  </r>
  <r>
    <s v="ORD-2024-358795"/>
    <d v="2024-10-23T00:00:00"/>
    <d v="2024-10-23T00:00:00"/>
    <s v="Q4 -2024"/>
    <d v="2024-10-22T00:00:00"/>
    <d v="2024-10-29T00:00:00"/>
    <n v="6"/>
    <x v="1"/>
    <s v="Nigeria"/>
    <s v="Port Harcourt"/>
    <s v="Africa&gt;Nigeria&gt;Port Harcourt"/>
    <s v="Education"/>
    <s v="Online"/>
    <x v="5"/>
    <s v="Printers"/>
    <s v="PRN-9322"/>
    <n v="1084.3900000000001"/>
    <n v="759.33"/>
    <n v="759.33"/>
    <s v="Low"/>
    <n v="0.23699999999999999"/>
    <n v="0.23699999999999999"/>
    <n v="31"/>
    <n v="17960.432489999999"/>
    <n v="33616.090000000004"/>
    <n v="-15655.657510000005"/>
    <n v="-0.87167486187856302"/>
    <d v="2023-01-15T00:00:00"/>
    <n v="21"/>
    <n v="1"/>
  </r>
  <r>
    <s v="ORD-2024-364080"/>
    <d v="2024-04-16T00:00:00"/>
    <d v="2024-04-16T00:00:00"/>
    <s v="Q2 -2024"/>
    <d v="2024-04-27T00:00:00"/>
    <d v="2024-04-27T00:00:00"/>
    <n v="11"/>
    <x v="1"/>
    <s v="Kenya"/>
    <s v="Nakuru"/>
    <s v="Africa&gt;Kenya&gt;Nakuru"/>
    <s v="Enterprise"/>
    <s v="Online"/>
    <x v="6"/>
    <s v="Printers"/>
    <s v="PRN-2641"/>
    <n v="401.3"/>
    <n v="826.47"/>
    <n v="826.47"/>
    <s v="Low"/>
    <n v="0.22500000000000001"/>
    <n v="0.22500000000000001"/>
    <n v="13"/>
    <n v="8326.6852500000005"/>
    <n v="5216.9000000000005"/>
    <n v="3109.7852499999999"/>
    <n v="0.37347217489696755"/>
    <d v="2023-01-20T00:00:00"/>
    <n v="14"/>
    <n v="1"/>
  </r>
  <r>
    <s v="ORD-2024-366010"/>
    <d v="2024-01-13T00:00:00"/>
    <d v="2024-01-13T00:00:00"/>
    <s v="Q1 -2024"/>
    <d v="2024-02-05T00:00:00"/>
    <d v="2024-02-05T00:00:00"/>
    <n v="23"/>
    <x v="3"/>
    <s v="Germany"/>
    <s v="Frankfurt"/>
    <s v="Europe&gt;Germany&gt;Frankfurt"/>
    <s v="Education"/>
    <s v="Direct"/>
    <x v="12"/>
    <s v="Laptops"/>
    <s v="LAP-9931"/>
    <n v="1017.93"/>
    <n v="1529.14"/>
    <n v="1529.14"/>
    <s v="Medium"/>
    <n v="0.155"/>
    <n v="0.155"/>
    <n v="12"/>
    <n v="15505.479600000001"/>
    <n v="12215.16"/>
    <n v="3290.3196000000007"/>
    <n v="0.21220366508366503"/>
    <d v="2023-01-22T00:00:00"/>
    <n v="11"/>
    <n v="0"/>
  </r>
  <r>
    <s v="ORD-2024-371409"/>
    <d v="2024-11-17T00:00:00"/>
    <d v="2024-11-17T00:00:00"/>
    <s v="Q4 -2024"/>
    <d v="2024-11-28T00:00:00"/>
    <d v="2024-11-28T00:00:00"/>
    <n v="11"/>
    <x v="2"/>
    <s v="Canada"/>
    <s v="Unknown"/>
    <s v="Americas&gt;Canada&gt;Unknown"/>
    <s v="Consumer"/>
    <s v="Distributor"/>
    <x v="0"/>
    <s v="Printers"/>
    <s v="PRN-1371"/>
    <n v="1008.16"/>
    <n v="2077.5"/>
    <n v="2077.5"/>
    <s v="High"/>
    <n v="7.3999999999999996E-2"/>
    <n v="7.3999999999999996E-2"/>
    <n v="15"/>
    <n v="28856.475000000002"/>
    <n v="15122.4"/>
    <n v="13734.075000000003"/>
    <n v="0.47594430712691005"/>
    <d v="2023-01-02T00:00:00"/>
    <n v="22"/>
    <n v="0"/>
  </r>
  <r>
    <s v="ORD-2024-375848"/>
    <d v="2024-05-18T00:00:00"/>
    <d v="2024-05-18T00:00:00"/>
    <s v="Q2 -2024"/>
    <d v="2024-05-21T00:00:00"/>
    <d v="2024-05-21T00:00:00"/>
    <n v="3"/>
    <x v="3"/>
    <s v="France"/>
    <s v="Marseille"/>
    <s v="Europe&gt;France&gt;Marseille"/>
    <s v="Non-Profit"/>
    <s v="Marketplace"/>
    <x v="6"/>
    <s v="Printers"/>
    <s v="PRN-1725"/>
    <n v="663.66"/>
    <n v="824.26"/>
    <n v="824.26"/>
    <s v="Low"/>
    <n v="0.23899999999999999"/>
    <n v="0.23899999999999999"/>
    <n v="11"/>
    <n v="6899.8804600000003"/>
    <n v="7300.2599999999993"/>
    <n v="-400.379539999999"/>
    <n v="-5.8027025587048933E-2"/>
    <d v="2023-01-10T00:00:00"/>
    <n v="16"/>
    <n v="1"/>
  </r>
  <r>
    <s v="ORD-2024-381197"/>
    <d v="2024-11-01T00:00:00"/>
    <d v="2024-11-01T00:00:00"/>
    <s v="Q4 -2024"/>
    <d v="2024-11-12T00:00:00"/>
    <d v="2024-11-12T00:00:00"/>
    <n v="11"/>
    <x v="3"/>
    <s v="Germany"/>
    <s v="Frankfurt"/>
    <s v="Europe&gt;Germany&gt;Frankfurt"/>
    <s v="Consumer"/>
    <s v="Online"/>
    <x v="12"/>
    <s v="Printers"/>
    <s v="PRN-2409"/>
    <n v="599.84"/>
    <n v="1330.85"/>
    <n v="1330.85"/>
    <s v="Medium"/>
    <n v="0.115"/>
    <n v="0.115"/>
    <n v="11"/>
    <n v="12955.824749999998"/>
    <n v="6598.2400000000007"/>
    <n v="6357.5847499999973"/>
    <n v="0.49071246892252063"/>
    <d v="2023-01-22T00:00:00"/>
    <n v="21"/>
    <n v="0"/>
  </r>
  <r>
    <s v="ORD-2024-382152"/>
    <d v="2024-12-08T00:00:00"/>
    <d v="2024-12-08T00:00:00"/>
    <s v="Q4 -2024"/>
    <d v="2024-12-08T00:00:00"/>
    <d v="2024-12-08T00:00:00"/>
    <n v="0"/>
    <x v="3"/>
    <s v="France"/>
    <s v="Lyon"/>
    <s v="Europe&gt;France&gt;Lyon"/>
    <s v="Enterprise"/>
    <s v="Retail"/>
    <x v="7"/>
    <s v="Components"/>
    <s v="CMP-2335"/>
    <n v="257.44"/>
    <n v="290.33"/>
    <n v="290.33"/>
    <s v="Low"/>
    <n v="9.1999999999999998E-2"/>
    <n v="9.1999999999999998E-2"/>
    <n v="23"/>
    <n v="6063.2517199999993"/>
    <n v="5921.12"/>
    <n v="142.1317199999994"/>
    <n v="2.3441500792581216E-2"/>
    <d v="2023-01-10T00:00:00"/>
    <n v="22"/>
    <n v="0"/>
  </r>
  <r>
    <s v="ORD-2024-389102"/>
    <d v="2024-06-15T00:00:00"/>
    <d v="2024-06-15T00:00:00"/>
    <s v="Q2 -2024"/>
    <d v="2024-07-06T00:00:00"/>
    <d v="2024-07-06T00:00:00"/>
    <n v="21"/>
    <x v="2"/>
    <s v="Canada"/>
    <s v="Toronto"/>
    <s v="Americas&gt;Canada&gt;Toronto"/>
    <s v="Enterprise"/>
    <s v="Distributor"/>
    <x v="11"/>
    <s v="Printers"/>
    <s v="PRN-4453"/>
    <n v="817.23"/>
    <n v="1467.17"/>
    <n v="1467.17"/>
    <s v="Medium"/>
    <n v="0.245"/>
    <n v="0.245"/>
    <n v="9"/>
    <n v="9969.4201499999999"/>
    <n v="7355.07"/>
    <n v="2614.3501500000002"/>
    <n v="0.26223693160328893"/>
    <d v="2023-01-02T00:00:00"/>
    <n v="17"/>
    <n v="1"/>
  </r>
  <r>
    <s v="ORD-2024-389336"/>
    <d v="2024-05-20T00:00:00"/>
    <d v="2024-05-20T00:00:00"/>
    <s v="Q2 -2024"/>
    <d v="2024-06-02T00:00:00"/>
    <d v="2024-06-02T00:00:00"/>
    <n v="13"/>
    <x v="2"/>
    <s v="Canada"/>
    <s v="Vancouver"/>
    <s v="Americas&gt;Canada&gt;Vancouver"/>
    <s v="Enterprise"/>
    <s v="Marketplace"/>
    <x v="4"/>
    <s v="Components"/>
    <s v="CMP-5946"/>
    <n v="675.43"/>
    <n v="996.36"/>
    <n v="996.36"/>
    <s v="Medium"/>
    <n v="0.182"/>
    <n v="0.182"/>
    <n v="22"/>
    <n v="17930.494560000003"/>
    <n v="14859.46"/>
    <n v="3071.0345600000037"/>
    <n v="0.17127439233332575"/>
    <d v="2023-01-02T00:00:00"/>
    <n v="16"/>
    <n v="0"/>
  </r>
  <r>
    <s v="ORD-2024-390951"/>
    <d v="2024-12-20T00:00:00"/>
    <d v="2024-12-20T00:00:00"/>
    <s v="Q4 -2024"/>
    <d v="2025-01-14T00:00:00"/>
    <d v="2025-01-14T00:00:00"/>
    <n v="25"/>
    <x v="0"/>
    <s v="India"/>
    <s v="Delhi"/>
    <s v="Asia&gt;India&gt;Delhi"/>
    <s v="Small Business"/>
    <s v="Retail"/>
    <x v="8"/>
    <s v="Printers"/>
    <s v="PRN-9378"/>
    <n v="1361.34"/>
    <n v="1737.9"/>
    <n v="1737.9"/>
    <s v="High"/>
    <n v="7.6999999999999999E-2"/>
    <n v="7.6999999999999999E-2"/>
    <n v="14"/>
    <n v="22457.143800000002"/>
    <n v="19058.759999999998"/>
    <n v="3398.3838000000032"/>
    <n v="0.15132751654731813"/>
    <d v="2023-01-29T00:00:00"/>
    <n v="22"/>
    <n v="0"/>
  </r>
  <r>
    <s v="ORD-2024-398783"/>
    <d v="2024-07-18T00:00:00"/>
    <d v="2024-07-18T00:00:00"/>
    <s v="Q3 -2024"/>
    <d v="2024-08-07T00:00:00"/>
    <d v="2024-08-07T00:00:00"/>
    <n v="20"/>
    <x v="3"/>
    <s v="France"/>
    <s v="Marseille"/>
    <s v="Europe&gt;France&gt;Marseille"/>
    <s v="Corporate"/>
    <s v="Retail"/>
    <x v="3"/>
    <s v="Monitors"/>
    <s v="MON-7622"/>
    <n v="941.35"/>
    <n v="899.83"/>
    <n v="899.83"/>
    <s v="Medium"/>
    <n v="5.8000000000000003E-2"/>
    <n v="5.8000000000000003E-2"/>
    <n v="18"/>
    <n v="15257.51748"/>
    <n v="16944.3"/>
    <n v="-1686.7825199999988"/>
    <n v="-0.11055419220139073"/>
    <d v="2023-01-10T00:00:00"/>
    <n v="18"/>
    <n v="0"/>
  </r>
  <r>
    <s v="ORD-2024-402240"/>
    <d v="2024-05-01T00:00:00"/>
    <d v="2024-05-01T00:00:00"/>
    <s v="Q2 -2024"/>
    <d v="2024-05-26T00:00:00"/>
    <d v="2024-05-26T00:00:00"/>
    <n v="25"/>
    <x v="3"/>
    <s v="Germany"/>
    <s v="Berlin"/>
    <s v="Europe&gt;Germany&gt;Berlin"/>
    <s v="Non-Profit"/>
    <s v="Retail"/>
    <x v="12"/>
    <s v="Networking"/>
    <s v="NET-4228"/>
    <n v="930.71"/>
    <n v="1625.42"/>
    <n v="1625.42"/>
    <s v="Medium"/>
    <n v="0.13800000000000001"/>
    <n v="0.13800000000000001"/>
    <n v="7"/>
    <n v="9807.7842799999999"/>
    <n v="6514.97"/>
    <n v="3292.8142799999996"/>
    <n v="0.33573477821231196"/>
    <d v="2023-01-22T00:00:00"/>
    <n v="15"/>
    <n v="0"/>
  </r>
  <r>
    <s v="ORD-2024-403664"/>
    <d v="2024-05-23T00:00:00"/>
    <d v="2024-05-23T00:00:00"/>
    <s v="Q2 -2024"/>
    <d v="2024-06-06T00:00:00"/>
    <d v="2024-06-06T00:00:00"/>
    <n v="14"/>
    <x v="2"/>
    <s v="Brazil"/>
    <s v="Rio de Janeiro"/>
    <s v="Americas&gt;Brazil&gt;Rio de Janeiro"/>
    <s v="Non-Profit"/>
    <s v="Online"/>
    <x v="9"/>
    <s v="Networking"/>
    <s v="NET-1166"/>
    <n v="51.13"/>
    <n v="57.53"/>
    <n v="57.53"/>
    <s v="Low"/>
    <n v="4.4999999999999998E-2"/>
    <n v="4.4999999999999998E-2"/>
    <n v="16"/>
    <n v="879.05840000000001"/>
    <n v="818.08"/>
    <n v="60.978399999999965"/>
    <n v="6.9367859973808302E-2"/>
    <d v="2023-01-29T00:00:00"/>
    <n v="15"/>
    <n v="0"/>
  </r>
  <r>
    <s v="ORD-2024-419248"/>
    <d v="2024-03-04T00:00:00"/>
    <d v="2024-03-04T00:00:00"/>
    <s v="Q1 -2024"/>
    <d v="2024-03-16T00:00:00"/>
    <d v="2024-03-16T00:00:00"/>
    <n v="12"/>
    <x v="1"/>
    <s v="South Africa"/>
    <s v="Johannesburg"/>
    <s v="Africa&gt;South Africa&gt;Johannesburg"/>
    <s v="Enterprise"/>
    <s v="Distributor"/>
    <x v="8"/>
    <s v="Monitors"/>
    <s v="MON-8422"/>
    <n v="441.08"/>
    <n v="1054.29"/>
    <n v="1054.29"/>
    <s v="Medium"/>
    <n v="0.23699999999999999"/>
    <n v="0.23699999999999999"/>
    <n v="6"/>
    <n v="4826.5396199999996"/>
    <n v="2646.48"/>
    <n v="2180.0596199999995"/>
    <n v="0.45168169985932899"/>
    <d v="2023-01-07T00:00:00"/>
    <n v="13"/>
    <n v="1"/>
  </r>
  <r>
    <s v="ORD-2024-423853"/>
    <d v="2024-09-03T00:00:00"/>
    <d v="2024-09-03T00:00:00"/>
    <s v="Q3 -2024"/>
    <d v="2024-09-08T00:00:00"/>
    <d v="2024-09-08T00:00:00"/>
    <n v="5"/>
    <x v="1"/>
    <s v="Nigeria"/>
    <s v="Lagos"/>
    <s v="Africa&gt;Nigeria&gt;Lagos"/>
    <s v="Small Business"/>
    <s v="Direct"/>
    <x v="4"/>
    <s v="Printers"/>
    <s v="PRN-1141"/>
    <n v="197.63"/>
    <n v="325.79000000000002"/>
    <n v="325.79000000000002"/>
    <s v="Low"/>
    <n v="0.11600000000000001"/>
    <n v="0.11600000000000001"/>
    <n v="10"/>
    <n v="2879.9836"/>
    <n v="1976.3"/>
    <n v="903.68360000000007"/>
    <n v="0.31378081458519419"/>
    <d v="2023-01-15T00:00:00"/>
    <n v="19"/>
    <n v="0"/>
  </r>
  <r>
    <s v="ORD-2024-427031"/>
    <d v="2024-06-08T00:00:00"/>
    <d v="2024-06-08T00:00:00"/>
    <s v="Q2 -2024"/>
    <d v="2024-06-24T00:00:00"/>
    <d v="2024-06-24T00:00:00"/>
    <n v="16"/>
    <x v="1"/>
    <s v="South Africa"/>
    <s v="Durban"/>
    <s v="Africa&gt;South Africa&gt;Durban"/>
    <s v="Education"/>
    <s v="Distributor"/>
    <x v="7"/>
    <s v="Monitors"/>
    <s v="MON-1389"/>
    <n v="597.85"/>
    <n v="741.92"/>
    <n v="741.92"/>
    <s v="Low"/>
    <n v="3.1E-2"/>
    <n v="3.1E-2"/>
    <n v="7"/>
    <n v="5032.4433599999993"/>
    <n v="4184.95"/>
    <n v="847.49335999999948"/>
    <n v="0.16840594108544515"/>
    <d v="2023-01-07T00:00:00"/>
    <n v="17"/>
    <n v="0"/>
  </r>
  <r>
    <s v="ORD-2024-433936"/>
    <d v="2024-08-04T00:00:00"/>
    <d v="2024-08-04T00:00:00"/>
    <s v="Q3 -2024"/>
    <d v="2024-08-17T00:00:00"/>
    <d v="2024-08-17T00:00:00"/>
    <n v="13"/>
    <x v="2"/>
    <s v="USA"/>
    <s v="Austin"/>
    <s v="Americas&gt;USA&gt;Austin"/>
    <s v="Consumer"/>
    <s v="Retail"/>
    <x v="6"/>
    <s v="Monitors"/>
    <s v="MON-8867"/>
    <n v="352.79"/>
    <n v="754.22"/>
    <n v="754.22"/>
    <s v="Low"/>
    <n v="0.113"/>
    <n v="0.113"/>
    <n v="7"/>
    <n v="4682.9519799999998"/>
    <n v="2469.5300000000002"/>
    <n v="2213.4219799999996"/>
    <n v="0.47265528014233443"/>
    <d v="2023-01-13T00:00:00"/>
    <n v="18"/>
    <n v="0"/>
  </r>
  <r>
    <s v="ORD-2024-437164"/>
    <d v="2024-02-20T00:00:00"/>
    <d v="2024-02-20T00:00:00"/>
    <s v="Q1 -2024"/>
    <d v="2024-02-20T00:00:00"/>
    <d v="2024-02-20T00:00:00"/>
    <n v="0"/>
    <x v="2"/>
    <s v="USA"/>
    <s v="New York"/>
    <s v="Americas&gt;USA&gt;New York"/>
    <s v="Enterprise"/>
    <s v="Online"/>
    <x v="14"/>
    <s v="Networking"/>
    <s v="NET-9177"/>
    <n v="1407.05"/>
    <n v="2858.93"/>
    <n v="2858.93"/>
    <s v="High"/>
    <n v="0"/>
    <n v="0"/>
    <n v="12"/>
    <n v="34307.159999999996"/>
    <n v="16884.599999999999"/>
    <n v="17422.559999999998"/>
    <n v="0.50784034586366222"/>
    <d v="2023-01-13T00:00:00"/>
    <n v="13"/>
    <n v="0"/>
  </r>
  <r>
    <s v="ORD-2024-438404"/>
    <d v="2024-09-23T00:00:00"/>
    <d v="2024-09-23T00:00:00"/>
    <s v="Q3 -2024"/>
    <d v="2024-10-18T00:00:00"/>
    <d v="2024-10-18T00:00:00"/>
    <n v="25"/>
    <x v="2"/>
    <s v="Canada"/>
    <s v="Vancouver"/>
    <s v="Americas&gt;Canada&gt;Vancouver"/>
    <s v="Small Business"/>
    <s v="Online"/>
    <x v="13"/>
    <s v="Phones"/>
    <s v="PHN-4568"/>
    <n v="1297"/>
    <n v="2411.52"/>
    <n v="2411.52"/>
    <s v="High"/>
    <n v="2.1000000000000001E-2"/>
    <n v="2.1000000000000001E-2"/>
    <n v="18"/>
    <n v="42495.805439999996"/>
    <n v="23346"/>
    <n v="19149.805439999996"/>
    <n v="0.45062813239385913"/>
    <d v="2023-01-02T00:00:00"/>
    <n v="20"/>
    <n v="0"/>
  </r>
  <r>
    <s v="ORD-2024-442776"/>
    <d v="2024-06-30T00:00:00"/>
    <d v="2024-06-30T00:00:00"/>
    <s v="Q2 -2024"/>
    <d v="2024-07-21T00:00:00"/>
    <d v="2024-07-21T00:00:00"/>
    <n v="21"/>
    <x v="1"/>
    <s v="Kenya"/>
    <s v="Kisumu"/>
    <s v="Africa&gt;Kenya&gt;Kisumu"/>
    <s v="Small Business"/>
    <s v="Retail"/>
    <x v="4"/>
    <s v="Laptops"/>
    <s v="LAP-6577"/>
    <n v="753.43"/>
    <n v="1787.2"/>
    <n v="1787.2"/>
    <s v="High"/>
    <n v="7.2999999999999995E-2"/>
    <n v="7.2999999999999995E-2"/>
    <n v="9"/>
    <n v="14910.609600000002"/>
    <n v="6780.87"/>
    <n v="8129.7396000000017"/>
    <n v="0.54523187301476939"/>
    <d v="2023-01-20T00:00:00"/>
    <n v="17"/>
    <n v="0"/>
  </r>
  <r>
    <s v="ORD-2024-444710"/>
    <d v="2024-09-22T00:00:00"/>
    <d v="2024-09-22T00:00:00"/>
    <s v="Q3 -2024"/>
    <d v="2024-10-01T00:00:00"/>
    <d v="2024-10-01T00:00:00"/>
    <n v="9"/>
    <x v="2"/>
    <s v="Brazil"/>
    <s v="São Paulo"/>
    <s v="Americas&gt;Brazil&gt;São Paulo"/>
    <s v="Non-Profit"/>
    <s v="Online"/>
    <x v="4"/>
    <s v="Monitors"/>
    <s v="MON-6341"/>
    <n v="1378.8"/>
    <n v="1952.04"/>
    <n v="1952.04"/>
    <s v="High"/>
    <n v="0.159"/>
    <n v="0.159"/>
    <n v="19"/>
    <n v="31191.64716"/>
    <n v="26197.200000000001"/>
    <n v="4994.4471599999997"/>
    <n v="0.16012130216723058"/>
    <d v="2023-01-29T00:00:00"/>
    <n v="19"/>
    <n v="0"/>
  </r>
  <r>
    <s v="ORD-2024-446030"/>
    <d v="2024-03-23T00:00:00"/>
    <d v="2024-03-23T00:00:00"/>
    <s v="Q1 -2024"/>
    <d v="2024-03-26T00:00:00"/>
    <d v="2024-03-26T00:00:00"/>
    <n v="3"/>
    <x v="0"/>
    <s v="India"/>
    <s v="Bengaluru"/>
    <s v="Asia&gt;India&gt;Bengaluru"/>
    <s v="Education"/>
    <s v="Direct"/>
    <x v="10"/>
    <s v="Phones"/>
    <s v="PHN-4346"/>
    <n v="382.21"/>
    <n v="571.89"/>
    <n v="571.89"/>
    <s v="Low"/>
    <n v="0.14799999999999999"/>
    <n v="0.14799999999999999"/>
    <n v="26"/>
    <n v="12668.50728"/>
    <n v="9937.4599999999991"/>
    <n v="2731.0472800000007"/>
    <n v="0.2155776698578809"/>
    <d v="2023-01-29T00:00:00"/>
    <n v="13"/>
    <n v="0"/>
  </r>
  <r>
    <s v="ORD-2024-446699"/>
    <d v="2024-08-28T00:00:00"/>
    <d v="2024-08-28T00:00:00"/>
    <s v="Q3 -2024"/>
    <d v="2024-09-25T00:00:00"/>
    <d v="2024-09-25T00:00:00"/>
    <n v="28"/>
    <x v="2"/>
    <s v="Brazil"/>
    <s v="Rio de Janeiro"/>
    <s v="Americas&gt;Brazil&gt;Rio de Janeiro"/>
    <s v="Non-Profit"/>
    <s v="Online"/>
    <x v="15"/>
    <s v="Accessories"/>
    <s v="ACC-4490"/>
    <n v="1394.65"/>
    <n v="3144.1"/>
    <n v="3144.1"/>
    <s v="High"/>
    <n v="0.13400000000000001"/>
    <n v="0.13400000000000001"/>
    <n v="13"/>
    <n v="35396.277799999996"/>
    <n v="18130.45"/>
    <n v="17265.827799999995"/>
    <n v="0.4877865378263021"/>
    <d v="2023-01-29T00:00:00"/>
    <n v="18"/>
    <n v="0"/>
  </r>
  <r>
    <s v="ORD-2024-451005"/>
    <d v="2024-06-30T00:00:00"/>
    <d v="2024-06-30T00:00:00"/>
    <s v="Q2 -2024"/>
    <d v="2024-06-28T00:00:00"/>
    <d v="2024-07-05T00:00:00"/>
    <n v="5"/>
    <x v="2"/>
    <s v="Brazil"/>
    <s v="Rio de Janeiro"/>
    <s v="Americas&gt;Brazil&gt;Rio de Janeiro"/>
    <s v="Small Business"/>
    <s v="Direct"/>
    <x v="11"/>
    <s v="Accessories"/>
    <s v="ACC-9162"/>
    <n v="1112.98"/>
    <n v="2095.73"/>
    <n v="2095.73"/>
    <s v="High"/>
    <n v="7.1999999999999995E-2"/>
    <n v="7.1999999999999995E-2"/>
    <n v="17"/>
    <n v="33062.236480000007"/>
    <n v="18920.66"/>
    <n v="14141.576480000007"/>
    <n v="0.42772594916724777"/>
    <d v="2023-01-29T00:00:00"/>
    <n v="17"/>
    <n v="0"/>
  </r>
  <r>
    <s v="ORD-2024-465898"/>
    <d v="2024-06-06T00:00:00"/>
    <d v="2024-06-06T00:00:00"/>
    <s v="Q2 -2024"/>
    <d v="2024-06-24T00:00:00"/>
    <d v="2024-06-24T00:00:00"/>
    <n v="18"/>
    <x v="0"/>
    <s v="India"/>
    <s v="Bengaluru"/>
    <s v="Asia&gt;India&gt;Bengaluru"/>
    <s v="Small Business"/>
    <s v="Direct"/>
    <x v="7"/>
    <s v="Networking"/>
    <s v="NET-6578"/>
    <n v="1253.25"/>
    <n v="3087.13"/>
    <n v="3087.13"/>
    <s v="High"/>
    <n v="7.1999999999999995E-2"/>
    <n v="7.1999999999999995E-2"/>
    <n v="11"/>
    <n v="31513.423040000001"/>
    <n v="13785.75"/>
    <n v="17727.673040000001"/>
    <n v="0.562543555408064"/>
    <d v="2023-01-29T00:00:00"/>
    <n v="16"/>
    <n v="0"/>
  </r>
  <r>
    <s v="ORD-2024-468501"/>
    <d v="2024-11-06T00:00:00"/>
    <d v="2024-11-06T00:00:00"/>
    <s v="Q4 -2024"/>
    <d v="2024-11-22T00:00:00"/>
    <d v="2024-11-22T00:00:00"/>
    <n v="16"/>
    <x v="2"/>
    <s v="Canada"/>
    <s v="Toronto"/>
    <s v="Americas&gt;Canada&gt;Toronto"/>
    <s v="Non-Profit"/>
    <s v="Distributor"/>
    <x v="6"/>
    <s v="Accessories"/>
    <s v="ACC-6348"/>
    <n v="1454.11"/>
    <n v="2629.75"/>
    <n v="2629.75"/>
    <s v="High"/>
    <n v="0.29199999999999998"/>
    <n v="0.29199999999999998"/>
    <n v="8"/>
    <n v="14894.903999999999"/>
    <n v="11632.88"/>
    <n v="3262.0239999999994"/>
    <n v="0.21900268709351867"/>
    <d v="2023-01-02T00:00:00"/>
    <n v="22"/>
    <n v="1"/>
  </r>
  <r>
    <s v="ORD-2024-468615"/>
    <d v="2024-07-09T00:00:00"/>
    <d v="2024-07-09T00:00:00"/>
    <s v="Q3 -2024"/>
    <d v="2024-07-12T00:00:00"/>
    <d v="2024-07-12T00:00:00"/>
    <n v="3"/>
    <x v="0"/>
    <s v="China"/>
    <s v="Shanghai"/>
    <s v="Asia&gt;China&gt;Shanghai"/>
    <s v="Small Business"/>
    <s v="Retail"/>
    <x v="6"/>
    <s v="Accessories"/>
    <s v="ACC-3721"/>
    <n v="748.39"/>
    <n v="979.42"/>
    <n v="979.42"/>
    <s v="Medium"/>
    <n v="0"/>
    <n v="0"/>
    <n v="23"/>
    <n v="22526.66"/>
    <n v="17212.97"/>
    <n v="5313.6899999999987"/>
    <n v="0.23588450307324738"/>
    <d v="2023-01-12T00:00:00"/>
    <n v="17"/>
    <n v="0"/>
  </r>
  <r>
    <s v="ORD-2024-468655"/>
    <d v="2024-02-19T00:00:00"/>
    <d v="2024-02-19T00:00:00"/>
    <s v="Q1 -2024"/>
    <d v="2024-03-06T00:00:00"/>
    <d v="2024-03-06T00:00:00"/>
    <n v="16"/>
    <x v="0"/>
    <s v="China"/>
    <s v="Beijing"/>
    <s v="Asia&gt;China&gt;Beijing"/>
    <s v="Education"/>
    <s v="Marketplace"/>
    <x v="2"/>
    <s v="Printers"/>
    <s v="PRN-6308"/>
    <n v="1477.84"/>
    <n v="3197.47"/>
    <n v="3197.47"/>
    <s v="High"/>
    <n v="0.24299999999999999"/>
    <n v="0.24299999999999999"/>
    <n v="24"/>
    <n v="58091.634960000003"/>
    <n v="35468.159999999996"/>
    <n v="22623.474960000007"/>
    <n v="0.38944462443823091"/>
    <d v="2023-01-12T00:00:00"/>
    <n v="13"/>
    <n v="1"/>
  </r>
  <r>
    <s v="ORD-2024-474999"/>
    <d v="2024-12-27T00:00:00"/>
    <d v="2024-12-27T00:00:00"/>
    <s v="Q4 -2024"/>
    <d v="2025-01-02T00:00:00"/>
    <d v="2025-01-02T00:00:00"/>
    <n v="6"/>
    <x v="3"/>
    <s v="Germany"/>
    <s v="Frankfurt"/>
    <s v="Europe&gt;Germany&gt;Frankfurt"/>
    <s v="Education"/>
    <s v="Direct"/>
    <x v="3"/>
    <s v="Laptops"/>
    <s v="LAP-8214"/>
    <n v="1391.99"/>
    <n v="3469.7"/>
    <n v="3469.7"/>
    <s v="High"/>
    <n v="0.184"/>
    <n v="0.184"/>
    <n v="23"/>
    <n v="65119.329599999997"/>
    <n v="32015.77"/>
    <n v="33103.559599999993"/>
    <n v="0.50835227886006973"/>
    <d v="2023-01-22T00:00:00"/>
    <n v="23"/>
    <n v="0"/>
  </r>
  <r>
    <s v="ORD-2024-478165"/>
    <d v="2024-12-05T00:00:00"/>
    <d v="2024-12-05T00:00:00"/>
    <s v="Q4 -2024"/>
    <d v="2024-12-28T00:00:00"/>
    <d v="2024-12-28T00:00:00"/>
    <n v="23"/>
    <x v="2"/>
    <s v="Canada"/>
    <s v="Vancouver"/>
    <s v="Americas&gt;Canada&gt;Vancouver"/>
    <s v="Corporate"/>
    <s v="Direct"/>
    <x v="3"/>
    <s v="Accessories"/>
    <s v="ACC-2386"/>
    <n v="107.03"/>
    <n v="242.29"/>
    <n v="242.29"/>
    <s v="Low"/>
    <n v="0.18"/>
    <n v="0.18"/>
    <n v="30"/>
    <n v="5960.3340000000007"/>
    <n v="3210.9"/>
    <n v="2749.4340000000007"/>
    <n v="0.46128857879440988"/>
    <d v="2023-01-02T00:00:00"/>
    <n v="23"/>
    <n v="0"/>
  </r>
  <r>
    <s v="ORD-2024-496601"/>
    <d v="2024-11-11T00:00:00"/>
    <d v="2024-11-11T00:00:00"/>
    <s v="Q4 -2024"/>
    <d v="2024-11-24T00:00:00"/>
    <d v="2024-11-24T00:00:00"/>
    <n v="13"/>
    <x v="3"/>
    <s v="United Kingdom"/>
    <s v="London"/>
    <s v="Europe&gt;United Kingdom&gt;London"/>
    <s v="Corporate"/>
    <s v="Retail"/>
    <x v="1"/>
    <s v="Networking"/>
    <s v="NET-2932"/>
    <n v="164.53"/>
    <n v="327.72"/>
    <n v="327.72"/>
    <s v="Low"/>
    <n v="6.7000000000000004E-2"/>
    <n v="6.7000000000000004E-2"/>
    <n v="14"/>
    <n v="4280.6786400000001"/>
    <n v="2303.42"/>
    <n v="1977.25864"/>
    <n v="0.46190307805960412"/>
    <d v="2023-01-19T00:00:00"/>
    <n v="21"/>
    <n v="0"/>
  </r>
  <r>
    <s v="ORD-2024-499009"/>
    <d v="2024-01-25T00:00:00"/>
    <d v="2024-01-25T00:00:00"/>
    <s v="Q1 -2024"/>
    <d v="2024-01-27T00:00:00"/>
    <d v="2024-01-27T00:00:00"/>
    <n v="2"/>
    <x v="2"/>
    <s v="Brazil"/>
    <s v="São Paulo"/>
    <s v="Americas&gt;Brazil&gt;São Paulo"/>
    <s v="Non-Profit"/>
    <s v="Marketplace"/>
    <x v="13"/>
    <s v="Laptops"/>
    <s v="LAP-7056"/>
    <n v="1410.97"/>
    <n v="1650.75"/>
    <n v="1650.75"/>
    <s v="High"/>
    <n v="0.13500000000000001"/>
    <n v="0.13500000000000001"/>
    <n v="6"/>
    <n v="8567.3924999999999"/>
    <n v="8465.82"/>
    <n v="101.57250000000022"/>
    <n v="1.1855707556295596E-2"/>
    <d v="2023-01-29T00:00:00"/>
    <n v="11"/>
    <n v="0"/>
  </r>
  <r>
    <s v="ORD-2024-500109"/>
    <d v="2024-05-18T00:00:00"/>
    <d v="2024-05-18T00:00:00"/>
    <s v="Q2 -2024"/>
    <d v="2024-05-23T00:00:00"/>
    <d v="2024-05-23T00:00:00"/>
    <n v="5"/>
    <x v="2"/>
    <s v="USA"/>
    <s v="Chicago"/>
    <s v="Americas&gt;USA&gt;Chicago"/>
    <s v="Enterprise"/>
    <s v="Retail"/>
    <x v="7"/>
    <s v="Laptops"/>
    <s v="LAP-4987"/>
    <n v="1274.5899999999999"/>
    <n v="2553.69"/>
    <n v="2553.69"/>
    <s v="High"/>
    <n v="0.01"/>
    <n v="0.01"/>
    <n v="8"/>
    <n v="20225.2248"/>
    <n v="10196.719999999999"/>
    <n v="10028.504800000001"/>
    <n v="0.49584145042481803"/>
    <d v="2023-01-13T00:00:00"/>
    <n v="16"/>
    <n v="0"/>
  </r>
  <r>
    <s v="ORD-2024-500511"/>
    <d v="2024-10-08T00:00:00"/>
    <d v="2024-10-08T00:00:00"/>
    <s v="Q4 -2024"/>
    <d v="2024-10-08T00:00:00"/>
    <d v="2024-10-08T00:00:00"/>
    <n v="0"/>
    <x v="3"/>
    <s v="United Kingdom"/>
    <s v="London"/>
    <s v="Europe&gt;United Kingdom&gt;London"/>
    <s v="Corporate"/>
    <s v="Online"/>
    <x v="1"/>
    <s v="Monitors"/>
    <s v="MON-9733"/>
    <n v="1108.1099999999999"/>
    <n v="2503.79"/>
    <n v="2503.79"/>
    <s v="High"/>
    <n v="0.184"/>
    <n v="0.184"/>
    <n v="19"/>
    <n v="38818.760160000005"/>
    <n v="21054.089999999997"/>
    <n v="17764.670160000009"/>
    <n v="0.45763105485025896"/>
    <d v="2023-01-19T00:00:00"/>
    <n v="20"/>
    <n v="0"/>
  </r>
  <r>
    <s v="ORD-2024-500890"/>
    <d v="2024-09-09T00:00:00"/>
    <d v="2024-09-09T00:00:00"/>
    <s v="Q3 -2024"/>
    <d v="2024-10-08T00:00:00"/>
    <d v="2024-10-08T00:00:00"/>
    <n v="29"/>
    <x v="2"/>
    <s v="Brazil"/>
    <s v="São Paulo"/>
    <s v="Americas&gt;Brazil&gt;São Paulo"/>
    <s v="Education"/>
    <s v="Direct"/>
    <x v="5"/>
    <s v="Components"/>
    <s v="CMP-3093"/>
    <n v="1010.33"/>
    <n v="2492.14"/>
    <n v="2492.14"/>
    <s v="High"/>
    <n v="5.0999999999999997E-2"/>
    <n v="5.0999999999999997E-2"/>
    <n v="11"/>
    <n v="26015.449459999996"/>
    <n v="11113.630000000001"/>
    <n v="14901.819459999995"/>
    <n v="0.57280653493656752"/>
    <d v="2023-01-29T00:00:00"/>
    <n v="19"/>
    <n v="0"/>
  </r>
  <r>
    <s v="ORD-2024-503082"/>
    <d v="2024-05-19T00:00:00"/>
    <d v="2024-05-19T00:00:00"/>
    <s v="Q2 -2024"/>
    <d v="2024-06-08T00:00:00"/>
    <d v="2024-06-08T00:00:00"/>
    <n v="20"/>
    <x v="2"/>
    <s v="Brazil"/>
    <s v="Brasília"/>
    <s v="Americas&gt;Brazil&gt;Brasília"/>
    <s v="Small Business"/>
    <s v="Retail"/>
    <x v="1"/>
    <s v="Monitors"/>
    <s v="MON-4271"/>
    <n v="1075.9000000000001"/>
    <n v="1242.1500000000001"/>
    <n v="1242.1500000000001"/>
    <s v="Medium"/>
    <n v="1.2E-2"/>
    <n v="1.2E-2"/>
    <n v="7"/>
    <n v="8590.7094000000016"/>
    <n v="7531.3000000000011"/>
    <n v="1059.4094000000005"/>
    <n v="0.12332036280961853"/>
    <d v="2023-01-29T00:00:00"/>
    <n v="15"/>
    <n v="0"/>
  </r>
  <r>
    <s v="ORD-2024-508213"/>
    <d v="2024-11-22T00:00:00"/>
    <d v="2024-11-22T00:00:00"/>
    <s v="Q4 -2024"/>
    <d v="2024-12-15T00:00:00"/>
    <d v="2024-12-15T00:00:00"/>
    <n v="23"/>
    <x v="1"/>
    <s v="Kenya"/>
    <s v="Mombasa"/>
    <s v="Africa&gt;Kenya&gt;Mombasa"/>
    <s v="Non-Profit"/>
    <s v="Distributor"/>
    <x v="14"/>
    <s v="Components"/>
    <s v="CMP-3938"/>
    <n v="1335.76"/>
    <n v="2665.91"/>
    <n v="2665.91"/>
    <s v="High"/>
    <n v="0.21099999999999999"/>
    <n v="0.21099999999999999"/>
    <n v="40"/>
    <n v="84136.119600000005"/>
    <n v="53430.400000000001"/>
    <n v="30705.719600000004"/>
    <n v="0.36495288522909253"/>
    <d v="2023-01-20T00:00:00"/>
    <n v="22"/>
    <n v="1"/>
  </r>
  <r>
    <s v="ORD-2024-510520"/>
    <d v="2024-09-25T00:00:00"/>
    <d v="2024-09-25T00:00:00"/>
    <s v="Q3 -2024"/>
    <d v="2024-10-03T00:00:00"/>
    <d v="2024-10-03T00:00:00"/>
    <n v="8"/>
    <x v="2"/>
    <s v="Canada"/>
    <s v="Toronto"/>
    <s v="Americas&gt;Canada&gt;Toronto"/>
    <s v="Consumer"/>
    <s v="Online"/>
    <x v="1"/>
    <s v="Printers"/>
    <s v="PRN-9557"/>
    <n v="558.19000000000005"/>
    <n v="1031.6400000000001"/>
    <n v="1031.6400000000001"/>
    <s v="Medium"/>
    <n v="0"/>
    <n v="0"/>
    <n v="21"/>
    <n v="21664.440000000002"/>
    <n v="11721.990000000002"/>
    <n v="9942.4500000000007"/>
    <n v="0.45892947152107322"/>
    <d v="2023-01-02T00:00:00"/>
    <n v="20"/>
    <n v="0"/>
  </r>
  <r>
    <s v="ORD-2024-510591"/>
    <d v="2024-04-03T00:00:00"/>
    <d v="2024-04-03T00:00:00"/>
    <s v="Q2 -2024"/>
    <d v="2024-04-21T00:00:00"/>
    <d v="2024-04-21T00:00:00"/>
    <n v="18"/>
    <x v="2"/>
    <s v="Brazil"/>
    <s v="Brasília"/>
    <s v="Americas&gt;Brazil&gt;Brasília"/>
    <s v="Small Business"/>
    <s v="Distributor"/>
    <x v="12"/>
    <s v="Networking"/>
    <s v="NET-3850"/>
    <n v="1176.69"/>
    <n v="2201.54"/>
    <n v="2201.54"/>
    <s v="High"/>
    <n v="0.17"/>
    <n v="0.17"/>
    <n v="27"/>
    <n v="49336.511399999996"/>
    <n v="31770.63"/>
    <n v="17565.881399999995"/>
    <n v="0.35604222717701106"/>
    <d v="2023-01-29T00:00:00"/>
    <n v="14"/>
    <n v="0"/>
  </r>
  <r>
    <s v="ORD-2024-515105"/>
    <d v="2024-02-27T00:00:00"/>
    <d v="2024-02-27T00:00:00"/>
    <s v="Q1 -2024"/>
    <d v="2024-03-26T00:00:00"/>
    <d v="2024-03-26T00:00:00"/>
    <n v="28"/>
    <x v="0"/>
    <s v="India"/>
    <s v="Mumbai"/>
    <s v="Asia&gt;India&gt;Mumbai"/>
    <s v="Education"/>
    <s v="Marketplace"/>
    <x v="10"/>
    <s v="Laptops"/>
    <s v="LAP-8469"/>
    <n v="1035.19"/>
    <n v="2322.6999999999998"/>
    <n v="2322.6999999999998"/>
    <s v="High"/>
    <n v="0.17299999999999999"/>
    <n v="0.17299999999999999"/>
    <n v="8"/>
    <n v="15366.983199999999"/>
    <n v="8281.52"/>
    <n v="7085.4631999999983"/>
    <n v="0.46108355217047409"/>
    <d v="2023-01-29T00:00:00"/>
    <n v="12"/>
    <n v="0"/>
  </r>
  <r>
    <s v="ORD-2024-516704"/>
    <d v="2024-03-01T00:00:00"/>
    <d v="2024-03-01T00:00:00"/>
    <s v="Q1 -2024"/>
    <d v="2024-02-29T00:00:00"/>
    <d v="2024-03-07T00:00:00"/>
    <n v="6"/>
    <x v="2"/>
    <s v="Brazil"/>
    <s v="São Paulo"/>
    <s v="Americas&gt;Brazil&gt;São Paulo"/>
    <s v="Non-Profit"/>
    <s v="Direct"/>
    <x v="9"/>
    <s v="Phones"/>
    <s v="PHN-7852"/>
    <n v="5.34"/>
    <n v="12.69"/>
    <n v="12.69"/>
    <s v="Low"/>
    <n v="0.13200000000000001"/>
    <n v="0.13200000000000001"/>
    <n v="10"/>
    <n v="110.14919999999999"/>
    <n v="53.4"/>
    <n v="56.749199999999995"/>
    <n v="0.51520301554618642"/>
    <d v="2023-01-29T00:00:00"/>
    <n v="13"/>
    <n v="0"/>
  </r>
  <r>
    <s v="ORD-2024-527858"/>
    <d v="2024-05-07T00:00:00"/>
    <d v="2024-05-07T00:00:00"/>
    <s v="Q2 -2024"/>
    <d v="2024-05-12T00:00:00"/>
    <d v="2024-05-12T00:00:00"/>
    <n v="5"/>
    <x v="1"/>
    <s v="Nigeria"/>
    <s v="Abuja"/>
    <s v="Africa&gt;Nigeria&gt;Abuja"/>
    <s v="Non-Profit"/>
    <s v="Distributor"/>
    <x v="11"/>
    <s v="Laptops"/>
    <s v="LAP-9100"/>
    <n v="1163.99"/>
    <n v="1617.85"/>
    <n v="1617.85"/>
    <s v="High"/>
    <n v="0.127"/>
    <n v="0.127"/>
    <n v="14"/>
    <n v="19773.362699999998"/>
    <n v="16295.86"/>
    <n v="3477.5026999999973"/>
    <n v="0.17586804797749436"/>
    <d v="2023-01-15T00:00:00"/>
    <n v="15"/>
    <n v="0"/>
  </r>
  <r>
    <s v="ORD-2024-532184"/>
    <d v="2024-01-25T00:00:00"/>
    <d v="2024-01-25T00:00:00"/>
    <s v="Q1 -2024"/>
    <d v="2024-02-08T00:00:00"/>
    <d v="2024-02-08T00:00:00"/>
    <n v="14"/>
    <x v="0"/>
    <s v="Japan"/>
    <s v="Osaka"/>
    <s v="Asia&gt;Japan&gt;Osaka"/>
    <s v="Consumer"/>
    <s v="Marketplace"/>
    <x v="9"/>
    <s v="Networking"/>
    <s v="NET-9569"/>
    <n v="937.16"/>
    <n v="1069.77"/>
    <n v="1069.77"/>
    <s v="Medium"/>
    <n v="3.7999999999999999E-2"/>
    <n v="3.7999999999999999E-2"/>
    <n v="9"/>
    <n v="9262.0686600000008"/>
    <n v="8434.44"/>
    <n v="827.62866000000031"/>
    <n v="8.9356783066645962E-2"/>
    <d v="2023-03-03T00:00:00"/>
    <n v="10"/>
    <n v="0"/>
  </r>
  <r>
    <s v="ORD-2024-536442"/>
    <d v="2024-08-31T00:00:00"/>
    <d v="2024-08-31T00:00:00"/>
    <s v="Q3 -2024"/>
    <d v="2024-09-26T00:00:00"/>
    <d v="2024-09-26T00:00:00"/>
    <n v="26"/>
    <x v="0"/>
    <s v="Japan"/>
    <s v="Tokyo"/>
    <s v="Asia&gt;Japan&gt;Tokyo"/>
    <s v="Education"/>
    <s v="Online"/>
    <x v="9"/>
    <s v="Phones"/>
    <s v="PHN-6111"/>
    <n v="1189.03"/>
    <n v="2949.62"/>
    <n v="2949.62"/>
    <s v="High"/>
    <n v="0.125"/>
    <n v="0.125"/>
    <n v="13"/>
    <n v="33551.927499999998"/>
    <n v="15457.39"/>
    <n v="18094.537499999999"/>
    <n v="0.53929949330034765"/>
    <d v="2023-03-03T00:00:00"/>
    <n v="17"/>
    <n v="0"/>
  </r>
  <r>
    <s v="ORD-2024-542244"/>
    <d v="2024-08-30T00:00:00"/>
    <d v="2024-08-30T00:00:00"/>
    <s v="Q3 -2024"/>
    <d v="2024-09-05T00:00:00"/>
    <d v="2024-09-05T00:00:00"/>
    <n v="6"/>
    <x v="0"/>
    <s v="Japan"/>
    <s v="Nagoya"/>
    <s v="Asia&gt;Japan&gt;Nagoya"/>
    <s v="Education"/>
    <s v="Online"/>
    <x v="13"/>
    <s v="Laptops"/>
    <s v="LAP-7009"/>
    <n v="466.16"/>
    <n v="876.81"/>
    <n v="876.81"/>
    <s v="Medium"/>
    <n v="0.24099999999999999"/>
    <n v="0.24099999999999999"/>
    <n v="8"/>
    <n v="5323.9903199999999"/>
    <n v="3729.28"/>
    <n v="1594.7103199999997"/>
    <n v="0.29953291124691594"/>
    <d v="2023-03-03T00:00:00"/>
    <n v="17"/>
    <n v="1"/>
  </r>
  <r>
    <s v="ORD-2024-544865"/>
    <d v="2024-02-16T00:00:00"/>
    <d v="2024-02-16T00:00:00"/>
    <s v="Q1 -2024"/>
    <d v="2024-03-04T00:00:00"/>
    <d v="2024-03-04T00:00:00"/>
    <n v="17"/>
    <x v="2"/>
    <s v="Canada"/>
    <s v="Montreal"/>
    <s v="Americas&gt;Canada&gt;Montreal"/>
    <s v="Non-Profit"/>
    <s v="Retail"/>
    <x v="6"/>
    <s v="Laptops"/>
    <s v="LAP-2774"/>
    <n v="1350.98"/>
    <n v="2210.4"/>
    <n v="2210.4"/>
    <s v="High"/>
    <n v="0.26300000000000001"/>
    <n v="0.26300000000000001"/>
    <n v="6"/>
    <n v="9774.3888000000006"/>
    <n v="8105.88"/>
    <n v="1668.5088000000005"/>
    <n v="0.17070211080615091"/>
    <d v="2023-01-02T00:00:00"/>
    <n v="13"/>
    <n v="1"/>
  </r>
  <r>
    <s v="ORD-2024-548345"/>
    <d v="2024-05-14T00:00:00"/>
    <d v="2024-05-14T00:00:00"/>
    <s v="Q2 -2024"/>
    <d v="2024-05-28T00:00:00"/>
    <d v="2024-05-28T00:00:00"/>
    <n v="14"/>
    <x v="3"/>
    <s v="United Kingdom"/>
    <s v="Birmingham"/>
    <s v="Europe&gt;United Kingdom&gt;Birmingham"/>
    <s v="Consumer"/>
    <s v="Retail"/>
    <x v="12"/>
    <s v="Networking"/>
    <s v="NET-2365"/>
    <n v="1421.14"/>
    <n v="3524"/>
    <n v="3524"/>
    <s v="High"/>
    <n v="0"/>
    <n v="0"/>
    <n v="31"/>
    <n v="109244"/>
    <n v="44055.340000000004"/>
    <n v="65188.659999999996"/>
    <n v="0.59672531214528945"/>
    <d v="2023-01-19T00:00:00"/>
    <n v="15"/>
    <n v="0"/>
  </r>
  <r>
    <s v="ORD-2024-550400"/>
    <d v="2024-08-19T00:00:00"/>
    <d v="2024-08-19T00:00:00"/>
    <s v="Q3 -2024"/>
    <d v="2024-09-02T00:00:00"/>
    <d v="2024-09-02T00:00:00"/>
    <n v="14"/>
    <x v="2"/>
    <s v="Canada"/>
    <s v="Toronto"/>
    <s v="Americas&gt;Canada&gt;Toronto"/>
    <s v="Consumer"/>
    <s v="Distributor"/>
    <x v="14"/>
    <s v="Printers"/>
    <s v="PRN-9793"/>
    <n v="1337.01"/>
    <n v="1269.78"/>
    <n v="1269.78"/>
    <s v="Medium"/>
    <n v="0.16"/>
    <n v="0.16"/>
    <n v="7"/>
    <n v="7466.3063999999986"/>
    <n v="9359.07"/>
    <n v="-1892.7636000000011"/>
    <n v="-0.25350735672996244"/>
    <d v="2023-01-02T00:00:00"/>
    <n v="19"/>
    <n v="0"/>
  </r>
  <r>
    <s v="ORD-2024-553449"/>
    <d v="2024-08-27T00:00:00"/>
    <d v="2024-08-27T00:00:00"/>
    <s v="Q3 -2024"/>
    <d v="2024-09-18T00:00:00"/>
    <d v="2024-09-18T00:00:00"/>
    <n v="22"/>
    <x v="0"/>
    <s v="India"/>
    <s v="Delhi"/>
    <s v="Asia&gt;India&gt;Delhi"/>
    <s v="Consumer"/>
    <s v="Direct"/>
    <x v="12"/>
    <s v="Components"/>
    <s v="CMP-3875"/>
    <n v="896.75"/>
    <n v="1651.14"/>
    <n v="1651.14"/>
    <s v="High"/>
    <n v="2.5000000000000001E-2"/>
    <n v="2.5000000000000001E-2"/>
    <n v="15"/>
    <n v="24147.922500000001"/>
    <n v="13451.25"/>
    <n v="10696.672500000001"/>
    <n v="0.44296450346815552"/>
    <d v="2023-01-29T00:00:00"/>
    <n v="18"/>
    <n v="0"/>
  </r>
  <r>
    <s v="ORD-2024-555229"/>
    <d v="2024-05-18T00:00:00"/>
    <d v="2024-05-18T00:00:00"/>
    <s v="Q2 -2024"/>
    <d v="2024-05-22T00:00:00"/>
    <d v="2024-05-22T00:00:00"/>
    <n v="4"/>
    <x v="1"/>
    <s v="Kenya"/>
    <s v="Nairobi"/>
    <s v="Africa&gt;Kenya&gt;Nairobi"/>
    <s v="Corporate"/>
    <s v="Direct"/>
    <x v="7"/>
    <s v="Accessories"/>
    <s v="ACC-7354"/>
    <n v="857.42"/>
    <n v="1658.92"/>
    <n v="1658.92"/>
    <s v="High"/>
    <n v="0.122"/>
    <n v="0.122"/>
    <n v="9"/>
    <n v="13108.78584"/>
    <n v="7716.78"/>
    <n v="5392.0058400000007"/>
    <n v="0.41132763215544305"/>
    <d v="2023-01-20T00:00:00"/>
    <n v="15"/>
    <n v="0"/>
  </r>
  <r>
    <s v="ORD-2024-566589"/>
    <d v="2024-06-11T00:00:00"/>
    <d v="2024-06-11T00:00:00"/>
    <s v="Q2 -2024"/>
    <d v="2024-07-09T00:00:00"/>
    <d v="2024-07-09T00:00:00"/>
    <n v="28"/>
    <x v="1"/>
    <s v="Nigeria"/>
    <s v="Port Harcourt"/>
    <s v="Africa&gt;Nigeria&gt;Port Harcourt"/>
    <s v="Corporate"/>
    <s v="Marketplace"/>
    <x v="9"/>
    <s v="Phones"/>
    <s v="PHN-2436"/>
    <n v="895.54"/>
    <n v="1045"/>
    <n v="1045"/>
    <s v="Medium"/>
    <n v="0.216"/>
    <n v="0.216"/>
    <n v="15"/>
    <n v="12289.2"/>
    <n v="13433.099999999999"/>
    <n v="-1143.8999999999978"/>
    <n v="-9.3081730299775234E-2"/>
    <d v="2023-01-15T00:00:00"/>
    <n v="16"/>
    <n v="1"/>
  </r>
  <r>
    <s v="ORD-2024-567435"/>
    <d v="2024-04-26T00:00:00"/>
    <d v="2024-04-26T00:00:00"/>
    <s v="Q2 -2024"/>
    <d v="2024-04-24T00:00:00"/>
    <d v="2024-05-01T00:00:00"/>
    <n v="5"/>
    <x v="3"/>
    <s v="United Kingdom"/>
    <s v="London"/>
    <s v="Europe&gt;United Kingdom&gt;London"/>
    <s v="Non-Profit"/>
    <s v="Distributor"/>
    <x v="13"/>
    <s v="Phones"/>
    <s v="PHN-9107"/>
    <n v="1232.77"/>
    <n v="891.73"/>
    <n v="891.73"/>
    <s v="Medium"/>
    <n v="0.16700000000000001"/>
    <n v="0.16700000000000001"/>
    <n v="10"/>
    <n v="7428.1108999999988"/>
    <n v="12327.7"/>
    <n v="-4899.589100000002"/>
    <n v="-0.65960096260813805"/>
    <d v="2023-01-19T00:00:00"/>
    <n v="15"/>
    <n v="0"/>
  </r>
  <r>
    <s v="ORD-2024-569164"/>
    <d v="2024-09-05T00:00:00"/>
    <d v="2024-09-05T00:00:00"/>
    <s v="Q3 -2024"/>
    <d v="2024-09-25T00:00:00"/>
    <d v="2024-09-25T00:00:00"/>
    <n v="20"/>
    <x v="0"/>
    <s v="Japan"/>
    <s v="Osaka"/>
    <s v="Asia&gt;Japan&gt;Osaka"/>
    <s v="Enterprise"/>
    <s v="Distributor"/>
    <x v="6"/>
    <s v="Monitors"/>
    <s v="MON-5249"/>
    <n v="195.54"/>
    <n v="405.97"/>
    <n v="405.97"/>
    <s v="Low"/>
    <n v="0.187"/>
    <n v="0.187"/>
    <n v="16"/>
    <n v="5280.8577599999999"/>
    <n v="3128.64"/>
    <n v="2152.21776"/>
    <n v="0.40755079152141377"/>
    <d v="2023-03-03T00:00:00"/>
    <n v="18"/>
    <n v="0"/>
  </r>
  <r>
    <s v="ORD-2024-571797"/>
    <d v="2024-07-11T00:00:00"/>
    <d v="2024-07-11T00:00:00"/>
    <s v="Q3 -2024"/>
    <d v="2024-07-31T00:00:00"/>
    <d v="2024-07-31T00:00:00"/>
    <n v="20"/>
    <x v="0"/>
    <s v="China"/>
    <s v="Shenzhen"/>
    <s v="Asia&gt;China&gt;Shenzhen"/>
    <s v="Consumer"/>
    <s v="Online"/>
    <x v="10"/>
    <s v="Phones"/>
    <s v="PHN-7815"/>
    <n v="647.26"/>
    <n v="1374.72"/>
    <n v="1374.72"/>
    <s v="Medium"/>
    <n v="6.6000000000000003E-2"/>
    <n v="6.6000000000000003E-2"/>
    <n v="22"/>
    <n v="28247.74656"/>
    <n v="14239.72"/>
    <n v="14008.02656"/>
    <n v="0.49589890401508901"/>
    <d v="2023-01-12T00:00:00"/>
    <n v="17"/>
    <n v="0"/>
  </r>
  <r>
    <s v="ORD-2024-572312"/>
    <d v="2024-06-16T00:00:00"/>
    <d v="2024-06-16T00:00:00"/>
    <s v="Q2 -2024"/>
    <d v="2024-06-21T00:00:00"/>
    <d v="2024-06-21T00:00:00"/>
    <n v="5"/>
    <x v="0"/>
    <s v="Japan"/>
    <s v="Tokyo"/>
    <s v="Asia&gt;Japan&gt;Tokyo"/>
    <s v="Small Business"/>
    <s v="Distributor"/>
    <x v="3"/>
    <s v="Phones"/>
    <s v="PHN-9677"/>
    <n v="1367.13"/>
    <n v="3062.01"/>
    <n v="3062.01"/>
    <s v="High"/>
    <n v="0.10299999999999999"/>
    <n v="0.10299999999999999"/>
    <n v="25"/>
    <n v="68665.574250000005"/>
    <n v="34178.25"/>
    <n v="34487.324250000005"/>
    <n v="0.50225057645971705"/>
    <d v="2023-03-03T00:00:00"/>
    <n v="15"/>
    <n v="0"/>
  </r>
  <r>
    <s v="ORD-2024-578646"/>
    <d v="2024-05-27T00:00:00"/>
    <d v="2024-05-27T00:00:00"/>
    <s v="Q2 -2024"/>
    <d v="2024-06-17T00:00:00"/>
    <d v="2024-06-17T00:00:00"/>
    <n v="21"/>
    <x v="0"/>
    <s v="India"/>
    <s v="Delhi"/>
    <s v="Asia&gt;India&gt;Delhi"/>
    <s v="Small Business"/>
    <s v="Online"/>
    <x v="7"/>
    <s v="Accessories"/>
    <s v="ACC-7240"/>
    <n v="465.02"/>
    <n v="651.55999999999995"/>
    <n v="651.55999999999995"/>
    <s v="Low"/>
    <n v="4.2000000000000003E-2"/>
    <n v="4.2000000000000003E-2"/>
    <n v="19"/>
    <n v="11859.695119999998"/>
    <n v="8835.3799999999992"/>
    <n v="3024.3151199999993"/>
    <n v="0.25500783025187918"/>
    <d v="2023-01-29T00:00:00"/>
    <n v="15"/>
    <n v="0"/>
  </r>
  <r>
    <s v="ORD-2024-580808"/>
    <d v="2024-06-16T00:00:00"/>
    <d v="2024-06-16T00:00:00"/>
    <s v="Q2 -2024"/>
    <d v="2024-07-03T00:00:00"/>
    <d v="2024-07-03T00:00:00"/>
    <n v="17"/>
    <x v="1"/>
    <s v="South Africa"/>
    <s v="Johannesburg"/>
    <s v="Africa&gt;South Africa&gt;Johannesburg"/>
    <s v="Enterprise"/>
    <s v="Marketplace"/>
    <x v="3"/>
    <s v="Phones"/>
    <s v="PHN-6832"/>
    <n v="1173.83"/>
    <n v="2328.9"/>
    <n v="2328.9"/>
    <s v="High"/>
    <n v="0.12"/>
    <n v="0.12"/>
    <n v="17"/>
    <n v="34840.344000000005"/>
    <n v="19955.11"/>
    <n v="14885.234000000004"/>
    <n v="0.42724130393201637"/>
    <d v="2023-01-07T00:00:00"/>
    <n v="17"/>
    <n v="0"/>
  </r>
  <r>
    <s v="ORD-2024-581530"/>
    <d v="2024-09-07T00:00:00"/>
    <d v="2024-09-07T00:00:00"/>
    <s v="Q3 -2024"/>
    <d v="2024-09-18T00:00:00"/>
    <d v="2024-09-18T00:00:00"/>
    <n v="11"/>
    <x v="0"/>
    <s v="China"/>
    <s v="Beijing"/>
    <s v="Asia&gt;China&gt;Beijing"/>
    <s v="Consumer"/>
    <s v="Distributor"/>
    <x v="2"/>
    <s v="Networking"/>
    <s v="NET-7998"/>
    <n v="181.74"/>
    <n v="190.84"/>
    <n v="190.84"/>
    <s v="Low"/>
    <n v="0.214"/>
    <n v="0.214"/>
    <n v="13"/>
    <n v="1950.0031200000001"/>
    <n v="2362.62"/>
    <n v="-412.61687999999981"/>
    <n v="-0.21159806144310159"/>
    <d v="2023-01-12T00:00:00"/>
    <n v="19"/>
    <n v="1"/>
  </r>
  <r>
    <s v="ORD-2024-584090"/>
    <d v="2024-06-07T00:00:00"/>
    <d v="2024-06-07T00:00:00"/>
    <s v="Q2 -2024"/>
    <d v="2024-06-26T00:00:00"/>
    <d v="2024-06-26T00:00:00"/>
    <n v="19"/>
    <x v="3"/>
    <s v="Germany"/>
    <s v="Berlin"/>
    <s v="Europe&gt;Germany&gt;Berlin"/>
    <s v="Non-Profit"/>
    <s v="Marketplace"/>
    <x v="8"/>
    <s v="Components"/>
    <s v="CMP-2040"/>
    <n v="1064.32"/>
    <n v="1848.39"/>
    <n v="1848.39"/>
    <s v="High"/>
    <n v="7.2999999999999995E-2"/>
    <n v="7.2999999999999995E-2"/>
    <n v="38"/>
    <n v="65111.38614000001"/>
    <n v="40444.159999999996"/>
    <n v="24667.226140000013"/>
    <n v="0.3788465827921631"/>
    <d v="2023-01-22T00:00:00"/>
    <n v="16"/>
    <n v="0"/>
  </r>
  <r>
    <s v="ORD-2024-585443"/>
    <d v="2024-08-17T00:00:00"/>
    <d v="2024-08-17T00:00:00"/>
    <s v="Q3 -2024"/>
    <d v="2024-08-15T00:00:00"/>
    <d v="2024-08-22T00:00:00"/>
    <n v="5"/>
    <x v="2"/>
    <s v="Brazil"/>
    <s v="Rio de Janeiro"/>
    <s v="Americas&gt;Brazil&gt;Rio de Janeiro"/>
    <s v="Consumer"/>
    <s v="Direct"/>
    <x v="8"/>
    <s v="Monitors"/>
    <s v="MON-2849"/>
    <n v="165.3"/>
    <n v="275.07"/>
    <n v="275.07"/>
    <s v="Low"/>
    <n v="0.13300000000000001"/>
    <n v="0.13300000000000001"/>
    <n v="25"/>
    <n v="5962.1422499999999"/>
    <n v="4132.5"/>
    <n v="1829.6422499999999"/>
    <n v="0.30687665159280625"/>
    <d v="2023-01-29T00:00:00"/>
    <n v="18"/>
    <n v="0"/>
  </r>
  <r>
    <s v="ORD-2024-588972"/>
    <d v="2024-11-02T00:00:00"/>
    <d v="2024-11-02T00:00:00"/>
    <s v="Q4 -2024"/>
    <d v="2024-11-29T00:00:00"/>
    <d v="2024-11-29T00:00:00"/>
    <n v="27"/>
    <x v="2"/>
    <s v="Brazil"/>
    <s v="Brasília"/>
    <s v="Americas&gt;Brazil&gt;Brasília"/>
    <s v="Small Business"/>
    <s v="Direct"/>
    <x v="9"/>
    <s v="Networking"/>
    <s v="NET-8561"/>
    <n v="1363.51"/>
    <n v="1433.9"/>
    <n v="1433.9"/>
    <s v="Medium"/>
    <n v="5.7000000000000002E-2"/>
    <n v="5.7000000000000002E-2"/>
    <n v="8"/>
    <n v="10817.3416"/>
    <n v="10908.08"/>
    <n v="-90.738400000000183"/>
    <n v="-8.3882346842037592E-3"/>
    <d v="2023-01-29T00:00:00"/>
    <n v="21"/>
    <n v="0"/>
  </r>
  <r>
    <s v="ORD-2024-589570"/>
    <d v="2024-05-04T00:00:00"/>
    <d v="2024-05-04T00:00:00"/>
    <s v="Q2 -2024"/>
    <d v="2024-05-29T00:00:00"/>
    <d v="2024-05-29T00:00:00"/>
    <n v="25"/>
    <x v="1"/>
    <s v="Nigeria"/>
    <s v="Abuja"/>
    <s v="Africa&gt;Nigeria&gt;Abuja"/>
    <s v="Non-Profit"/>
    <s v="Marketplace"/>
    <x v="2"/>
    <s v="Monitors"/>
    <s v="MON-6892"/>
    <n v="1295.3399999999999"/>
    <n v="2530.81"/>
    <n v="2530.81"/>
    <s v="High"/>
    <n v="3.1E-2"/>
    <n v="3.1E-2"/>
    <n v="6"/>
    <n v="14714.12934"/>
    <n v="7772.0399999999991"/>
    <n v="6942.0893400000004"/>
    <n v="0.4717974933880798"/>
    <d v="2023-01-15T00:00:00"/>
    <n v="15"/>
    <n v="0"/>
  </r>
  <r>
    <s v="ORD-2024-594527"/>
    <d v="2024-09-06T00:00:00"/>
    <d v="2024-09-06T00:00:00"/>
    <s v="Q3 -2024"/>
    <d v="2024-09-04T00:00:00"/>
    <d v="2024-09-11T00:00:00"/>
    <n v="5"/>
    <x v="0"/>
    <s v="Japan"/>
    <s v="Osaka"/>
    <s v="Asia&gt;Japan&gt;Osaka"/>
    <s v="Corporate"/>
    <s v="Direct"/>
    <x v="0"/>
    <s v="Laptops"/>
    <s v="LAP-4483"/>
    <n v="1368.17"/>
    <n v="2307.75"/>
    <n v="2307.75"/>
    <s v="High"/>
    <n v="0.16300000000000001"/>
    <n v="0.16300000000000001"/>
    <n v="21"/>
    <n v="40563.321749999996"/>
    <n v="28731.57"/>
    <n v="11831.751749999996"/>
    <n v="0.29168596750831921"/>
    <d v="2023-03-03T00:00:00"/>
    <n v="18"/>
    <n v="0"/>
  </r>
  <r>
    <s v="ORD-2024-594592"/>
    <d v="2024-04-06T00:00:00"/>
    <d v="2024-04-06T00:00:00"/>
    <s v="Q2 -2024"/>
    <d v="2024-04-25T00:00:00"/>
    <d v="2024-04-25T00:00:00"/>
    <n v="19"/>
    <x v="0"/>
    <s v="China"/>
    <s v="Shanghai"/>
    <s v="Asia&gt;China&gt;Shanghai"/>
    <s v="Corporate"/>
    <s v="Retail"/>
    <x v="4"/>
    <s v="Components"/>
    <s v="CMP-8196"/>
    <n v="1366.48"/>
    <n v="1678.14"/>
    <n v="1678.14"/>
    <s v="High"/>
    <n v="0.154"/>
    <n v="0.154"/>
    <n v="10"/>
    <n v="14197.064400000001"/>
    <n v="13664.8"/>
    <n v="532.26440000000184"/>
    <n v="3.7491159087790132E-2"/>
    <d v="2023-01-12T00:00:00"/>
    <n v="14"/>
    <n v="0"/>
  </r>
  <r>
    <s v="ORD-2024-599522"/>
    <d v="2024-04-19T00:00:00"/>
    <d v="2024-04-19T00:00:00"/>
    <s v="Q2 -2024"/>
    <d v="2024-05-06T00:00:00"/>
    <d v="2024-05-06T00:00:00"/>
    <n v="17"/>
    <x v="1"/>
    <s v="Nigeria"/>
    <s v="Port Harcourt"/>
    <s v="Africa&gt;Nigeria&gt;Port Harcourt"/>
    <s v="Non-Profit"/>
    <s v="Online"/>
    <x v="0"/>
    <s v="Printers"/>
    <s v="PRN-7303"/>
    <n v="865.33"/>
    <n v="1395.64"/>
    <n v="1395.64"/>
    <s v="Medium"/>
    <n v="0.17499999999999999"/>
    <n v="0.17499999999999999"/>
    <n v="13"/>
    <n v="14968.239"/>
    <n v="11249.29"/>
    <n v="3718.9489999999987"/>
    <n v="0.24845601409758347"/>
    <d v="2023-01-15T00:00:00"/>
    <n v="15"/>
    <n v="0"/>
  </r>
  <r>
    <s v="ORD-2024-604471"/>
    <d v="2024-01-21T00:00:00"/>
    <d v="2024-01-21T00:00:00"/>
    <s v="Q1 -2024"/>
    <d v="2024-01-25T00:00:00"/>
    <d v="2024-01-25T00:00:00"/>
    <n v="4"/>
    <x v="0"/>
    <s v="India"/>
    <s v="Delhi"/>
    <s v="Asia&gt;India&gt;Delhi"/>
    <s v="Consumer"/>
    <s v="Direct"/>
    <x v="14"/>
    <s v="Monitors"/>
    <s v="MON-8973"/>
    <n v="523.70000000000005"/>
    <n v="1109.92"/>
    <n v="1109.92"/>
    <s v="Medium"/>
    <n v="0.03"/>
    <n v="0.03"/>
    <n v="11"/>
    <n v="11842.8464"/>
    <n v="5760.7000000000007"/>
    <n v="6082.1463999999996"/>
    <n v="0.51357133197302973"/>
    <d v="2023-01-29T00:00:00"/>
    <n v="11"/>
    <n v="0"/>
  </r>
  <r>
    <s v="ORD-2024-605518"/>
    <d v="2024-05-30T00:00:00"/>
    <d v="2024-05-30T00:00:00"/>
    <s v="Q2 -2024"/>
    <d v="2024-06-13T00:00:00"/>
    <d v="2024-06-13T00:00:00"/>
    <n v="14"/>
    <x v="2"/>
    <s v="USA"/>
    <s v="San Francisco"/>
    <s v="Americas&gt;USA&gt;San Francisco"/>
    <s v="Small Business"/>
    <s v="Retail"/>
    <x v="3"/>
    <s v="Phones"/>
    <s v="PHN-4356"/>
    <n v="157.78"/>
    <n v="361.1"/>
    <n v="361.1"/>
    <s v="Low"/>
    <n v="0.187"/>
    <n v="0.187"/>
    <n v="9"/>
    <n v="2642.1686999999997"/>
    <n v="1420.02"/>
    <n v="1222.1486999999997"/>
    <n v="0.46255513510549112"/>
    <d v="2023-01-13T00:00:00"/>
    <n v="16"/>
    <n v="0"/>
  </r>
  <r>
    <s v="ORD-2024-605629"/>
    <d v="2024-07-15T00:00:00"/>
    <d v="2024-07-15T00:00:00"/>
    <s v="Q3 -2024"/>
    <d v="2024-07-15T00:00:00"/>
    <d v="2024-07-15T00:00:00"/>
    <n v="0"/>
    <x v="0"/>
    <s v="Japan"/>
    <s v="Tokyo"/>
    <s v="Asia&gt;Japan&gt;Tokyo"/>
    <s v="Small Business"/>
    <s v="Marketplace"/>
    <x v="10"/>
    <s v="Accessories"/>
    <s v="ACC-2735"/>
    <n v="801.77"/>
    <n v="1218.92"/>
    <n v="1218.92"/>
    <s v="Medium"/>
    <n v="0.254"/>
    <n v="0.254"/>
    <n v="16"/>
    <n v="14549.029120000001"/>
    <n v="12828.32"/>
    <n v="1720.7091200000013"/>
    <n v="0.11826968698788344"/>
    <d v="2023-03-03T00:00:00"/>
    <n v="16"/>
    <n v="1"/>
  </r>
  <r>
    <s v="ORD-2024-626750"/>
    <d v="2024-08-12T00:00:00"/>
    <d v="2024-08-12T00:00:00"/>
    <s v="Q3 -2024"/>
    <d v="2024-08-15T00:00:00"/>
    <d v="2024-08-15T00:00:00"/>
    <n v="3"/>
    <x v="2"/>
    <s v="USA"/>
    <s v="Chicago"/>
    <s v="Americas&gt;USA&gt;Chicago"/>
    <s v="Corporate"/>
    <s v="Marketplace"/>
    <x v="6"/>
    <s v="Printers"/>
    <s v="PRN-5591"/>
    <n v="850.7"/>
    <n v="1118.56"/>
    <n v="1118.56"/>
    <s v="Medium"/>
    <n v="0.18"/>
    <n v="0.18"/>
    <n v="19"/>
    <n v="17427.164800000002"/>
    <n v="16163.300000000001"/>
    <n v="1263.8648000000012"/>
    <n v="7.2522685962090688E-2"/>
    <d v="2023-01-13T00:00:00"/>
    <n v="18"/>
    <n v="0"/>
  </r>
  <r>
    <s v="ORD-2024-626925"/>
    <d v="2024-06-07T00:00:00"/>
    <d v="2024-06-07T00:00:00"/>
    <s v="Q2 -2024"/>
    <d v="2024-06-09T00:00:00"/>
    <d v="2024-06-09T00:00:00"/>
    <n v="2"/>
    <x v="0"/>
    <s v="China"/>
    <s v="Shanghai"/>
    <s v="Asia&gt;China&gt;Shanghai"/>
    <s v="Corporate"/>
    <s v="Retail"/>
    <x v="2"/>
    <s v="Monitors"/>
    <s v="MON-8688"/>
    <n v="1370.28"/>
    <n v="2209.66"/>
    <n v="2209.66"/>
    <s v="High"/>
    <n v="0.13300000000000001"/>
    <n v="0.13300000000000001"/>
    <n v="16"/>
    <n v="30652.403519999996"/>
    <n v="21924.48"/>
    <n v="8727.9235199999966"/>
    <n v="0.28473863442079589"/>
    <d v="2023-01-12T00:00:00"/>
    <n v="16"/>
    <n v="0"/>
  </r>
  <r>
    <s v="ORD-2024-629525"/>
    <d v="2024-04-18T00:00:00"/>
    <d v="2024-04-18T00:00:00"/>
    <s v="Q2 -2024"/>
    <d v="2024-05-08T00:00:00"/>
    <d v="2024-05-08T00:00:00"/>
    <n v="20"/>
    <x v="3"/>
    <s v="United Kingdom"/>
    <s v="London"/>
    <s v="Europe&gt;United Kingdom&gt;London"/>
    <s v="Non-Profit"/>
    <s v="Unspecified"/>
    <x v="6"/>
    <s v="Laptops"/>
    <s v="LAP-9932"/>
    <n v="645.33000000000004"/>
    <n v="1321.85"/>
    <n v="1321.85"/>
    <s v="Medium"/>
    <n v="0"/>
    <n v="0"/>
    <n v="10"/>
    <n v="13218.5"/>
    <n v="6453.3"/>
    <n v="6765.2"/>
    <n v="0.51179785906116426"/>
    <d v="2023-01-19T00:00:00"/>
    <n v="14"/>
    <n v="0"/>
  </r>
  <r>
    <s v="ORD-2024-635626"/>
    <d v="2024-08-27T00:00:00"/>
    <d v="2024-08-27T00:00:00"/>
    <s v="Q3 -2024"/>
    <d v="2024-09-19T00:00:00"/>
    <d v="2024-09-19T00:00:00"/>
    <n v="23"/>
    <x v="3"/>
    <s v="Germany"/>
    <s v="Berlin"/>
    <s v="Europe&gt;Germany&gt;Berlin"/>
    <s v="Small Business"/>
    <s v="Direct"/>
    <x v="6"/>
    <s v="Monitors"/>
    <s v="MON-9967"/>
    <n v="1024.01"/>
    <n v="1580.97"/>
    <n v="1580.97"/>
    <s v="High"/>
    <n v="3.6999999999999998E-2"/>
    <n v="3.6999999999999998E-2"/>
    <n v="27"/>
    <n v="41106.800970000004"/>
    <n v="27648.27"/>
    <n v="13458.530970000003"/>
    <n v="0.3274039976942531"/>
    <d v="2023-01-22T00:00:00"/>
    <n v="19"/>
    <n v="0"/>
  </r>
  <r>
    <s v="ORD-2024-638884"/>
    <d v="2024-05-28T00:00:00"/>
    <d v="2024-05-28T00:00:00"/>
    <s v="Q2 -2024"/>
    <d v="2024-05-26T00:00:00"/>
    <d v="2024-06-02T00:00:00"/>
    <n v="5"/>
    <x v="1"/>
    <s v="Nigeria"/>
    <s v="Abuja"/>
    <s v="Africa&gt;Nigeria&gt;Abuja"/>
    <s v="Enterprise"/>
    <s v="Online"/>
    <x v="3"/>
    <s v="Accessories"/>
    <s v="ACC-5177"/>
    <n v="1227.08"/>
    <n v="1896.62"/>
    <n v="1896.62"/>
    <s v="High"/>
    <n v="0"/>
    <n v="0"/>
    <n v="18"/>
    <n v="34139.159999999996"/>
    <n v="22087.439999999999"/>
    <n v="12051.719999999998"/>
    <n v="0.353017473189147"/>
    <d v="2023-01-15T00:00:00"/>
    <n v="16"/>
    <n v="0"/>
  </r>
  <r>
    <s v="ORD-2024-640340"/>
    <d v="2024-10-22T00:00:00"/>
    <d v="2024-10-22T00:00:00"/>
    <s v="Q4 -2024"/>
    <d v="2024-10-29T00:00:00"/>
    <d v="2024-10-29T00:00:00"/>
    <n v="7"/>
    <x v="1"/>
    <s v="Nigeria"/>
    <s v="Port Harcourt"/>
    <s v="Africa&gt;Nigeria&gt;Port Harcourt"/>
    <s v="Enterprise"/>
    <s v="Distributor"/>
    <x v="8"/>
    <s v="Monitors"/>
    <s v="MON-8758"/>
    <n v="1023.06"/>
    <n v="1355.61"/>
    <n v="1355.61"/>
    <s v="Medium"/>
    <n v="0.153"/>
    <n v="0.153"/>
    <n v="23"/>
    <n v="26408.63841"/>
    <n v="23530.379999999997"/>
    <n v="2878.2584100000022"/>
    <n v="0.10898927711888809"/>
    <d v="2023-01-15T00:00:00"/>
    <n v="21"/>
    <n v="0"/>
  </r>
  <r>
    <s v="ORD-2024-641220"/>
    <d v="2024-05-10T00:00:00"/>
    <d v="2024-05-10T00:00:00"/>
    <s v="Q2 -2024"/>
    <d v="2024-05-16T00:00:00"/>
    <d v="2024-05-16T00:00:00"/>
    <n v="6"/>
    <x v="3"/>
    <s v="United Kingdom"/>
    <s v="Birmingham"/>
    <s v="Europe&gt;United Kingdom&gt;Birmingham"/>
    <s v="Non-Profit"/>
    <s v="Direct"/>
    <x v="10"/>
    <s v="Laptops"/>
    <s v="LAP-1066"/>
    <n v="210.76"/>
    <n v="221.58"/>
    <n v="221.58"/>
    <s v="Low"/>
    <n v="8.8999999999999996E-2"/>
    <n v="8.8999999999999996E-2"/>
    <n v="5"/>
    <n v="1009.2969000000002"/>
    <n v="1053.8"/>
    <n v="-44.50309999999979"/>
    <n v="-4.4093170205912434E-2"/>
    <d v="2023-01-19T00:00:00"/>
    <n v="15"/>
    <n v="0"/>
  </r>
  <r>
    <s v="ORD-2024-647473"/>
    <d v="2024-02-17T00:00:00"/>
    <d v="2024-02-17T00:00:00"/>
    <s v="Q1 -2024"/>
    <d v="2024-03-04T00:00:00"/>
    <d v="2024-03-04T00:00:00"/>
    <n v="16"/>
    <x v="0"/>
    <s v="India"/>
    <s v="Delhi"/>
    <s v="Asia&gt;India&gt;Delhi"/>
    <s v="Small Business"/>
    <s v="Marketplace"/>
    <x v="3"/>
    <s v="Phones"/>
    <s v="PHN-1717"/>
    <n v="1231.8"/>
    <n v="2015.99"/>
    <n v="2015.99"/>
    <s v="High"/>
    <n v="0.26100000000000001"/>
    <n v="0.26100000000000001"/>
    <n v="6"/>
    <n v="8938.8996600000009"/>
    <n v="7390.7999999999993"/>
    <n v="1548.0996600000017"/>
    <n v="0.17318682599464391"/>
    <d v="2023-01-29T00:00:00"/>
    <n v="12"/>
    <n v="1"/>
  </r>
  <r>
    <s v="ORD-2024-647571"/>
    <d v="2024-02-06T00:00:00"/>
    <d v="2024-02-06T00:00:00"/>
    <s v="Q1 -2024"/>
    <d v="2024-02-28T00:00:00"/>
    <d v="2024-02-28T00:00:00"/>
    <n v="22"/>
    <x v="1"/>
    <s v="Kenya"/>
    <s v="Kisumu"/>
    <s v="Africa&gt;Kenya&gt;Kisumu"/>
    <s v="Non-Profit"/>
    <s v="Online"/>
    <x v="4"/>
    <s v="Monitors"/>
    <s v="MON-2462"/>
    <n v="834.93"/>
    <n v="1588.53"/>
    <n v="1588.53"/>
    <s v="High"/>
    <n v="0.126"/>
    <n v="0.126"/>
    <n v="6"/>
    <n v="8330.2513199999994"/>
    <n v="5009.58"/>
    <n v="3320.6713199999995"/>
    <n v="0.39862798761274343"/>
    <d v="2023-01-20T00:00:00"/>
    <n v="12"/>
    <n v="0"/>
  </r>
  <r>
    <s v="ORD-2024-651852"/>
    <d v="2024-12-28T00:00:00"/>
    <d v="2024-12-28T00:00:00"/>
    <s v="Q4 -2024"/>
    <d v="2025-01-08T00:00:00"/>
    <d v="2025-01-08T00:00:00"/>
    <n v="11"/>
    <x v="0"/>
    <s v="China"/>
    <s v="Shenzhen"/>
    <s v="Asia&gt;China&gt;Shenzhen"/>
    <s v="Enterprise"/>
    <s v="Online"/>
    <x v="4"/>
    <s v="Laptops"/>
    <s v="LAP-8825"/>
    <n v="1201.31"/>
    <n v="2764.65"/>
    <n v="2764.65"/>
    <s v="High"/>
    <n v="0"/>
    <n v="0"/>
    <n v="21"/>
    <n v="58057.65"/>
    <n v="25227.51"/>
    <n v="32830.14"/>
    <n v="0.56547483406579491"/>
    <d v="2023-01-12T00:00:00"/>
    <n v="23"/>
    <n v="0"/>
  </r>
  <r>
    <s v="ORD-2024-655710"/>
    <d v="2024-11-30T00:00:00"/>
    <d v="2024-11-30T00:00:00"/>
    <s v="Q4 -2024"/>
    <d v="2024-12-10T00:00:00"/>
    <d v="2024-12-10T00:00:00"/>
    <n v="10"/>
    <x v="0"/>
    <s v="India"/>
    <s v="Hyderabad"/>
    <s v="Asia&gt;India&gt;Hyderabad"/>
    <s v="Small Business"/>
    <s v="Retail"/>
    <x v="3"/>
    <s v="Accessories"/>
    <s v="ACC-1075"/>
    <n v="851.49"/>
    <n v="901.79"/>
    <n v="901.79"/>
    <s v="Medium"/>
    <n v="0.245"/>
    <n v="0.245"/>
    <n v="16"/>
    <n v="10893.6232"/>
    <n v="13623.84"/>
    <n v="-2730.2168000000001"/>
    <n v="-0.25062522816100341"/>
    <d v="2023-01-29T00:00:00"/>
    <n v="22"/>
    <n v="1"/>
  </r>
  <r>
    <s v="ORD-2024-664046"/>
    <d v="2024-09-02T00:00:00"/>
    <d v="2024-09-02T00:00:00"/>
    <s v="Q3 -2024"/>
    <d v="2024-09-08T00:00:00"/>
    <d v="2024-09-08T00:00:00"/>
    <n v="6"/>
    <x v="2"/>
    <s v="USA"/>
    <s v="Austin"/>
    <s v="Americas&gt;USA&gt;Austin"/>
    <s v="Consumer"/>
    <s v="Direct"/>
    <x v="7"/>
    <s v="Components"/>
    <s v="CMP-7563"/>
    <n v="462.94"/>
    <n v="1015.7"/>
    <n v="1015.7"/>
    <s v="Medium"/>
    <n v="0.14299999999999999"/>
    <n v="0.14299999999999999"/>
    <n v="14"/>
    <n v="12186.368600000002"/>
    <n v="6481.16"/>
    <n v="5705.2086000000018"/>
    <n v="0.46816314090483041"/>
    <d v="2023-01-13T00:00:00"/>
    <n v="19"/>
    <n v="0"/>
  </r>
  <r>
    <s v="ORD-2024-668926"/>
    <d v="2024-10-23T00:00:00"/>
    <d v="2024-10-23T00:00:00"/>
    <s v="Q4 -2024"/>
    <d v="2024-11-14T00:00:00"/>
    <d v="2024-11-14T00:00:00"/>
    <n v="22"/>
    <x v="0"/>
    <s v="Japan"/>
    <s v="Osaka"/>
    <s v="Asia&gt;Japan&gt;Osaka"/>
    <s v="Non-Profit"/>
    <s v="Direct"/>
    <x v="12"/>
    <s v="Phones"/>
    <s v="PHN-9789"/>
    <n v="1406.4"/>
    <n v="1564.76"/>
    <n v="1564.76"/>
    <s v="High"/>
    <n v="0.185"/>
    <n v="0.185"/>
    <n v="17"/>
    <n v="21679.749799999998"/>
    <n v="23908.800000000003"/>
    <n v="-2229.0502000000051"/>
    <n v="-0.10281715520536151"/>
    <d v="2023-03-03T00:00:00"/>
    <n v="19"/>
    <n v="0"/>
  </r>
  <r>
    <s v="ORD-2024-678110"/>
    <d v="2024-07-24T00:00:00"/>
    <d v="2024-07-24T00:00:00"/>
    <s v="Q3 -2024"/>
    <d v="2024-08-08T00:00:00"/>
    <d v="2024-08-08T00:00:00"/>
    <n v="15"/>
    <x v="3"/>
    <s v="France"/>
    <s v="Marseille"/>
    <s v="Europe&gt;France&gt;Marseille"/>
    <s v="Enterprise"/>
    <s v="Marketplace"/>
    <x v="7"/>
    <s v="Laptops"/>
    <s v="LAP-9901"/>
    <n v="501.5"/>
    <n v="1201.47"/>
    <n v="1201.47"/>
    <s v="Medium"/>
    <n v="0.126"/>
    <n v="0.126"/>
    <n v="5"/>
    <n v="5250.4239000000007"/>
    <n v="2507.5"/>
    <n v="2742.9239000000007"/>
    <n v="0.52241951359394057"/>
    <d v="2023-01-10T00:00:00"/>
    <n v="18"/>
    <n v="0"/>
  </r>
  <r>
    <s v="ORD-2024-686712"/>
    <d v="2024-10-02T00:00:00"/>
    <d v="2024-10-02T00:00:00"/>
    <s v="Q4 -2024"/>
    <d v="2024-10-23T00:00:00"/>
    <d v="2024-10-23T00:00:00"/>
    <n v="21"/>
    <x v="1"/>
    <s v="South Africa"/>
    <s v="Durban"/>
    <s v="Africa&gt;South Africa&gt;Durban"/>
    <s v="Corporate"/>
    <s v="Marketplace"/>
    <x v="0"/>
    <s v="Components"/>
    <s v="CMP-3978"/>
    <n v="1095.6099999999999"/>
    <n v="2366.5100000000002"/>
    <n v="2366.5100000000002"/>
    <s v="High"/>
    <n v="0.152"/>
    <n v="0.152"/>
    <n v="9"/>
    <n v="18061.204320000004"/>
    <n v="9860.49"/>
    <n v="8200.7143200000046"/>
    <n v="0.4540513564158607"/>
    <d v="2023-01-07T00:00:00"/>
    <n v="20"/>
    <n v="0"/>
  </r>
  <r>
    <s v="ORD-2024-687073"/>
    <d v="2024-03-11T00:00:00"/>
    <d v="2024-03-11T00:00:00"/>
    <s v="Q1 -2024"/>
    <d v="2024-03-29T00:00:00"/>
    <d v="2024-03-29T00:00:00"/>
    <n v="18"/>
    <x v="2"/>
    <s v="USA"/>
    <s v="New York"/>
    <s v="Americas&gt;USA&gt;New York"/>
    <s v="Corporate"/>
    <s v="Retail"/>
    <x v="8"/>
    <s v="Monitors"/>
    <s v="MON-7099"/>
    <n v="710.98"/>
    <n v="1481.45"/>
    <n v="1481.45"/>
    <s v="Medium"/>
    <n v="0.21099999999999999"/>
    <n v="0.21099999999999999"/>
    <n v="9"/>
    <n v="10519.776450000001"/>
    <n v="6398.82"/>
    <n v="4120.9564500000015"/>
    <n v="0.39173422264120461"/>
    <d v="2023-01-13T00:00:00"/>
    <n v="13"/>
    <n v="1"/>
  </r>
  <r>
    <s v="ORD-2024-687100"/>
    <d v="2024-09-10T00:00:00"/>
    <d v="2024-09-10T00:00:00"/>
    <s v="Q3 -2024"/>
    <d v="2024-10-07T00:00:00"/>
    <d v="2024-10-07T00:00:00"/>
    <n v="27"/>
    <x v="1"/>
    <s v="Kenya"/>
    <s v="Kisumu"/>
    <s v="Africa&gt;Kenya&gt;Kisumu"/>
    <s v="Consumer"/>
    <s v="Retail"/>
    <x v="11"/>
    <s v="Printers"/>
    <s v="PRN-6068"/>
    <n v="1248.3900000000001"/>
    <n v="1805.11"/>
    <n v="1805.11"/>
    <s v="High"/>
    <n v="0.20300000000000001"/>
    <n v="0.20300000000000001"/>
    <n v="11"/>
    <n v="15825.399369999997"/>
    <n v="13732.29"/>
    <n v="2093.1093699999965"/>
    <n v="0.13226265707820786"/>
    <d v="2023-01-20T00:00:00"/>
    <n v="19"/>
    <n v="1"/>
  </r>
  <r>
    <s v="ORD-2024-689872"/>
    <d v="2024-08-03T00:00:00"/>
    <d v="2024-08-03T00:00:00"/>
    <s v="Q3 -2024"/>
    <d v="2024-08-09T00:00:00"/>
    <d v="2024-08-09T00:00:00"/>
    <n v="6"/>
    <x v="1"/>
    <s v="Kenya"/>
    <s v="Mombasa"/>
    <s v="Africa&gt;Kenya&gt;Mombasa"/>
    <s v="Consumer"/>
    <s v="Marketplace"/>
    <x v="7"/>
    <s v="Laptops"/>
    <s v="LAP-1969"/>
    <n v="643.21"/>
    <n v="1112.81"/>
    <n v="1112.81"/>
    <s v="Medium"/>
    <n v="0.14099999999999999"/>
    <n v="0.14099999999999999"/>
    <n v="4"/>
    <n v="3823.6151599999998"/>
    <n v="2572.84"/>
    <n v="1250.7751599999997"/>
    <n v="0.32711847496702562"/>
    <d v="2023-01-20T00:00:00"/>
    <n v="18"/>
    <n v="0"/>
  </r>
  <r>
    <s v="ORD-2024-690270"/>
    <d v="2024-05-17T00:00:00"/>
    <d v="2024-05-17T00:00:00"/>
    <s v="Q2 -2024"/>
    <d v="2024-05-27T00:00:00"/>
    <d v="2024-05-27T00:00:00"/>
    <n v="10"/>
    <x v="2"/>
    <s v="USA"/>
    <s v="Austin"/>
    <s v="Americas&gt;USA&gt;Austin"/>
    <s v="Non-Profit"/>
    <s v="Online"/>
    <x v="14"/>
    <s v="Phones"/>
    <s v="PHN-7974"/>
    <n v="1484.23"/>
    <n v="3472.81"/>
    <n v="3472.81"/>
    <s v="High"/>
    <n v="0.25600000000000001"/>
    <n v="0.25600000000000001"/>
    <n v="12"/>
    <n v="31005.24768"/>
    <n v="17810.760000000002"/>
    <n v="13194.487679999998"/>
    <n v="0.42555659661803413"/>
    <d v="2023-01-13T00:00:00"/>
    <n v="16"/>
    <n v="1"/>
  </r>
  <r>
    <s v="ORD-2024-692673"/>
    <d v="2024-03-07T00:00:00"/>
    <d v="2024-03-07T00:00:00"/>
    <s v="Q1 -2024"/>
    <d v="2024-03-25T00:00:00"/>
    <d v="2024-03-25T00:00:00"/>
    <n v="18"/>
    <x v="3"/>
    <s v="Germany"/>
    <s v="Munich"/>
    <s v="Europe&gt;Germany&gt;Munich"/>
    <s v="Corporate"/>
    <s v="Online"/>
    <x v="12"/>
    <s v="Components"/>
    <s v="CMP-7617"/>
    <n v="712.84"/>
    <n v="927.51"/>
    <n v="927.51"/>
    <s v="Medium"/>
    <n v="0.24299999999999999"/>
    <n v="0.24299999999999999"/>
    <n v="27"/>
    <n v="18957.37689"/>
    <n v="19246.68"/>
    <n v="-289.30311000000074"/>
    <n v="-1.5260714163076427E-2"/>
    <d v="2023-01-22T00:00:00"/>
    <n v="13"/>
    <n v="1"/>
  </r>
  <r>
    <s v="ORD-2024-704056"/>
    <d v="2024-06-23T00:00:00"/>
    <d v="2024-06-23T00:00:00"/>
    <s v="Q2 -2024"/>
    <d v="2024-06-25T00:00:00"/>
    <d v="2024-06-25T00:00:00"/>
    <n v="2"/>
    <x v="3"/>
    <s v="United Kingdom"/>
    <s v="Birmingham"/>
    <s v="Europe&gt;United Kingdom&gt;Birmingham"/>
    <s v="Small Business"/>
    <s v="Marketplace"/>
    <x v="11"/>
    <s v="Accessories"/>
    <s v="ACC-7838"/>
    <n v="951.44"/>
    <n v="1646.43"/>
    <n v="1646.43"/>
    <s v="High"/>
    <n v="0.11"/>
    <n v="0.11"/>
    <n v="24"/>
    <n v="35167.7448"/>
    <n v="22834.560000000001"/>
    <n v="12333.184799999999"/>
    <n v="0.35069592520473475"/>
    <d v="2023-01-19T00:00:00"/>
    <n v="17"/>
    <n v="0"/>
  </r>
  <r>
    <s v="ORD-2024-713332"/>
    <d v="2024-06-05T00:00:00"/>
    <d v="2024-06-05T00:00:00"/>
    <s v="Q2 -2024"/>
    <d v="2024-06-23T00:00:00"/>
    <d v="2024-06-23T00:00:00"/>
    <n v="18"/>
    <x v="1"/>
    <s v="Kenya"/>
    <s v="Nairobi"/>
    <s v="Africa&gt;Kenya&gt;Nairobi"/>
    <s v="Consumer"/>
    <s v="Distributor"/>
    <x v="6"/>
    <s v="Laptops"/>
    <s v="LAP-1739"/>
    <n v="1208.74"/>
    <n v="1594.78"/>
    <n v="1594.78"/>
    <s v="High"/>
    <n v="5.8999999999999997E-2"/>
    <n v="5.8999999999999997E-2"/>
    <n v="39"/>
    <n v="58526.83122"/>
    <n v="47140.86"/>
    <n v="11385.971219999999"/>
    <n v="0.1945427589817838"/>
    <d v="2023-01-20T00:00:00"/>
    <n v="16"/>
    <n v="0"/>
  </r>
  <r>
    <s v="ORD-2024-719055"/>
    <d v="2024-01-02T00:00:00"/>
    <d v="2024-01-02T00:00:00"/>
    <s v="Q1 -2024"/>
    <d v="2024-01-01T00:00:00"/>
    <d v="2024-01-08T00:00:00"/>
    <n v="6"/>
    <x v="2"/>
    <s v="USA"/>
    <s v="Chicago"/>
    <s v="Americas&gt;USA&gt;Chicago"/>
    <s v="Education"/>
    <s v="Marketplace"/>
    <x v="12"/>
    <s v="Networking"/>
    <s v="NET-4554"/>
    <n v="404.77"/>
    <n v="433.88"/>
    <n v="433.88"/>
    <s v="Low"/>
    <n v="0.215"/>
    <n v="0.215"/>
    <n v="22"/>
    <n v="7493.1076000000012"/>
    <n v="8904.9399999999987"/>
    <n v="-1411.8323999999975"/>
    <n v="-0.18841747314558746"/>
    <d v="2023-01-13T00:00:00"/>
    <n v="11"/>
    <n v="1"/>
  </r>
  <r>
    <s v="ORD-2024-720756"/>
    <d v="2024-10-11T00:00:00"/>
    <d v="2024-10-11T00:00:00"/>
    <s v="Q4 -2024"/>
    <d v="2024-11-09T00:00:00"/>
    <d v="2024-11-09T00:00:00"/>
    <n v="29"/>
    <x v="0"/>
    <s v="China"/>
    <s v="Shanghai"/>
    <s v="Asia&gt;China&gt;Shanghai"/>
    <s v="Non-Profit"/>
    <s v="Online"/>
    <x v="3"/>
    <s v="Printers"/>
    <s v="PRN-5666"/>
    <n v="391.64"/>
    <n v="504.76"/>
    <n v="504.76"/>
    <s v="Low"/>
    <n v="4.0000000000000001E-3"/>
    <n v="4.0000000000000001E-3"/>
    <n v="13"/>
    <n v="6535.6324800000002"/>
    <n v="5091.32"/>
    <n v="1444.3124800000005"/>
    <n v="0.22099046793402319"/>
    <d v="2023-01-12T00:00:00"/>
    <n v="20"/>
    <n v="0"/>
  </r>
  <r>
    <s v="ORD-2024-728474"/>
    <d v="2024-09-09T00:00:00"/>
    <d v="2024-09-09T00:00:00"/>
    <s v="Q3 -2024"/>
    <d v="2024-09-13T00:00:00"/>
    <d v="2024-09-13T00:00:00"/>
    <n v="4"/>
    <x v="3"/>
    <s v="United Kingdom"/>
    <s v="London"/>
    <s v="Europe&gt;United Kingdom&gt;London"/>
    <s v="Consumer"/>
    <s v="Marketplace"/>
    <x v="3"/>
    <s v="Networking"/>
    <s v="NET-1145"/>
    <n v="1133.08"/>
    <n v="976.17"/>
    <n v="976.17"/>
    <s v="Medium"/>
    <n v="4.2000000000000003E-2"/>
    <n v="4.2000000000000003E-2"/>
    <n v="27"/>
    <n v="25249.613219999999"/>
    <n v="30593.159999999996"/>
    <n v="-5343.5467799999969"/>
    <n v="-0.21162885678452373"/>
    <d v="2023-01-19T00:00:00"/>
    <n v="19"/>
    <n v="0"/>
  </r>
  <r>
    <s v="ORD-2024-732543"/>
    <d v="2024-10-24T00:00:00"/>
    <d v="2024-10-24T00:00:00"/>
    <s v="Q4 -2024"/>
    <d v="2024-10-28T00:00:00"/>
    <d v="2024-10-28T00:00:00"/>
    <n v="4"/>
    <x v="0"/>
    <s v="China"/>
    <s v="Shanghai"/>
    <s v="Asia&gt;China&gt;Shanghai"/>
    <s v="Small Business"/>
    <s v="Distributor"/>
    <x v="9"/>
    <s v="Networking"/>
    <s v="NET-3728"/>
    <n v="1331.77"/>
    <n v="2606.11"/>
    <n v="2606.11"/>
    <s v="High"/>
    <n v="0.02"/>
    <n v="0.02"/>
    <n v="6"/>
    <n v="15323.926799999999"/>
    <n v="7990.62"/>
    <n v="7333.3067999999994"/>
    <n v="0.47855271665745619"/>
    <d v="2023-01-12T00:00:00"/>
    <n v="21"/>
    <n v="0"/>
  </r>
  <r>
    <s v="ORD-2024-741404"/>
    <d v="2024-10-19T00:00:00"/>
    <d v="2024-10-19T00:00:00"/>
    <s v="Q4 -2024"/>
    <d v="2024-11-06T00:00:00"/>
    <d v="2024-11-06T00:00:00"/>
    <n v="18"/>
    <x v="2"/>
    <s v="USA"/>
    <s v="Chicago"/>
    <s v="Americas&gt;USA&gt;Chicago"/>
    <s v="Education"/>
    <s v="Unspecified"/>
    <x v="14"/>
    <s v="Monitors"/>
    <s v="MON-8129"/>
    <n v="942.02"/>
    <n v="1028.46"/>
    <n v="1028.46"/>
    <s v="Medium"/>
    <n v="0"/>
    <n v="0"/>
    <n v="9"/>
    <n v="9256.14"/>
    <n v="8478.18"/>
    <n v="777.95999999999913"/>
    <n v="8.4047994088248354E-2"/>
    <d v="2023-01-13T00:00:00"/>
    <n v="21"/>
    <n v="0"/>
  </r>
  <r>
    <s v="ORD-2024-745424"/>
    <d v="2024-08-22T00:00:00"/>
    <d v="2024-08-22T00:00:00"/>
    <s v="Q3 -2024"/>
    <d v="2024-09-04T00:00:00"/>
    <d v="2024-09-04T00:00:00"/>
    <n v="13"/>
    <x v="3"/>
    <s v="Germany"/>
    <s v="Frankfurt"/>
    <s v="Europe&gt;Germany&gt;Frankfurt"/>
    <s v="Non-Profit"/>
    <s v="Retail"/>
    <x v="11"/>
    <s v="Printers"/>
    <s v="PRN-4892"/>
    <n v="90.04"/>
    <n v="194.62"/>
    <n v="194.62"/>
    <s v="Low"/>
    <n v="4.2999999999999997E-2"/>
    <n v="4.2999999999999997E-2"/>
    <n v="32"/>
    <n v="5960.04288"/>
    <n v="2881.28"/>
    <n v="3078.7628799999998"/>
    <n v="0.51656723650954672"/>
    <d v="2023-01-22T00:00:00"/>
    <n v="19"/>
    <n v="0"/>
  </r>
  <r>
    <s v="ORD-2024-745822"/>
    <d v="2024-03-31T00:00:00"/>
    <d v="2024-03-31T00:00:00"/>
    <s v="Q1 -2024"/>
    <d v="2024-04-17T00:00:00"/>
    <d v="2024-04-17T00:00:00"/>
    <n v="17"/>
    <x v="3"/>
    <s v="Germany"/>
    <s v="Frankfurt"/>
    <s v="Europe&gt;Germany&gt;Frankfurt"/>
    <s v="Education"/>
    <s v="Direct"/>
    <x v="7"/>
    <s v="Monitors"/>
    <s v="MON-8651"/>
    <n v="1025.51"/>
    <n v="1436.54"/>
    <n v="1436.54"/>
    <s v="Medium"/>
    <n v="0.13900000000000001"/>
    <n v="0.13900000000000001"/>
    <n v="28"/>
    <n v="34632.106319999999"/>
    <n v="28714.28"/>
    <n v="5917.8263200000001"/>
    <n v="0.17087688127656453"/>
    <d v="2023-01-22T00:00:00"/>
    <n v="14"/>
    <n v="0"/>
  </r>
  <r>
    <s v="ORD-2024-749242"/>
    <d v="2024-01-16T00:00:00"/>
    <d v="2024-01-16T00:00:00"/>
    <s v="Q1 -2024"/>
    <d v="2024-02-11T00:00:00"/>
    <d v="2024-02-11T00:00:00"/>
    <n v="26"/>
    <x v="3"/>
    <s v="Germany"/>
    <s v="Frankfurt"/>
    <s v="Europe&gt;Germany&gt;Frankfurt"/>
    <s v="Non-Profit"/>
    <s v="Distributor"/>
    <x v="1"/>
    <s v="Monitors"/>
    <s v="MON-4195"/>
    <n v="504.93"/>
    <n v="819.06"/>
    <n v="819.06"/>
    <s v="Medium"/>
    <n v="0.22600000000000001"/>
    <n v="0.22600000000000001"/>
    <n v="15"/>
    <n v="9509.2865999999995"/>
    <n v="7573.95"/>
    <n v="1935.3365999999996"/>
    <n v="0.20352069312959814"/>
    <d v="2023-01-22T00:00:00"/>
    <n v="11"/>
    <n v="1"/>
  </r>
  <r>
    <s v="ORD-2024-756884"/>
    <d v="2024-10-13T00:00:00"/>
    <d v="2024-10-13T00:00:00"/>
    <s v="Q4 -2024"/>
    <d v="2024-10-24T00:00:00"/>
    <d v="2024-10-24T00:00:00"/>
    <n v="11"/>
    <x v="3"/>
    <s v="France"/>
    <s v="Paris"/>
    <s v="Europe&gt;France&gt;Paris"/>
    <s v="Education"/>
    <s v="Distributor"/>
    <x v="3"/>
    <s v="Components"/>
    <s v="CMP-5006"/>
    <n v="816.7"/>
    <n v="1010.75"/>
    <n v="1010.75"/>
    <s v="Medium"/>
    <n v="4.7E-2"/>
    <n v="4.7E-2"/>
    <n v="43"/>
    <n v="41419.524249999995"/>
    <n v="35118.1"/>
    <n v="6301.4242499999964"/>
    <n v="0.15213656757537472"/>
    <d v="2023-01-10T00:00:00"/>
    <n v="21"/>
    <n v="0"/>
  </r>
  <r>
    <s v="ORD-2024-760799"/>
    <d v="2024-02-03T00:00:00"/>
    <d v="2024-02-03T00:00:00"/>
    <s v="Q1 -2024"/>
    <d v="2024-02-19T00:00:00"/>
    <d v="2024-02-19T00:00:00"/>
    <n v="16"/>
    <x v="0"/>
    <s v="China"/>
    <s v="Shenzhen"/>
    <s v="Asia&gt;China&gt;Shenzhen"/>
    <s v="Small Business"/>
    <s v="Online"/>
    <x v="7"/>
    <s v="Laptops"/>
    <s v="LAP-5531"/>
    <n v="993.75"/>
    <n v="1310.29"/>
    <n v="1310.29"/>
    <s v="Medium"/>
    <n v="0.215"/>
    <n v="0.215"/>
    <n v="19"/>
    <n v="19542.975350000001"/>
    <n v="18881.25"/>
    <n v="661.72535000000062"/>
    <n v="3.3860010471742245E-2"/>
    <d v="2023-01-12T00:00:00"/>
    <n v="12"/>
    <n v="1"/>
  </r>
  <r>
    <s v="ORD-2024-764468"/>
    <d v="2024-02-01T00:00:00"/>
    <d v="2024-02-01T00:00:00"/>
    <s v="Q1 -2024"/>
    <d v="2024-02-21T00:00:00"/>
    <d v="2024-02-21T00:00:00"/>
    <n v="20"/>
    <x v="3"/>
    <s v="France"/>
    <s v="Paris"/>
    <s v="Europe&gt;France&gt;Paris"/>
    <s v="Small Business"/>
    <s v="Marketplace"/>
    <x v="0"/>
    <s v="Networking"/>
    <s v="NET-8761"/>
    <n v="656.2"/>
    <n v="1467.17"/>
    <n v="1467.17"/>
    <s v="Medium"/>
    <n v="1.7999999999999999E-2"/>
    <n v="1.7999999999999999E-2"/>
    <n v="5"/>
    <n v="7203.8047000000006"/>
    <n v="3281"/>
    <n v="3922.8047000000006"/>
    <n v="0.54454623124360946"/>
    <d v="2023-01-10T00:00:00"/>
    <n v="12"/>
    <n v="0"/>
  </r>
  <r>
    <s v="ORD-2024-766980"/>
    <d v="2024-11-04T00:00:00"/>
    <d v="2024-11-04T00:00:00"/>
    <s v="Q4 -2024"/>
    <d v="2024-11-07T00:00:00"/>
    <d v="2024-11-07T00:00:00"/>
    <n v="3"/>
    <x v="3"/>
    <s v="France"/>
    <s v="Lyon"/>
    <s v="Europe&gt;France&gt;Lyon"/>
    <s v="Corporate"/>
    <s v="Online"/>
    <x v="2"/>
    <s v="Monitors"/>
    <s v="MON-1118"/>
    <n v="740.68"/>
    <n v="1837.19"/>
    <n v="1837.19"/>
    <s v="High"/>
    <n v="0.19700000000000001"/>
    <n v="0.19700000000000001"/>
    <n v="17"/>
    <n v="25079.480689999997"/>
    <n v="12591.56"/>
    <n v="12487.920689999997"/>
    <n v="0.4979337827748298"/>
    <d v="2023-01-10T00:00:00"/>
    <n v="21"/>
    <n v="0"/>
  </r>
  <r>
    <s v="ORD-2024-771210"/>
    <d v="2024-09-14T00:00:00"/>
    <d v="2024-09-14T00:00:00"/>
    <s v="Q3 -2024"/>
    <d v="2024-10-05T00:00:00"/>
    <d v="2024-10-05T00:00:00"/>
    <n v="21"/>
    <x v="0"/>
    <s v="China"/>
    <s v="Shanghai"/>
    <s v="Asia&gt;China&gt;Shanghai"/>
    <s v="Small Business"/>
    <s v="Online"/>
    <x v="7"/>
    <s v="Laptops"/>
    <s v="LAP-5150"/>
    <n v="1405.56"/>
    <n v="2968.87"/>
    <n v="2968.87"/>
    <s v="High"/>
    <n v="0.16900000000000001"/>
    <n v="0.16900000000000001"/>
    <n v="5"/>
    <n v="12335.654849999999"/>
    <n v="7027.7999999999993"/>
    <n v="5307.8548499999997"/>
    <n v="0.4302856163327235"/>
    <d v="2023-01-12T00:00:00"/>
    <n v="20"/>
    <n v="0"/>
  </r>
  <r>
    <s v="ORD-2024-776337"/>
    <d v="2024-11-12T00:00:00"/>
    <d v="2024-11-12T00:00:00"/>
    <s v="Q4 -2024"/>
    <d v="2024-11-21T00:00:00"/>
    <d v="2024-11-21T00:00:00"/>
    <n v="9"/>
    <x v="0"/>
    <s v="India"/>
    <s v="Mumbai"/>
    <s v="Asia&gt;India&gt;Mumbai"/>
    <s v="Corporate"/>
    <s v="Direct"/>
    <x v="7"/>
    <s v="Laptops"/>
    <s v="LAP-5078"/>
    <n v="903.41"/>
    <n v="1860.41"/>
    <n v="1860.41"/>
    <s v="High"/>
    <n v="0.108"/>
    <n v="0.108"/>
    <n v="5"/>
    <n v="8297.4286000000011"/>
    <n v="4517.05"/>
    <n v="3780.3786000000009"/>
    <n v="0.455608451996803"/>
    <d v="2023-01-29T00:00:00"/>
    <n v="21"/>
    <n v="0"/>
  </r>
  <r>
    <s v="ORD-2024-777623"/>
    <d v="2024-09-19T00:00:00"/>
    <d v="2024-09-19T00:00:00"/>
    <s v="Q3 -2024"/>
    <d v="2024-10-14T00:00:00"/>
    <d v="2024-10-14T00:00:00"/>
    <n v="25"/>
    <x v="2"/>
    <s v="Brazil"/>
    <s v="Rio de Janeiro"/>
    <s v="Americas&gt;Brazil&gt;Rio de Janeiro"/>
    <s v="Small Business"/>
    <s v="Retail"/>
    <x v="4"/>
    <s v="Printers"/>
    <s v="PRN-2749"/>
    <n v="386.96"/>
    <n v="937.46"/>
    <n v="937.46"/>
    <s v="Medium"/>
    <n v="0.26600000000000001"/>
    <n v="0.26600000000000001"/>
    <n v="41"/>
    <n v="28211.92124"/>
    <n v="15865.359999999999"/>
    <n v="12346.561240000001"/>
    <n v="0.43763631462626335"/>
    <d v="2023-01-29T00:00:00"/>
    <n v="19"/>
    <n v="1"/>
  </r>
  <r>
    <s v="ORD-2024-783321"/>
    <d v="2024-11-20T00:00:00"/>
    <d v="2024-11-20T00:00:00"/>
    <s v="Q4 -2024"/>
    <d v="2024-12-15T00:00:00"/>
    <d v="2024-12-15T00:00:00"/>
    <n v="25"/>
    <x v="3"/>
    <s v="France"/>
    <s v="Paris"/>
    <s v="Europe&gt;France&gt;Paris"/>
    <s v="Corporate"/>
    <s v="Online"/>
    <x v="10"/>
    <s v="Printers"/>
    <s v="PRN-4911"/>
    <n v="1203.58"/>
    <n v="1856.16"/>
    <n v="1856.16"/>
    <s v="High"/>
    <n v="0.129"/>
    <n v="0.129"/>
    <n v="22"/>
    <n v="35567.737920000007"/>
    <n v="26478.76"/>
    <n v="9088.9779200000085"/>
    <n v="0.25553994860295032"/>
    <d v="2023-01-10T00:00:00"/>
    <n v="22"/>
    <n v="0"/>
  </r>
  <r>
    <s v="ORD-2024-787018"/>
    <d v="2024-06-23T00:00:00"/>
    <d v="2024-06-23T00:00:00"/>
    <s v="Q2 -2024"/>
    <d v="2024-06-28T00:00:00"/>
    <d v="2024-06-28T00:00:00"/>
    <n v="5"/>
    <x v="1"/>
    <s v="Nigeria"/>
    <s v="Port Harcourt"/>
    <s v="Africa&gt;Nigeria&gt;Port Harcourt"/>
    <s v="Non-Profit"/>
    <s v="Direct"/>
    <x v="8"/>
    <s v="Accessories"/>
    <s v="ACC-7671"/>
    <n v="242.31"/>
    <n v="587.95000000000005"/>
    <n v="587.95000000000005"/>
    <s v="Low"/>
    <n v="0.22900000000000001"/>
    <n v="0.22900000000000001"/>
    <n v="6"/>
    <n v="2719.8567000000003"/>
    <n v="1453.8600000000001"/>
    <n v="1265.9967000000001"/>
    <n v="0.46546448568411714"/>
    <d v="2023-01-15T00:00:00"/>
    <n v="17"/>
    <n v="1"/>
  </r>
  <r>
    <s v="ORD-2024-788105"/>
    <d v="2024-11-30T00:00:00"/>
    <d v="2024-11-30T00:00:00"/>
    <s v="Q4 -2024"/>
    <d v="2024-12-30T00:00:00"/>
    <d v="2024-12-30T00:00:00"/>
    <n v="30"/>
    <x v="3"/>
    <s v="France"/>
    <s v="Marseille"/>
    <s v="Europe&gt;France&gt;Marseille"/>
    <s v="Consumer"/>
    <s v="Marketplace"/>
    <x v="3"/>
    <s v="Printers"/>
    <s v="PRN-4170"/>
    <n v="117.64"/>
    <n v="175.67"/>
    <n v="175.67"/>
    <s v="Low"/>
    <n v="0"/>
    <n v="0"/>
    <n v="10"/>
    <n v="1756.6999999999998"/>
    <n v="1176.4000000000001"/>
    <n v="580.29999999999973"/>
    <n v="0.33033528775545046"/>
    <d v="2023-01-10T00:00:00"/>
    <n v="22"/>
    <n v="0"/>
  </r>
  <r>
    <s v="ORD-2024-792137"/>
    <d v="2024-03-02T00:00:00"/>
    <d v="2024-03-02T00:00:00"/>
    <s v="Q1 -2024"/>
    <d v="2024-03-16T00:00:00"/>
    <d v="2024-03-16T00:00:00"/>
    <n v="14"/>
    <x v="2"/>
    <s v="Canada"/>
    <s v="Vancouver"/>
    <s v="Americas&gt;Canada&gt;Vancouver"/>
    <s v="Non-Profit"/>
    <s v="Direct"/>
    <x v="2"/>
    <s v="Printers"/>
    <s v="PRN-7976"/>
    <n v="248.24"/>
    <n v="464.05"/>
    <n v="464.05"/>
    <s v="Low"/>
    <n v="0.16900000000000001"/>
    <n v="0.16900000000000001"/>
    <n v="11"/>
    <n v="4241.88105"/>
    <n v="2730.6400000000003"/>
    <n v="1511.2410499999996"/>
    <n v="0.3562667203975462"/>
    <d v="2023-01-02T00:00:00"/>
    <n v="14"/>
    <n v="0"/>
  </r>
  <r>
    <s v="ORD-2024-792353"/>
    <d v="2024-08-19T00:00:00"/>
    <d v="2024-08-19T00:00:00"/>
    <s v="Q3 -2024"/>
    <d v="2024-09-07T00:00:00"/>
    <d v="2024-09-07T00:00:00"/>
    <n v="19"/>
    <x v="3"/>
    <s v="France"/>
    <s v="Lyon"/>
    <s v="Europe&gt;France&gt;Lyon"/>
    <s v="Corporate"/>
    <s v="Direct"/>
    <x v="5"/>
    <s v="Components"/>
    <s v="CMP-5435"/>
    <n v="297.58999999999997"/>
    <n v="666.41"/>
    <n v="666.41"/>
    <s v="Low"/>
    <n v="0"/>
    <n v="0"/>
    <n v="10"/>
    <n v="6664.0999999999995"/>
    <n v="2975.8999999999996"/>
    <n v="3688.2"/>
    <n v="0.55344307558409989"/>
    <d v="2023-01-10T00:00:00"/>
    <n v="19"/>
    <n v="0"/>
  </r>
  <r>
    <s v="ORD-2024-792558"/>
    <d v="2024-10-16T00:00:00"/>
    <d v="2024-10-16T00:00:00"/>
    <s v="Q4 -2024"/>
    <d v="2024-11-08T00:00:00"/>
    <d v="2024-11-08T00:00:00"/>
    <n v="23"/>
    <x v="0"/>
    <s v="Japan"/>
    <s v="Osaka"/>
    <s v="Asia&gt;Japan&gt;Osaka"/>
    <s v="Small Business"/>
    <s v="Retail"/>
    <x v="5"/>
    <s v="Networking"/>
    <s v="NET-6387"/>
    <n v="82.14"/>
    <n v="166.04"/>
    <n v="166.04"/>
    <s v="Low"/>
    <n v="0"/>
    <n v="0"/>
    <n v="10"/>
    <n v="1660.3999999999999"/>
    <n v="821.4"/>
    <n v="838.99999999999989"/>
    <n v="0.50529992772825827"/>
    <d v="2023-03-03T00:00:00"/>
    <n v="19"/>
    <n v="0"/>
  </r>
  <r>
    <s v="ORD-2024-798002"/>
    <d v="2024-07-25T00:00:00"/>
    <d v="2024-07-25T00:00:00"/>
    <s v="Q3 -2024"/>
    <d v="2024-07-24T00:00:00"/>
    <d v="2024-07-31T00:00:00"/>
    <n v="6"/>
    <x v="1"/>
    <s v="Kenya"/>
    <s v="Mombasa"/>
    <s v="Africa&gt;Kenya&gt;Mombasa"/>
    <s v="Non-Profit"/>
    <s v="Direct"/>
    <x v="5"/>
    <s v="Laptops"/>
    <s v="LAP-9815"/>
    <n v="1494.4"/>
    <n v="3661.07"/>
    <n v="3661.07"/>
    <s v="High"/>
    <n v="7.1999999999999995E-2"/>
    <n v="7.1999999999999995E-2"/>
    <n v="7"/>
    <n v="23782.310720000001"/>
    <n v="10460.800000000001"/>
    <n v="13321.51072"/>
    <n v="0.56014366630897339"/>
    <d v="2023-01-20T00:00:00"/>
    <n v="18"/>
    <n v="0"/>
  </r>
  <r>
    <s v="ORD-2024-800947"/>
    <d v="2024-12-15T00:00:00"/>
    <d v="2024-12-15T00:00:00"/>
    <s v="Q4 -2024"/>
    <d v="2024-12-20T00:00:00"/>
    <d v="2024-12-20T00:00:00"/>
    <n v="5"/>
    <x v="0"/>
    <s v="China"/>
    <s v="Shenzhen"/>
    <s v="Asia&gt;China&gt;Shenzhen"/>
    <s v="Small Business"/>
    <s v="Direct"/>
    <x v="5"/>
    <s v="Networking"/>
    <s v="NET-1846"/>
    <n v="717.55"/>
    <n v="546.42999999999995"/>
    <n v="546.42999999999995"/>
    <s v="Low"/>
    <n v="4.7E-2"/>
    <n v="4.7E-2"/>
    <n v="18"/>
    <n v="9373.460219999999"/>
    <n v="12915.9"/>
    <n v="-3542.4397800000006"/>
    <n v="-0.37792231437026369"/>
    <d v="2023-01-12T00:00:00"/>
    <n v="23"/>
    <n v="0"/>
  </r>
  <r>
    <s v="ORD-2024-805860"/>
    <d v="2024-09-13T00:00:00"/>
    <d v="2024-09-13T00:00:00"/>
    <s v="Q3 -2024"/>
    <d v="2024-10-02T00:00:00"/>
    <d v="2024-10-02T00:00:00"/>
    <n v="19"/>
    <x v="1"/>
    <s v="Kenya"/>
    <s v="Mombasa"/>
    <s v="Africa&gt;Kenya&gt;Mombasa"/>
    <s v="Small Business"/>
    <s v="Retail"/>
    <x v="8"/>
    <s v="Phones"/>
    <s v="PHN-8804"/>
    <n v="1338.99"/>
    <n v="1765.76"/>
    <n v="1765.76"/>
    <s v="High"/>
    <n v="0.126"/>
    <n v="0.126"/>
    <n v="24"/>
    <n v="37038.581760000001"/>
    <n v="32135.760000000002"/>
    <n v="4902.8217599999989"/>
    <n v="0.1323706666677725"/>
    <d v="2023-01-20T00:00:00"/>
    <n v="19"/>
    <n v="0"/>
  </r>
  <r>
    <s v="ORD-2024-811752"/>
    <d v="2024-02-25T00:00:00"/>
    <d v="2024-02-25T00:00:00"/>
    <s v="Q1 -2024"/>
    <d v="2024-03-09T00:00:00"/>
    <d v="2024-03-09T00:00:00"/>
    <n v="13"/>
    <x v="3"/>
    <s v="France"/>
    <s v="Marseille"/>
    <s v="Europe&gt;France&gt;Marseille"/>
    <s v="Small Business"/>
    <s v="Distributor"/>
    <x v="1"/>
    <s v="Monitors"/>
    <s v="MON-3350"/>
    <n v="322.44"/>
    <n v="395.61"/>
    <n v="395.61"/>
    <s v="Low"/>
    <n v="0"/>
    <n v="0"/>
    <n v="34"/>
    <n v="13450.74"/>
    <n v="10962.96"/>
    <n v="2487.7800000000007"/>
    <n v="0.18495487980586947"/>
    <d v="2023-01-10T00:00:00"/>
    <n v="13"/>
    <n v="0"/>
  </r>
  <r>
    <s v="ORD-2024-817997"/>
    <d v="2024-07-28T00:00:00"/>
    <d v="2024-07-28T00:00:00"/>
    <s v="Q3 -2024"/>
    <d v="2024-08-23T00:00:00"/>
    <d v="2024-08-23T00:00:00"/>
    <n v="26"/>
    <x v="0"/>
    <s v="India"/>
    <s v="Hyderabad"/>
    <s v="Asia&gt;India&gt;Hyderabad"/>
    <s v="Corporate"/>
    <s v="Retail"/>
    <x v="5"/>
    <s v="Networking"/>
    <s v="NET-4675"/>
    <n v="1339.24"/>
    <n v="1558.89"/>
    <n v="1558.89"/>
    <s v="High"/>
    <n v="0.192"/>
    <n v="0.192"/>
    <n v="24"/>
    <n v="30229.994880000002"/>
    <n v="32141.760000000002"/>
    <n v="-1911.76512"/>
    <n v="-6.3240669659021781E-2"/>
    <d v="2023-01-29T00:00:00"/>
    <n v="17"/>
    <n v="0"/>
  </r>
  <r>
    <s v="ORD-2024-819778"/>
    <d v="2024-06-02T00:00:00"/>
    <d v="2024-06-02T00:00:00"/>
    <s v="Q2 -2024"/>
    <d v="2024-06-15T00:00:00"/>
    <d v="2024-06-15T00:00:00"/>
    <n v="13"/>
    <x v="1"/>
    <s v="Kenya"/>
    <s v="Mombasa"/>
    <s v="Africa&gt;Kenya&gt;Mombasa"/>
    <s v="Education"/>
    <s v="Online"/>
    <x v="2"/>
    <s v="Phones"/>
    <s v="PHN-6866"/>
    <n v="1295.18"/>
    <n v="3024.03"/>
    <n v="3024.03"/>
    <s v="High"/>
    <n v="0.192"/>
    <n v="0.192"/>
    <n v="8"/>
    <n v="19547.329920000004"/>
    <n v="10361.44"/>
    <n v="9185.8899200000033"/>
    <n v="0.46993067378483178"/>
    <d v="2023-01-20T00:00:00"/>
    <n v="16"/>
    <n v="0"/>
  </r>
  <r>
    <s v="ORD-2024-819979"/>
    <d v="2024-05-28T00:00:00"/>
    <d v="2024-05-28T00:00:00"/>
    <s v="Q2 -2024"/>
    <d v="2024-06-18T00:00:00"/>
    <d v="2024-06-18T00:00:00"/>
    <n v="21"/>
    <x v="3"/>
    <s v="Germany"/>
    <s v="Frankfurt"/>
    <s v="Europe&gt;Germany&gt;Frankfurt"/>
    <s v="Small Business"/>
    <s v="Online"/>
    <x v="1"/>
    <s v="Phones"/>
    <s v="PHN-9399"/>
    <n v="986.85"/>
    <n v="2422.1"/>
    <n v="2422.1"/>
    <s v="High"/>
    <n v="7.5999999999999998E-2"/>
    <n v="7.5999999999999998E-2"/>
    <n v="10"/>
    <n v="22380.204000000002"/>
    <n v="9868.5"/>
    <n v="12511.704000000002"/>
    <n v="0.55905227673527913"/>
    <d v="2023-01-22T00:00:00"/>
    <n v="16"/>
    <n v="0"/>
  </r>
  <r>
    <s v="ORD-2024-833375"/>
    <d v="2024-04-24T00:00:00"/>
    <d v="2024-04-24T00:00:00"/>
    <s v="Q2 -2024"/>
    <d v="2024-05-10T00:00:00"/>
    <d v="2024-05-10T00:00:00"/>
    <n v="16"/>
    <x v="1"/>
    <s v="Kenya"/>
    <s v="Kisumu"/>
    <s v="Africa&gt;Kenya&gt;Kisumu"/>
    <s v="Non-Profit"/>
    <s v="Online"/>
    <x v="13"/>
    <s v="Monitors"/>
    <s v="MON-6190"/>
    <n v="513.30999999999995"/>
    <n v="1186.26"/>
    <n v="1186.26"/>
    <s v="Medium"/>
    <n v="9.4E-2"/>
    <n v="9.4E-2"/>
    <n v="15"/>
    <n v="16121.273400000002"/>
    <n v="7699.65"/>
    <n v="8421.6234000000022"/>
    <n v="0.52239194702820446"/>
    <d v="2023-01-20T00:00:00"/>
    <n v="15"/>
    <n v="0"/>
  </r>
  <r>
    <s v="ORD-2024-834983"/>
    <d v="2024-03-16T00:00:00"/>
    <d v="2024-03-16T00:00:00"/>
    <s v="Q1 -2024"/>
    <d v="2024-04-13T00:00:00"/>
    <d v="2024-04-13T00:00:00"/>
    <n v="28"/>
    <x v="3"/>
    <s v="France"/>
    <s v="Paris"/>
    <s v="Europe&gt;France&gt;Paris"/>
    <s v="Small Business"/>
    <s v="Online"/>
    <x v="4"/>
    <s v="Printers"/>
    <s v="PRN-8758"/>
    <n v="287.61"/>
    <n v="628.54"/>
    <n v="628.54"/>
    <s v="Low"/>
    <n v="0.13500000000000001"/>
    <n v="0.13500000000000001"/>
    <n v="21"/>
    <n v="11417.429099999999"/>
    <n v="6039.81"/>
    <n v="5377.619099999999"/>
    <n v="0.47100087531964613"/>
    <d v="2023-01-10T00:00:00"/>
    <n v="14"/>
    <n v="0"/>
  </r>
  <r>
    <s v="ORD-2024-836421"/>
    <d v="2024-12-14T00:00:00"/>
    <d v="2024-12-14T00:00:00"/>
    <s v="Q4 -2024"/>
    <d v="2025-01-12T00:00:00"/>
    <d v="2025-01-12T00:00:00"/>
    <n v="29"/>
    <x v="0"/>
    <s v="China"/>
    <s v="Shenzhen"/>
    <s v="Asia&gt;China&gt;Shenzhen"/>
    <s v="Education"/>
    <s v="Online"/>
    <x v="5"/>
    <s v="Components"/>
    <s v="CMP-3720"/>
    <n v="1412.15"/>
    <n v="1631.04"/>
    <n v="1631.04"/>
    <s v="High"/>
    <n v="8.9999999999999993E-3"/>
    <n v="8.9999999999999993E-3"/>
    <n v="6"/>
    <n v="9698.1638399999993"/>
    <n v="8472.9000000000015"/>
    <n v="1225.2638399999978"/>
    <n v="0.12633977526203535"/>
    <d v="2023-01-12T00:00:00"/>
    <n v="23"/>
    <n v="0"/>
  </r>
  <r>
    <s v="ORD-2024-837651"/>
    <d v="2024-12-10T00:00:00"/>
    <d v="2024-12-10T00:00:00"/>
    <s v="Q4 -2024"/>
    <d v="2024-12-19T00:00:00"/>
    <d v="2024-12-19T00:00:00"/>
    <n v="9"/>
    <x v="1"/>
    <s v="Nigeria"/>
    <s v="Lagos"/>
    <s v="Africa&gt;Nigeria&gt;Lagos"/>
    <s v="Corporate"/>
    <s v="Retail"/>
    <x v="2"/>
    <s v="Monitors"/>
    <s v="MON-4789"/>
    <n v="488.68"/>
    <n v="984.36"/>
    <n v="984.36"/>
    <s v="Medium"/>
    <n v="5.8999999999999997E-2"/>
    <n v="5.8999999999999997E-2"/>
    <n v="14"/>
    <n v="12967.958640000001"/>
    <n v="6841.52"/>
    <n v="6126.4386400000003"/>
    <n v="0.47242891576649876"/>
    <d v="2023-01-15T00:00:00"/>
    <n v="22"/>
    <n v="0"/>
  </r>
  <r>
    <s v="ORD-2024-838925"/>
    <d v="2024-01-28T00:00:00"/>
    <d v="2024-01-28T00:00:00"/>
    <s v="Q1 -2024"/>
    <d v="2024-01-27T00:00:00"/>
    <d v="2024-02-03T00:00:00"/>
    <n v="6"/>
    <x v="1"/>
    <s v="South Africa"/>
    <s v="Cape Town"/>
    <s v="Africa&gt;South Africa&gt;Cape Town"/>
    <s v="Enterprise"/>
    <s v="Direct"/>
    <x v="2"/>
    <s v="Components"/>
    <s v="CMP-1470"/>
    <n v="109.75"/>
    <n v="124.25"/>
    <n v="124.25"/>
    <s v="Low"/>
    <n v="0.12"/>
    <n v="0.12"/>
    <n v="19"/>
    <n v="2077.46"/>
    <n v="2085.25"/>
    <n v="-7.7899999999999636"/>
    <n v="-3.7497713554051405E-3"/>
    <d v="2023-01-07T00:00:00"/>
    <n v="12"/>
    <n v="0"/>
  </r>
  <r>
    <s v="ORD-2024-851883"/>
    <d v="2024-01-13T00:00:00"/>
    <d v="2024-01-13T00:00:00"/>
    <s v="Q1 -2024"/>
    <d v="2024-01-22T00:00:00"/>
    <d v="2024-01-22T00:00:00"/>
    <n v="9"/>
    <x v="0"/>
    <s v="India"/>
    <s v="Mumbai"/>
    <s v="Asia&gt;India&gt;Mumbai"/>
    <s v="Enterprise"/>
    <s v="Marketplace"/>
    <x v="5"/>
    <s v="Components"/>
    <s v="CMP-8141"/>
    <n v="313.60000000000002"/>
    <n v="334.28"/>
    <n v="334.28"/>
    <s v="Low"/>
    <n v="0.14000000000000001"/>
    <n v="0.14000000000000001"/>
    <n v="22"/>
    <n v="6324.5775999999996"/>
    <n v="6899.2000000000007"/>
    <n v="-574.62240000000111"/>
    <n v="-9.0855458868905517E-2"/>
    <d v="2023-01-29T00:00:00"/>
    <n v="11"/>
    <n v="0"/>
  </r>
  <r>
    <s v="ORD-2024-851993"/>
    <d v="2024-05-01T00:00:00"/>
    <d v="2024-05-01T00:00:00"/>
    <s v="Q2 -2024"/>
    <d v="2024-05-16T00:00:00"/>
    <d v="2024-05-16T00:00:00"/>
    <n v="15"/>
    <x v="0"/>
    <s v="India"/>
    <s v="Bengaluru"/>
    <s v="Asia&gt;India&gt;Bengaluru"/>
    <s v="Small Business"/>
    <s v="Retail"/>
    <x v="11"/>
    <s v="Components"/>
    <s v="CMP-6811"/>
    <n v="901.19"/>
    <n v="2125.44"/>
    <n v="2125.44"/>
    <s v="High"/>
    <n v="7.0999999999999994E-2"/>
    <n v="7.0999999999999994E-2"/>
    <n v="12"/>
    <n v="23694.405119999999"/>
    <n v="10814.28"/>
    <n v="12880.125119999999"/>
    <n v="0.54359352154100415"/>
    <d v="2023-01-29T00:00:00"/>
    <n v="15"/>
    <n v="0"/>
  </r>
  <r>
    <s v="ORD-2024-853298"/>
    <d v="2024-03-06T00:00:00"/>
    <d v="2024-03-06T00:00:00"/>
    <s v="Q1 -2024"/>
    <d v="2024-03-26T00:00:00"/>
    <d v="2024-03-26T00:00:00"/>
    <n v="20"/>
    <x v="1"/>
    <s v="Nigeria"/>
    <s v="Port Harcourt"/>
    <s v="Africa&gt;Nigeria&gt;Port Harcourt"/>
    <s v="Consumer"/>
    <s v="Marketplace"/>
    <x v="9"/>
    <s v="Phones"/>
    <s v="PHN-4741"/>
    <n v="65.64"/>
    <n v="151.88"/>
    <n v="151.88"/>
    <s v="Low"/>
    <n v="0.16700000000000001"/>
    <n v="0.16700000000000001"/>
    <n v="23"/>
    <n v="2909.8689199999999"/>
    <n v="1509.72"/>
    <n v="1400.1489199999999"/>
    <n v="0.48117250587356353"/>
    <d v="2023-01-15T00:00:00"/>
    <n v="13"/>
    <n v="0"/>
  </r>
  <r>
    <s v="ORD-2024-855073"/>
    <d v="2024-07-19T00:00:00"/>
    <d v="2024-07-19T00:00:00"/>
    <s v="Q3 -2024"/>
    <d v="2024-07-19T00:00:00"/>
    <d v="2024-07-19T00:00:00"/>
    <n v="0"/>
    <x v="1"/>
    <s v="Kenya"/>
    <s v="Kisumu"/>
    <s v="Africa&gt;Kenya&gt;Kisumu"/>
    <s v="Small Business"/>
    <s v="Retail"/>
    <x v="0"/>
    <s v="Phones"/>
    <s v="PHN-6854"/>
    <n v="857.24"/>
    <n v="758.23"/>
    <n v="758.23"/>
    <s v="Medium"/>
    <n v="0.125"/>
    <n v="0.125"/>
    <n v="6"/>
    <n v="3980.7075"/>
    <n v="5143.4400000000005"/>
    <n v="-1162.7325000000005"/>
    <n v="-0.29209192084572921"/>
    <d v="2023-01-20T00:00:00"/>
    <n v="17"/>
    <n v="0"/>
  </r>
  <r>
    <s v="ORD-2024-855600"/>
    <d v="2024-04-29T00:00:00"/>
    <d v="2024-04-29T00:00:00"/>
    <s v="Q2 -2024"/>
    <d v="2024-05-19T00:00:00"/>
    <d v="2024-05-19T00:00:00"/>
    <n v="20"/>
    <x v="3"/>
    <s v="Germany"/>
    <s v="Frankfurt"/>
    <s v="Europe&gt;Germany&gt;Frankfurt"/>
    <s v="Enterprise"/>
    <s v="Marketplace"/>
    <x v="14"/>
    <s v="Laptops"/>
    <s v="LAP-5009"/>
    <n v="668.97"/>
    <n v="1667.44"/>
    <n v="1667.44"/>
    <s v="High"/>
    <n v="3.4000000000000002E-2"/>
    <n v="3.4000000000000002E-2"/>
    <n v="15"/>
    <n v="24161.205600000001"/>
    <n v="10034.550000000001"/>
    <n v="14126.6556"/>
    <n v="0.58468339013679016"/>
    <d v="2023-01-22T00:00:00"/>
    <n v="15"/>
    <n v="0"/>
  </r>
  <r>
    <s v="ORD-2024-862371"/>
    <d v="2024-09-07T00:00:00"/>
    <d v="2024-09-07T00:00:00"/>
    <s v="Q3 -2024"/>
    <d v="2024-09-07T00:00:00"/>
    <d v="2024-09-07T00:00:00"/>
    <n v="0"/>
    <x v="0"/>
    <s v="India"/>
    <s v="Mumbai"/>
    <s v="Asia&gt;India&gt;Mumbai"/>
    <s v="Education"/>
    <s v="Distributor"/>
    <x v="12"/>
    <s v="Networking"/>
    <s v="NET-9835"/>
    <n v="1066.6500000000001"/>
    <n v="2569.77"/>
    <n v="2569.77"/>
    <s v="High"/>
    <n v="0.13400000000000001"/>
    <n v="0.13400000000000001"/>
    <n v="9"/>
    <n v="20028.787380000002"/>
    <n v="9599.85"/>
    <n v="10428.937380000001"/>
    <n v="0.52069739331368348"/>
    <d v="2023-01-29T00:00:00"/>
    <n v="19"/>
    <n v="0"/>
  </r>
  <r>
    <s v="ORD-2024-866535"/>
    <d v="2024-12-04T00:00:00"/>
    <d v="2024-12-04T00:00:00"/>
    <s v="Q4 -2024"/>
    <d v="2024-12-12T00:00:00"/>
    <d v="2024-12-12T00:00:00"/>
    <n v="8"/>
    <x v="3"/>
    <s v="Germany"/>
    <s v="Frankfurt"/>
    <s v="Europe&gt;Germany&gt;Frankfurt"/>
    <s v="Enterprise"/>
    <s v="Marketplace"/>
    <x v="12"/>
    <s v="Printers"/>
    <s v="PRN-5492"/>
    <n v="72.06"/>
    <n v="122.74"/>
    <n v="122.74"/>
    <s v="Low"/>
    <n v="0.23799999999999999"/>
    <n v="0.23799999999999999"/>
    <n v="8"/>
    <n v="748.22303999999997"/>
    <n v="576.48"/>
    <n v="171.74303999999995"/>
    <n v="0.22953455162246802"/>
    <d v="2023-01-22T00:00:00"/>
    <n v="22"/>
    <n v="1"/>
  </r>
  <r>
    <s v="ORD-2024-868223"/>
    <d v="2024-03-03T00:00:00"/>
    <d v="2024-03-03T00:00:00"/>
    <s v="Q1 -2024"/>
    <d v="2024-03-19T00:00:00"/>
    <d v="2024-03-19T00:00:00"/>
    <n v="16"/>
    <x v="0"/>
    <s v="China"/>
    <s v="Beijing"/>
    <s v="Asia&gt;China&gt;Beijing"/>
    <s v="Consumer"/>
    <s v="Distributor"/>
    <x v="10"/>
    <s v="Phones"/>
    <s v="PHN-4915"/>
    <n v="988.83"/>
    <n v="1206.04"/>
    <n v="1206.04"/>
    <s v="Medium"/>
    <n v="6.3E-2"/>
    <n v="6.3E-2"/>
    <n v="34"/>
    <n v="38422.022320000004"/>
    <n v="33620.22"/>
    <n v="4801.8023200000025"/>
    <n v="0.12497526236406606"/>
    <d v="2023-01-12T00:00:00"/>
    <n v="13"/>
    <n v="0"/>
  </r>
  <r>
    <s v="ORD-2024-872291"/>
    <d v="2024-01-08T00:00:00"/>
    <d v="2024-01-08T00:00:00"/>
    <s v="Q1 -2024"/>
    <d v="2024-01-12T00:00:00"/>
    <d v="2024-01-12T00:00:00"/>
    <n v="4"/>
    <x v="0"/>
    <s v="India"/>
    <s v="Bengaluru"/>
    <s v="Asia&gt;India&gt;Bengaluru"/>
    <s v="Corporate"/>
    <s v="Direct"/>
    <x v="1"/>
    <s v="Printers"/>
    <s v="PRN-6585"/>
    <n v="802.32"/>
    <n v="602.34"/>
    <n v="602.34"/>
    <s v="Low"/>
    <n v="0.12"/>
    <n v="0.12"/>
    <n v="25"/>
    <n v="13251.48"/>
    <n v="20058"/>
    <n v="-6806.52"/>
    <n v="-0.51364224977134632"/>
    <d v="2023-01-29T00:00:00"/>
    <n v="11"/>
    <n v="0"/>
  </r>
  <r>
    <s v="ORD-2024-878493"/>
    <d v="2024-06-19T00:00:00"/>
    <d v="2024-06-19T00:00:00"/>
    <s v="Q2 -2024"/>
    <d v="2024-06-20T00:00:00"/>
    <d v="2024-06-20T00:00:00"/>
    <n v="1"/>
    <x v="1"/>
    <s v="Kenya"/>
    <s v="Kisumu"/>
    <s v="Africa&gt;Kenya&gt;Kisumu"/>
    <s v="Small Business"/>
    <s v="Direct"/>
    <x v="5"/>
    <s v="Laptops"/>
    <s v="LAP-4607"/>
    <n v="231.63"/>
    <n v="537.39"/>
    <n v="537.39"/>
    <s v="Low"/>
    <n v="0.08"/>
    <n v="0.08"/>
    <n v="12"/>
    <n v="5932.7856000000002"/>
    <n v="2779.56"/>
    <n v="3153.2256000000002"/>
    <n v="0.53149158129024587"/>
    <d v="2023-01-20T00:00:00"/>
    <n v="16"/>
    <n v="0"/>
  </r>
  <r>
    <s v="ORD-2024-885858"/>
    <d v="2024-01-10T00:00:00"/>
    <d v="2024-01-10T00:00:00"/>
    <s v="Q1 -2024"/>
    <d v="2024-01-23T00:00:00"/>
    <d v="2024-01-23T00:00:00"/>
    <n v="13"/>
    <x v="3"/>
    <s v="France"/>
    <s v="Marseille"/>
    <s v="Europe&gt;France&gt;Marseille"/>
    <s v="Corporate"/>
    <s v="Direct"/>
    <x v="0"/>
    <s v="Printers"/>
    <s v="PRN-6776"/>
    <n v="720"/>
    <n v="907.59"/>
    <n v="907.59"/>
    <s v="Medium"/>
    <n v="0.154"/>
    <n v="0.154"/>
    <n v="10"/>
    <n v="7678.2113999999992"/>
    <n v="7200"/>
    <n v="478.21139999999923"/>
    <n v="6.2281614179052078E-2"/>
    <d v="2023-01-10T00:00:00"/>
    <n v="12"/>
    <n v="0"/>
  </r>
  <r>
    <s v="ORD-2024-886939"/>
    <d v="2024-06-03T00:00:00"/>
    <d v="2024-06-03T00:00:00"/>
    <s v="Q2 -2024"/>
    <d v="2024-06-24T00:00:00"/>
    <d v="2024-06-24T00:00:00"/>
    <n v="21"/>
    <x v="2"/>
    <s v="Canada"/>
    <s v="Toronto"/>
    <s v="Americas&gt;Canada&gt;Toronto"/>
    <s v="Small Business"/>
    <s v="Direct"/>
    <x v="10"/>
    <s v="Monitors"/>
    <s v="MON-5386"/>
    <n v="1205.5"/>
    <n v="2210.17"/>
    <n v="2210.17"/>
    <s v="High"/>
    <n v="0.104"/>
    <n v="0.104"/>
    <n v="23"/>
    <n v="45547.183360000003"/>
    <n v="27726.5"/>
    <n v="17820.683360000003"/>
    <n v="0.39125763758314652"/>
    <d v="2023-01-02T00:00:00"/>
    <n v="17"/>
    <n v="0"/>
  </r>
  <r>
    <s v="ORD-2024-890180"/>
    <d v="2024-01-20T00:00:00"/>
    <d v="2024-01-20T00:00:00"/>
    <s v="Q1 -2024"/>
    <d v="2024-02-13T00:00:00"/>
    <d v="2024-02-13T00:00:00"/>
    <n v="24"/>
    <x v="3"/>
    <s v="France"/>
    <s v="Marseille"/>
    <s v="Europe&gt;France&gt;Marseille"/>
    <s v="Corporate"/>
    <s v="Retail"/>
    <x v="7"/>
    <s v="Printers"/>
    <s v="PRN-8392"/>
    <n v="643.53"/>
    <n v="1439.01"/>
    <n v="1439.01"/>
    <s v="Medium"/>
    <n v="0"/>
    <n v="0"/>
    <n v="15"/>
    <n v="21585.15"/>
    <n v="9652.9499999999989"/>
    <n v="11932.200000000003"/>
    <n v="0.55279671440782208"/>
    <d v="2023-01-10T00:00:00"/>
    <n v="12"/>
    <n v="0"/>
  </r>
  <r>
    <s v="ORD-2024-892173"/>
    <d v="2024-01-18T00:00:00"/>
    <d v="2024-01-18T00:00:00"/>
    <s v="Q1 -2024"/>
    <d v="2024-02-03T00:00:00"/>
    <d v="2024-02-03T00:00:00"/>
    <n v="16"/>
    <x v="1"/>
    <s v="South Africa"/>
    <s v="Cape Town"/>
    <s v="Africa&gt;South Africa&gt;Cape Town"/>
    <s v="Non-Profit"/>
    <s v="Distributor"/>
    <x v="11"/>
    <s v="Printers"/>
    <s v="PRN-6660"/>
    <n v="666.23"/>
    <n v="1382.91"/>
    <n v="1382.91"/>
    <s v="Medium"/>
    <n v="0.17599999999999999"/>
    <n v="0.17599999999999999"/>
    <n v="13"/>
    <n v="14813.731920000002"/>
    <n v="8660.99"/>
    <n v="6152.7419200000022"/>
    <n v="0.41534043907553048"/>
    <d v="2023-01-07T00:00:00"/>
    <n v="12"/>
    <n v="0"/>
  </r>
  <r>
    <s v="ORD-2024-892879"/>
    <d v="2024-07-09T00:00:00"/>
    <d v="2024-07-09T00:00:00"/>
    <s v="Q3 -2024"/>
    <d v="2024-08-08T00:00:00"/>
    <d v="2024-08-08T00:00:00"/>
    <n v="30"/>
    <x v="3"/>
    <s v="France"/>
    <s v="Marseille"/>
    <s v="Europe&gt;France&gt;Marseille"/>
    <s v="Corporate"/>
    <s v="Direct"/>
    <x v="5"/>
    <s v="Components"/>
    <s v="CMP-5825"/>
    <n v="1062.3800000000001"/>
    <n v="1503.96"/>
    <n v="1503.96"/>
    <s v="Medium"/>
    <n v="0.18"/>
    <n v="0.18"/>
    <n v="6"/>
    <n v="7399.4832000000006"/>
    <n v="6374.2800000000007"/>
    <n v="1025.2031999999999"/>
    <n v="0.13855064905073369"/>
    <d v="2023-01-10T00:00:00"/>
    <n v="17"/>
    <n v="0"/>
  </r>
  <r>
    <s v="ORD-2024-892908"/>
    <d v="2024-07-13T00:00:00"/>
    <d v="2024-07-13T00:00:00"/>
    <s v="Q3 -2024"/>
    <d v="2024-07-12T00:00:00"/>
    <d v="2024-07-19T00:00:00"/>
    <n v="6"/>
    <x v="0"/>
    <s v="Japan"/>
    <s v="Nagoya"/>
    <s v="Asia&gt;Japan&gt;Nagoya"/>
    <s v="Small Business"/>
    <s v="Marketplace"/>
    <x v="3"/>
    <s v="Networking"/>
    <s v="NET-9575"/>
    <n v="105.13"/>
    <n v="244.13"/>
    <n v="244.13"/>
    <s v="Low"/>
    <n v="7.0999999999999994E-2"/>
    <n v="7.0999999999999994E-2"/>
    <n v="14"/>
    <n v="3175.1547799999998"/>
    <n v="1471.82"/>
    <n v="1703.3347799999999"/>
    <n v="0.53645724319618837"/>
    <d v="2023-03-03T00:00:00"/>
    <n v="16"/>
    <n v="0"/>
  </r>
  <r>
    <s v="ORD-2024-897622"/>
    <d v="2024-03-30T00:00:00"/>
    <d v="2024-03-30T00:00:00"/>
    <s v="Q1 -2024"/>
    <d v="2024-04-24T00:00:00"/>
    <d v="2024-04-24T00:00:00"/>
    <n v="25"/>
    <x v="2"/>
    <s v="USA"/>
    <s v="Austin"/>
    <s v="Americas&gt;USA&gt;Austin"/>
    <s v="Non-Profit"/>
    <s v="Online"/>
    <x v="10"/>
    <s v="Laptops"/>
    <s v="LAP-2846"/>
    <n v="160.82"/>
    <n v="258.52"/>
    <n v="258.52"/>
    <s v="Low"/>
    <n v="0.13"/>
    <n v="0.13"/>
    <n v="17"/>
    <n v="3823.5108"/>
    <n v="2733.94"/>
    <n v="1089.5708"/>
    <n v="0.28496605789631874"/>
    <d v="2023-01-13T00:00:00"/>
    <n v="14"/>
    <n v="0"/>
  </r>
  <r>
    <s v="ORD-2024-901115"/>
    <d v="2024-07-25T00:00:00"/>
    <d v="2024-07-25T00:00:00"/>
    <s v="Q3 -2024"/>
    <d v="2024-08-02T00:00:00"/>
    <d v="2024-08-02T00:00:00"/>
    <n v="8"/>
    <x v="2"/>
    <s v="Canada"/>
    <s v="Montreal"/>
    <s v="Americas&gt;Canada&gt;Montreal"/>
    <s v="Consumer"/>
    <s v="Direct"/>
    <x v="5"/>
    <s v="Accessories"/>
    <s v="ACC-6626"/>
    <n v="986.81"/>
    <n v="2050.31"/>
    <n v="2050.31"/>
    <s v="High"/>
    <n v="0.10299999999999999"/>
    <n v="0.10299999999999999"/>
    <n v="43"/>
    <n v="79082.507010000001"/>
    <n v="42432.829999999994"/>
    <n v="36649.677010000007"/>
    <n v="0.46343595310358138"/>
    <d v="2023-01-02T00:00:00"/>
    <n v="18"/>
    <n v="0"/>
  </r>
  <r>
    <s v="ORD-2024-902741"/>
    <d v="2024-12-23T00:00:00"/>
    <d v="2024-12-23T00:00:00"/>
    <s v="Q4 -2024"/>
    <d v="2025-01-11T00:00:00"/>
    <d v="2025-01-11T00:00:00"/>
    <n v="19"/>
    <x v="3"/>
    <s v="Germany"/>
    <s v="Berlin"/>
    <s v="Europe&gt;Germany&gt;Berlin"/>
    <s v="Education"/>
    <s v="Retail"/>
    <x v="4"/>
    <s v="Phones"/>
    <s v="PHN-8057"/>
    <n v="501.81"/>
    <n v="921.62"/>
    <n v="921.62"/>
    <s v="Medium"/>
    <n v="0.01"/>
    <n v="0.01"/>
    <n v="9"/>
    <n v="8211.6342000000004"/>
    <n v="4516.29"/>
    <n v="3695.3442000000005"/>
    <n v="0.45001325071202031"/>
    <d v="2023-01-22T00:00:00"/>
    <n v="23"/>
    <n v="0"/>
  </r>
  <r>
    <s v="ORD-2024-906395"/>
    <d v="2024-03-10T00:00:00"/>
    <d v="2024-03-10T00:00:00"/>
    <s v="Q1 -2024"/>
    <d v="2024-04-09T00:00:00"/>
    <d v="2024-04-09T00:00:00"/>
    <n v="30"/>
    <x v="3"/>
    <s v="France"/>
    <s v="Lyon"/>
    <s v="Europe&gt;France&gt;Lyon"/>
    <s v="Corporate"/>
    <s v="Direct"/>
    <x v="9"/>
    <s v="Components"/>
    <s v="CMP-8002"/>
    <n v="1176.56"/>
    <n v="1911.89"/>
    <n v="1911.89"/>
    <s v="High"/>
    <n v="0.11899999999999999"/>
    <n v="0.11899999999999999"/>
    <n v="20"/>
    <n v="33687.501800000005"/>
    <n v="23531.199999999997"/>
    <n v="10156.301800000008"/>
    <n v="0.30148575160892477"/>
    <d v="2023-01-10T00:00:00"/>
    <n v="14"/>
    <n v="0"/>
  </r>
  <r>
    <s v="ORD-2024-907733"/>
    <d v="2024-03-09T00:00:00"/>
    <d v="2024-03-09T00:00:00"/>
    <s v="Q1 -2024"/>
    <d v="2024-03-22T00:00:00"/>
    <d v="2024-03-22T00:00:00"/>
    <n v="13"/>
    <x v="3"/>
    <s v="United Kingdom"/>
    <s v="Manchester"/>
    <s v="Europe&gt;United Kingdom&gt;Manchester"/>
    <s v="Consumer"/>
    <s v="Online"/>
    <x v="1"/>
    <s v="Laptops"/>
    <s v="LAP-8633"/>
    <n v="985.45"/>
    <n v="1802.44"/>
    <n v="1802.44"/>
    <s v="High"/>
    <n v="8.9999999999999993E-3"/>
    <n v="8.9999999999999993E-3"/>
    <n v="19"/>
    <n v="33938.142760000002"/>
    <n v="18723.55"/>
    <n v="15214.592760000003"/>
    <n v="0.44830363486867486"/>
    <d v="2023-01-19T00:00:00"/>
    <n v="13"/>
    <n v="0"/>
  </r>
  <r>
    <s v="ORD-2024-909942"/>
    <d v="2024-06-09T00:00:00"/>
    <d v="2024-06-09T00:00:00"/>
    <s v="Q2 -2024"/>
    <d v="2024-07-07T00:00:00"/>
    <d v="2024-07-07T00:00:00"/>
    <n v="28"/>
    <x v="0"/>
    <s v="China"/>
    <s v="Shenzhen"/>
    <s v="Asia&gt;China&gt;Shenzhen"/>
    <s v="Corporate"/>
    <s v="Online"/>
    <x v="5"/>
    <s v="Components"/>
    <s v="CMP-6392"/>
    <n v="550.22"/>
    <n v="1025.05"/>
    <n v="1025.05"/>
    <s v="Medium"/>
    <n v="0"/>
    <n v="0"/>
    <n v="27"/>
    <n v="27676.35"/>
    <n v="14855.94"/>
    <n v="12820.409999999998"/>
    <n v="0.46322618408858102"/>
    <d v="2023-01-12T00:00:00"/>
    <n v="16"/>
    <n v="0"/>
  </r>
  <r>
    <s v="ORD-2024-915495"/>
    <d v="2024-08-08T00:00:00"/>
    <d v="2024-08-08T00:00:00"/>
    <s v="Q3 -2024"/>
    <d v="2024-08-20T00:00:00"/>
    <d v="2024-08-20T00:00:00"/>
    <n v="12"/>
    <x v="0"/>
    <s v="Japan"/>
    <s v="Osaka"/>
    <s v="Asia&gt;Japan&gt;Osaka"/>
    <s v="Small Business"/>
    <s v="Retail"/>
    <x v="7"/>
    <s v="Networking"/>
    <s v="NET-8957"/>
    <n v="1233.3599999999999"/>
    <n v="2120.4"/>
    <n v="2120.4"/>
    <s v="High"/>
    <n v="0.17899999999999999"/>
    <n v="0.17899999999999999"/>
    <n v="20"/>
    <n v="34816.968000000001"/>
    <n v="24667.199999999997"/>
    <n v="10149.768000000004"/>
    <n v="0.29151785991244278"/>
    <d v="2023-03-03T00:00:00"/>
    <n v="17"/>
    <n v="0"/>
  </r>
  <r>
    <s v="ORD-2024-919471"/>
    <d v="2024-06-29T00:00:00"/>
    <d v="2024-06-29T00:00:00"/>
    <s v="Q2 -2024"/>
    <d v="2024-07-26T00:00:00"/>
    <d v="2024-07-26T00:00:00"/>
    <n v="27"/>
    <x v="1"/>
    <s v="South Africa"/>
    <s v="Durban"/>
    <s v="Africa&gt;South Africa&gt;Durban"/>
    <s v="Enterprise"/>
    <s v="Distributor"/>
    <x v="12"/>
    <s v="Networking"/>
    <s v="NET-4241"/>
    <n v="5.36"/>
    <n v="4.37"/>
    <n v="4.37"/>
    <s v="Low"/>
    <n v="0.11799999999999999"/>
    <n v="0.11799999999999999"/>
    <n v="9"/>
    <n v="34.689059999999998"/>
    <n v="48.24"/>
    <n v="-13.550940000000004"/>
    <n v="-0.39064016148030545"/>
    <d v="2023-01-07T00:00:00"/>
    <n v="17"/>
    <n v="0"/>
  </r>
  <r>
    <s v="ORD-2024-921935"/>
    <d v="2024-01-01T00:00:00"/>
    <d v="2024-01-01T00:00:00"/>
    <s v="Q1 -2024"/>
    <d v="2024-01-27T00:00:00"/>
    <d v="2024-01-27T00:00:00"/>
    <n v="26"/>
    <x v="3"/>
    <s v="United Kingdom"/>
    <s v="Manchester"/>
    <s v="Europe&gt;United Kingdom&gt;Manchester"/>
    <s v="Education"/>
    <s v="Distributor"/>
    <x v="6"/>
    <s v="Accessories"/>
    <s v="ACC-3103"/>
    <n v="657.45"/>
    <n v="1325.96"/>
    <n v="1325.96"/>
    <s v="Medium"/>
    <n v="0.16700000000000001"/>
    <n v="0.16700000000000001"/>
    <n v="21"/>
    <n v="23195.01828"/>
    <n v="13806.45"/>
    <n v="9388.5682799999995"/>
    <n v="0.40476658249048808"/>
    <d v="2023-01-19T00:00:00"/>
    <n v="11"/>
    <n v="0"/>
  </r>
  <r>
    <s v="ORD-2024-925626"/>
    <d v="2024-11-04T00:00:00"/>
    <d v="2024-11-04T00:00:00"/>
    <s v="Q4 -2024"/>
    <d v="2024-11-05T00:00:00"/>
    <d v="2024-11-05T00:00:00"/>
    <n v="1"/>
    <x v="3"/>
    <s v="United Kingdom"/>
    <s v="London"/>
    <s v="Europe&gt;United Kingdom&gt;London"/>
    <s v="Corporate"/>
    <s v="Retail"/>
    <x v="8"/>
    <s v="Printers"/>
    <s v="PRN-2293"/>
    <n v="840.68"/>
    <n v="1493.53"/>
    <n v="1493.53"/>
    <s v="Medium"/>
    <n v="0"/>
    <n v="0"/>
    <n v="27"/>
    <n v="40325.31"/>
    <n v="22698.359999999997"/>
    <n v="17626.95"/>
    <n v="0.43711877230454027"/>
    <d v="2023-01-19T00:00:00"/>
    <n v="21"/>
    <n v="0"/>
  </r>
  <r>
    <s v="ORD-2024-930679"/>
    <d v="2024-12-17T00:00:00"/>
    <d v="2024-12-17T00:00:00"/>
    <s v="Q4 -2024"/>
    <d v="2025-01-16T00:00:00"/>
    <d v="2025-01-16T00:00:00"/>
    <n v="30"/>
    <x v="3"/>
    <s v="United Kingdom"/>
    <s v="Manchester"/>
    <s v="Europe&gt;United Kingdom&gt;Manchester"/>
    <s v="Corporate"/>
    <s v="Retail"/>
    <x v="6"/>
    <s v="Monitors"/>
    <s v="MON-4215"/>
    <n v="722.87"/>
    <n v="-33.659999999999997"/>
    <n v="33.659999999999997"/>
    <s v="Low"/>
    <n v="0.10199999999999999"/>
    <n v="0.10199999999999999"/>
    <n v="28"/>
    <n v="846.34703999999988"/>
    <n v="20240.36"/>
    <n v="-19394.01296"/>
    <n v="-22.914965189693348"/>
    <d v="2023-01-19T00:00:00"/>
    <n v="22"/>
    <n v="0"/>
  </r>
  <r>
    <s v="ORD-2024-939873"/>
    <d v="2024-04-12T00:00:00"/>
    <d v="2024-04-12T00:00:00"/>
    <s v="Q2 -2024"/>
    <d v="2024-05-07T00:00:00"/>
    <d v="2024-05-07T00:00:00"/>
    <n v="25"/>
    <x v="1"/>
    <s v="South Africa"/>
    <s v="Johannesburg"/>
    <s v="Africa&gt;South Africa&gt;Johannesburg"/>
    <s v="Education"/>
    <s v="Distributor"/>
    <x v="0"/>
    <s v="Laptops"/>
    <s v="LAP-8489"/>
    <n v="1376.51"/>
    <n v="1455.91"/>
    <n v="1455.91"/>
    <s v="Medium"/>
    <n v="0.185"/>
    <n v="0.185"/>
    <n v="17"/>
    <n v="20171.63305"/>
    <n v="23400.67"/>
    <n v="-3229.0369499999979"/>
    <n v="-0.1600781127634085"/>
    <d v="2023-01-07T00:00:00"/>
    <n v="15"/>
    <n v="0"/>
  </r>
  <r>
    <s v="ORD-2024-942981"/>
    <d v="2024-10-09T00:00:00"/>
    <d v="2024-10-09T00:00:00"/>
    <s v="Q4 -2024"/>
    <d v="2024-11-08T00:00:00"/>
    <d v="2024-11-08T00:00:00"/>
    <n v="30"/>
    <x v="3"/>
    <s v="United Kingdom"/>
    <s v="Manchester"/>
    <s v="Europe&gt;United Kingdom&gt;Manchester"/>
    <s v="Small Business"/>
    <s v="Distributor"/>
    <x v="5"/>
    <s v="Components"/>
    <s v="CMP-1072"/>
    <n v="343.85"/>
    <n v="538.04"/>
    <n v="538.04"/>
    <s v="Low"/>
    <n v="0.13900000000000001"/>
    <n v="0.13900000000000001"/>
    <n v="5"/>
    <n v="2316.2621999999997"/>
    <n v="1719.25"/>
    <n v="597.01219999999967"/>
    <n v="0.25774810813732563"/>
    <d v="2023-01-19T00:00:00"/>
    <n v="20"/>
    <n v="0"/>
  </r>
  <r>
    <s v="ORD-2024-947056"/>
    <d v="2024-07-31T00:00:00"/>
    <d v="2024-07-31T00:00:00"/>
    <s v="Q3 -2024"/>
    <d v="2024-08-15T00:00:00"/>
    <d v="2024-08-15T00:00:00"/>
    <n v="15"/>
    <x v="0"/>
    <s v="Japan"/>
    <s v="Tokyo"/>
    <s v="Asia&gt;Japan&gt;Tokyo"/>
    <s v="Corporate"/>
    <s v="Marketplace"/>
    <x v="3"/>
    <s v="Monitors"/>
    <s v="MON-1564"/>
    <n v="1252.52"/>
    <n v="1417.24"/>
    <n v="1417.24"/>
    <s v="Medium"/>
    <n v="0.192"/>
    <n v="0.192"/>
    <n v="5"/>
    <n v="5725.6496000000006"/>
    <n v="6262.6"/>
    <n v="-536.95039999999972"/>
    <n v="-9.3779821943696953E-2"/>
    <d v="2023-03-03T00:00:00"/>
    <n v="16"/>
    <n v="0"/>
  </r>
  <r>
    <s v="ORD-2024-948800"/>
    <d v="2024-03-27T00:00:00"/>
    <d v="2024-03-27T00:00:00"/>
    <s v="Q1 -2024"/>
    <d v="2024-04-11T00:00:00"/>
    <d v="2024-04-11T00:00:00"/>
    <n v="15"/>
    <x v="2"/>
    <s v="USA"/>
    <s v="San Francisco"/>
    <s v="Americas&gt;USA&gt;San Francisco"/>
    <s v="Small Business"/>
    <s v="Direct"/>
    <x v="2"/>
    <s v="Networking"/>
    <s v="NET-5523"/>
    <n v="1338.35"/>
    <n v="2247.14"/>
    <n v="2247.14"/>
    <s v="High"/>
    <n v="0.115"/>
    <n v="0.115"/>
    <n v="40"/>
    <n v="79548.755999999994"/>
    <n v="53534"/>
    <n v="26014.755999999994"/>
    <n v="0.32702907384246205"/>
    <d v="2023-01-13T00:00:00"/>
    <n v="14"/>
    <n v="0"/>
  </r>
  <r>
    <s v="ORD-2024-960952"/>
    <d v="2024-02-03T00:00:00"/>
    <d v="2024-02-03T00:00:00"/>
    <s v="Q1 -2024"/>
    <d v="2024-02-21T00:00:00"/>
    <d v="2024-02-21T00:00:00"/>
    <n v="18"/>
    <x v="3"/>
    <s v="Germany"/>
    <s v="Frankfurt"/>
    <s v="Europe&gt;Germany&gt;Frankfurt"/>
    <s v="Corporate"/>
    <s v="Retail"/>
    <x v="7"/>
    <s v="Components"/>
    <s v="CMP-9264"/>
    <n v="39.229999999999997"/>
    <n v="30.09"/>
    <n v="30.09"/>
    <s v="Low"/>
    <n v="0.17699999999999999"/>
    <n v="0.17699999999999999"/>
    <n v="13"/>
    <n v="321.93290999999999"/>
    <n v="509.98999999999995"/>
    <n v="-188.05708999999996"/>
    <n v="-0.58414993981199359"/>
    <d v="2023-01-22T00:00:00"/>
    <n v="12"/>
    <n v="0"/>
  </r>
  <r>
    <s v="ORD-2024-961501"/>
    <d v="2024-03-02T00:00:00"/>
    <d v="2024-03-02T00:00:00"/>
    <s v="Q1 -2024"/>
    <d v="2024-03-23T00:00:00"/>
    <d v="2024-03-23T00:00:00"/>
    <n v="21"/>
    <x v="2"/>
    <s v="USA"/>
    <s v="Chicago"/>
    <s v="Americas&gt;USA&gt;Chicago"/>
    <s v="Small Business"/>
    <s v="Online"/>
    <x v="3"/>
    <s v="Components"/>
    <s v="CMP-3223"/>
    <n v="225.01"/>
    <n v="333.48"/>
    <n v="333.48"/>
    <s v="Low"/>
    <n v="0.11899999999999999"/>
    <n v="0.11899999999999999"/>
    <n v="12"/>
    <n v="3525.5505600000001"/>
    <n v="2700.12"/>
    <n v="825.43056000000024"/>
    <n v="0.23412813004729685"/>
    <d v="2023-01-13T00:00:00"/>
    <n v="13"/>
    <n v="0"/>
  </r>
  <r>
    <s v="ORD-2024-961756"/>
    <d v="2024-11-25T00:00:00"/>
    <d v="2024-11-25T00:00:00"/>
    <s v="Q4 -2024"/>
    <d v="2024-12-07T00:00:00"/>
    <d v="2024-12-07T00:00:00"/>
    <n v="12"/>
    <x v="0"/>
    <s v="China"/>
    <s v="Shanghai"/>
    <s v="Asia&gt;China&gt;Shanghai"/>
    <s v="Corporate"/>
    <s v="Distributor"/>
    <x v="0"/>
    <s v="Accessories"/>
    <s v="ACC-7047"/>
    <n v="769.9"/>
    <n v="814.36"/>
    <n v="814.36"/>
    <s v="Medium"/>
    <n v="0"/>
    <n v="0"/>
    <n v="5"/>
    <n v="4071.8"/>
    <n v="3849.5"/>
    <n v="222.30000000000018"/>
    <n v="5.4595019401738831E-2"/>
    <d v="2023-01-12T00:00:00"/>
    <n v="22"/>
    <n v="0"/>
  </r>
  <r>
    <s v="ORD-2024-964950"/>
    <d v="2024-10-10T00:00:00"/>
    <d v="2024-10-10T00:00:00"/>
    <s v="Q4 -2024"/>
    <d v="2024-10-11T00:00:00"/>
    <d v="2024-10-11T00:00:00"/>
    <n v="1"/>
    <x v="3"/>
    <s v="United Kingdom"/>
    <s v="Manchester"/>
    <s v="Europe&gt;United Kingdom&gt;Manchester"/>
    <s v="Non-Profit"/>
    <s v="Distributor"/>
    <x v="11"/>
    <s v="Components"/>
    <s v="CMP-8127"/>
    <n v="1389.46"/>
    <n v="1784.7"/>
    <n v="1784.7"/>
    <s v="High"/>
    <n v="0.14599999999999999"/>
    <n v="0.14599999999999999"/>
    <n v="33"/>
    <n v="50296.415399999998"/>
    <n v="45852.18"/>
    <n v="4444.2353999999978"/>
    <n v="8.8360877503011831E-2"/>
    <d v="2023-01-19T00:00:00"/>
    <n v="20"/>
    <n v="0"/>
  </r>
  <r>
    <s v="ORD-2024-966651"/>
    <d v="2024-10-14T00:00:00"/>
    <d v="2024-10-14T00:00:00"/>
    <s v="Q4 -2024"/>
    <d v="2024-11-08T00:00:00"/>
    <d v="2024-11-08T00:00:00"/>
    <n v="25"/>
    <x v="1"/>
    <s v="Nigeria"/>
    <s v="Lagos"/>
    <s v="Africa&gt;Nigeria&gt;Lagos"/>
    <s v="Enterprise"/>
    <s v="Online"/>
    <x v="2"/>
    <s v="Networking"/>
    <s v="NET-5268"/>
    <n v="859.35"/>
    <n v="1825.61"/>
    <n v="1825.61"/>
    <s v="High"/>
    <n v="0.187"/>
    <n v="0.187"/>
    <n v="24"/>
    <n v="35621.302319999995"/>
    <n v="20624.400000000001"/>
    <n v="14996.902319999994"/>
    <n v="0.42100937762681989"/>
    <d v="2023-01-15T00:00:00"/>
    <n v="20"/>
    <n v="0"/>
  </r>
  <r>
    <s v="ORD-2024-968374"/>
    <d v="2024-02-11T00:00:00"/>
    <d v="2024-02-11T00:00:00"/>
    <s v="Q1 -2024"/>
    <d v="2024-03-03T00:00:00"/>
    <d v="2024-03-03T00:00:00"/>
    <n v="21"/>
    <x v="1"/>
    <s v="Kenya"/>
    <s v="Kisumu"/>
    <s v="Africa&gt;Kenya&gt;Kisumu"/>
    <s v="Enterprise"/>
    <s v="Online"/>
    <x v="12"/>
    <s v="Phones"/>
    <s v="PHN-5082"/>
    <n v="516.86"/>
    <n v="852.54"/>
    <n v="852.54"/>
    <s v="Medium"/>
    <n v="5.0999999999999997E-2"/>
    <n v="5.0999999999999997E-2"/>
    <n v="14"/>
    <n v="11326.846439999999"/>
    <n v="7236.04"/>
    <n v="4090.8064399999994"/>
    <n v="0.36116022775355994"/>
    <d v="2023-01-20T00:00:00"/>
    <n v="12"/>
    <n v="0"/>
  </r>
  <r>
    <s v="ORD-2024-970848"/>
    <d v="2024-05-23T00:00:00"/>
    <d v="2024-05-23T00:00:00"/>
    <s v="Q2 -2024"/>
    <d v="2024-06-03T00:00:00"/>
    <d v="2024-06-03T00:00:00"/>
    <n v="11"/>
    <x v="1"/>
    <s v="South Africa"/>
    <s v="Johannesburg"/>
    <s v="Africa&gt;South Africa&gt;Johannesburg"/>
    <s v="Small Business"/>
    <s v="Distributor"/>
    <x v="3"/>
    <s v="Printers"/>
    <s v="PRN-3785"/>
    <n v="180.89"/>
    <n v="249.57"/>
    <n v="249.57"/>
    <s v="Low"/>
    <n v="2.1999999999999999E-2"/>
    <n v="2.1999999999999999E-2"/>
    <n v="8"/>
    <n v="1952.6356799999999"/>
    <n v="1447.12"/>
    <n v="505.51567999999997"/>
    <n v="0.25888888806948362"/>
    <d v="2023-01-07T00:00:00"/>
    <n v="16"/>
    <n v="0"/>
  </r>
  <r>
    <s v="ORD-2024-972318"/>
    <d v="2024-12-24T00:00:00"/>
    <d v="2024-12-24T00:00:00"/>
    <s v="Q4 -2024"/>
    <d v="2025-01-13T00:00:00"/>
    <d v="2025-01-13T00:00:00"/>
    <n v="20"/>
    <x v="0"/>
    <s v="India"/>
    <s v="Bengaluru"/>
    <s v="Asia&gt;India&gt;Bengaluru"/>
    <s v="Corporate"/>
    <s v="Marketplace"/>
    <x v="6"/>
    <s v="Networking"/>
    <s v="NET-9832"/>
    <n v="126.15"/>
    <n v="284.23"/>
    <n v="284.23"/>
    <s v="Low"/>
    <n v="0.113"/>
    <n v="0.113"/>
    <n v="22"/>
    <n v="5546.4642200000008"/>
    <n v="2775.3"/>
    <n v="2771.1642200000006"/>
    <n v="0.49962716968541088"/>
    <d v="2023-01-29T00:00:00"/>
    <n v="22"/>
    <n v="0"/>
  </r>
  <r>
    <s v="ORD-2024-972999"/>
    <d v="2024-09-06T00:00:00"/>
    <d v="2024-09-06T00:00:00"/>
    <s v="Q3 -2024"/>
    <d v="2024-10-04T00:00:00"/>
    <d v="2024-10-04T00:00:00"/>
    <n v="28"/>
    <x v="1"/>
    <s v="South Africa"/>
    <s v="Cape Town"/>
    <s v="Africa&gt;South Africa&gt;Cape Town"/>
    <s v="Corporate"/>
    <s v="Marketplace"/>
    <x v="6"/>
    <s v="Monitors"/>
    <s v="MON-3504"/>
    <n v="1174.17"/>
    <n v="1641.61"/>
    <n v="1641.61"/>
    <s v="High"/>
    <n v="0.122"/>
    <n v="0.122"/>
    <n v="9"/>
    <n v="12972.00222"/>
    <n v="10567.53"/>
    <n v="2404.4722199999997"/>
    <n v="0.18535860380079394"/>
    <d v="2023-01-07T00:00:00"/>
    <n v="19"/>
    <n v="0"/>
  </r>
  <r>
    <s v="ORD-2024-973420"/>
    <d v="2024-05-12T00:00:00"/>
    <d v="2024-05-12T00:00:00"/>
    <s v="Q2 -2024"/>
    <d v="2024-05-24T00:00:00"/>
    <d v="2024-05-24T00:00:00"/>
    <n v="12"/>
    <x v="3"/>
    <s v="United Kingdom"/>
    <s v="Manchester"/>
    <s v="Europe&gt;United Kingdom&gt;Manchester"/>
    <s v="Education"/>
    <s v="Marketplace"/>
    <x v="4"/>
    <s v="Printers"/>
    <s v="PRN-5813"/>
    <n v="111.02"/>
    <n v="172.88"/>
    <n v="172.88"/>
    <s v="Low"/>
    <n v="0.19700000000000001"/>
    <n v="0.19700000000000001"/>
    <n v="29"/>
    <n v="4025.8565599999993"/>
    <n v="3219.58"/>
    <n v="806.27655999999934"/>
    <n v="0.20027453735212053"/>
    <d v="2023-01-19T00:00:00"/>
    <n v="15"/>
    <n v="0"/>
  </r>
  <r>
    <s v="ORD-2024-979401"/>
    <d v="2024-02-08T00:00:00"/>
    <d v="2024-02-08T00:00:00"/>
    <s v="Q1 -2024"/>
    <d v="2024-02-09T00:00:00"/>
    <d v="2024-02-09T00:00:00"/>
    <n v="1"/>
    <x v="1"/>
    <s v="Kenya"/>
    <s v="Mombasa"/>
    <s v="Africa&gt;Kenya&gt;Mombasa"/>
    <s v="Corporate"/>
    <s v="Direct"/>
    <x v="3"/>
    <s v="Components"/>
    <s v="CMP-5911"/>
    <n v="1233.52"/>
    <n v="1543.76"/>
    <n v="1543.76"/>
    <s v="Medium"/>
    <n v="0.126"/>
    <n v="0.126"/>
    <n v="13"/>
    <n v="17540.201120000002"/>
    <n v="16035.76"/>
    <n v="1504.4411200000013"/>
    <n v="8.5771030201277493E-2"/>
    <d v="2023-01-20T00:00:00"/>
    <n v="12"/>
    <n v="0"/>
  </r>
  <r>
    <s v="ORD-2024-988736"/>
    <d v="2024-09-09T00:00:00"/>
    <d v="2024-09-09T00:00:00"/>
    <s v="Q3 -2024"/>
    <d v="2024-10-01T00:00:00"/>
    <d v="2024-10-01T00:00:00"/>
    <n v="22"/>
    <x v="0"/>
    <s v="China"/>
    <s v="Shenzhen"/>
    <s v="Asia&gt;China&gt;Shenzhen"/>
    <s v="Consumer"/>
    <s v="Direct"/>
    <x v="11"/>
    <s v="Printers"/>
    <s v="PRN-3014"/>
    <n v="1166.18"/>
    <n v="1335.02"/>
    <n v="1335.02"/>
    <s v="Medium"/>
    <n v="0.128"/>
    <n v="0.128"/>
    <n v="6"/>
    <n v="6984.8246399999998"/>
    <n v="6997.08"/>
    <n v="-12.25536000000011"/>
    <n v="-1.7545694604582242E-3"/>
    <d v="2023-01-12T00:00:00"/>
    <n v="19"/>
    <n v="0"/>
  </r>
  <r>
    <s v="ORD-2024-993481"/>
    <d v="2024-08-18T00:00:00"/>
    <d v="2024-08-18T00:00:00"/>
    <s v="Q3 -2024"/>
    <d v="2024-09-12T00:00:00"/>
    <d v="2024-09-12T00:00:00"/>
    <n v="25"/>
    <x v="0"/>
    <s v="India"/>
    <s v="Mumbai"/>
    <s v="Asia&gt;India&gt;Mumbai"/>
    <s v="Consumer"/>
    <s v="Marketplace"/>
    <x v="14"/>
    <s v="Phones"/>
    <s v="PHN-3077"/>
    <n v="1154.03"/>
    <n v="1590.36"/>
    <n v="1590.36"/>
    <s v="High"/>
    <n v="0.314"/>
    <n v="0.3"/>
    <n v="18"/>
    <n v="20038.536"/>
    <n v="20772.54"/>
    <n v="-734.00400000000081"/>
    <n v="-3.6629622044245191E-2"/>
    <d v="2023-01-29T00:00:00"/>
    <n v="18"/>
    <n v="1"/>
  </r>
  <r>
    <s v="ORD-2024-997336"/>
    <d v="2024-10-04T00:00:00"/>
    <d v="2024-10-04T00:00:00"/>
    <s v="Q4 -2024"/>
    <d v="2024-11-02T00:00:00"/>
    <d v="2024-11-02T00:00:00"/>
    <n v="29"/>
    <x v="1"/>
    <s v="Nigeria"/>
    <s v="Abuja"/>
    <s v="Africa&gt;Nigeria&gt;Abuja"/>
    <s v="Corporate"/>
    <s v="Distributor"/>
    <x v="3"/>
    <s v="Accessories"/>
    <s v="ACC-9038"/>
    <n v="412.09"/>
    <n v="968.94"/>
    <n v="968.94"/>
    <s v="Medium"/>
    <n v="9.9000000000000005E-2"/>
    <n v="9.9000000000000005E-2"/>
    <n v="23"/>
    <n v="20079.343620000003"/>
    <n v="9478.07"/>
    <n v="10601.273620000004"/>
    <n v="0.52796913189137418"/>
    <d v="2023-01-15T00:00:00"/>
    <n v="20"/>
    <n v="0"/>
  </r>
  <r>
    <s v="ORD-2024-998320"/>
    <d v="2024-10-25T00:00:00"/>
    <d v="2024-10-25T00:00:00"/>
    <s v="Q4 -2024"/>
    <d v="2024-11-14T00:00:00"/>
    <d v="2024-11-14T00:00:00"/>
    <n v="20"/>
    <x v="1"/>
    <s v="Kenya"/>
    <s v="Mombasa"/>
    <s v="Africa&gt;Kenya&gt;Mombasa"/>
    <s v="Corporate"/>
    <s v="Direct"/>
    <x v="7"/>
    <s v="Printers"/>
    <s v="PRN-3143"/>
    <n v="1396.48"/>
    <n v="3204.5"/>
    <n v="3204.5"/>
    <s v="High"/>
    <n v="0.318"/>
    <n v="0.3"/>
    <n v="14"/>
    <n v="31404.1"/>
    <n v="19550.72"/>
    <n v="11853.379999999997"/>
    <n v="0.3774468938769141"/>
    <d v="2023-01-20T00:00:00"/>
    <n v="21"/>
    <n v="1"/>
  </r>
  <r>
    <s v="ORD-2024-999607"/>
    <d v="2024-01-12T00:00:00"/>
    <d v="2024-01-12T00:00:00"/>
    <s v="Q1 -2024"/>
    <d v="2024-01-29T00:00:00"/>
    <d v="2024-01-29T00:00:00"/>
    <n v="17"/>
    <x v="2"/>
    <s v="USA"/>
    <s v="Chicago"/>
    <s v="Americas&gt;USA&gt;Chicago"/>
    <s v="Education"/>
    <s v="Distributor"/>
    <x v="0"/>
    <s v="Printers"/>
    <s v="PRN-8604"/>
    <n v="493.76"/>
    <n v="625.04"/>
    <n v="625.04"/>
    <s v="Low"/>
    <n v="0.25800000000000001"/>
    <n v="0.25800000000000001"/>
    <n v="10"/>
    <n v="4637.7968000000001"/>
    <n v="4937.6000000000004"/>
    <n v="-299.80320000000029"/>
    <n v="-6.464345311549663E-2"/>
    <d v="2023-01-13T00:00:00"/>
    <n v="11"/>
    <n v="1"/>
  </r>
  <r>
    <s v="ORD-2025-114382"/>
    <d v="2025-05-14T00:00:00"/>
    <d v="2025-05-14T00:00:00"/>
    <s v="Q2 -2025"/>
    <d v="2025-05-24T00:00:00"/>
    <d v="2025-05-24T00:00:00"/>
    <n v="10"/>
    <x v="3"/>
    <s v="France"/>
    <s v="Paris"/>
    <s v="Europe&gt;France&gt;Paris"/>
    <s v="Small Business"/>
    <s v="Marketplace"/>
    <x v="4"/>
    <s v="Components"/>
    <s v="CMP-2865"/>
    <n v="170.39"/>
    <n v="388.04"/>
    <n v="388.04"/>
    <s v="Low"/>
    <n v="8.4000000000000005E-2"/>
    <n v="8.4000000000000005E-2"/>
    <n v="15"/>
    <n v="5331.6696000000002"/>
    <n v="2555.85"/>
    <n v="2775.8196000000003"/>
    <n v="0.52062858508711796"/>
    <d v="2023-01-10T00:00:00"/>
    <n v="28"/>
    <n v="0"/>
  </r>
  <r>
    <s v="ORD-2025-125517"/>
    <d v="2025-03-21T00:00:00"/>
    <d v="2025-03-21T00:00:00"/>
    <s v="Q1 -2025"/>
    <d v="2025-04-09T00:00:00"/>
    <d v="2025-04-09T00:00:00"/>
    <n v="19"/>
    <x v="0"/>
    <s v="Japan"/>
    <s v="Tokyo"/>
    <s v="Asia&gt;Japan&gt;Tokyo"/>
    <s v="Small Business"/>
    <s v="Distributor"/>
    <x v="1"/>
    <s v="Components"/>
    <s v="CMP-7055"/>
    <n v="1055.45"/>
    <n v="1210.04"/>
    <n v="1210.04"/>
    <s v="Medium"/>
    <n v="8.9999999999999993E-3"/>
    <n v="8.9999999999999993E-3"/>
    <n v="18"/>
    <n v="21584.693520000001"/>
    <n v="18998.100000000002"/>
    <n v="2586.5935199999985"/>
    <n v="0.1198346188053727"/>
    <d v="2023-03-03T00:00:00"/>
    <n v="24"/>
    <n v="0"/>
  </r>
  <r>
    <s v="ORD-2025-132174"/>
    <d v="2025-07-17T00:00:00"/>
    <d v="2025-07-17T00:00:00"/>
    <s v="Q3 -2025"/>
    <d v="2025-07-23T00:00:00"/>
    <d v="2025-07-23T00:00:00"/>
    <n v="6"/>
    <x v="2"/>
    <s v="Canada"/>
    <s v="Vancouver"/>
    <s v="Americas&gt;Canada&gt;Vancouver"/>
    <s v="Consumer"/>
    <s v="Online"/>
    <x v="7"/>
    <s v="Components"/>
    <s v="CMP-8851"/>
    <n v="1364.89"/>
    <n v="2757.54"/>
    <n v="2757.54"/>
    <s v="High"/>
    <n v="0.17199999999999999"/>
    <n v="0.17199999999999999"/>
    <n v="61"/>
    <n v="139277.83032000001"/>
    <n v="83258.290000000008"/>
    <n v="56019.54032"/>
    <n v="0.4022143379983118"/>
    <d v="2023-01-02T00:00:00"/>
    <n v="30"/>
    <n v="0"/>
  </r>
  <r>
    <s v="ORD-2025-137394"/>
    <d v="2025-01-04T00:00:00"/>
    <d v="2025-01-04T00:00:00"/>
    <s v="Q1 -2025"/>
    <d v="2025-01-05T00:00:00"/>
    <d v="2025-01-05T00:00:00"/>
    <n v="1"/>
    <x v="0"/>
    <s v="India"/>
    <s v="Delhi"/>
    <s v="Asia&gt;India&gt;Delhi"/>
    <s v="Education"/>
    <s v="Retail"/>
    <x v="9"/>
    <s v="Components"/>
    <s v="CMP-1156"/>
    <n v="1428.33"/>
    <n v="3028.05"/>
    <n v="3028.05"/>
    <s v="High"/>
    <n v="0"/>
    <n v="0"/>
    <n v="11"/>
    <n v="33308.550000000003"/>
    <n v="15711.63"/>
    <n v="17596.920000000006"/>
    <n v="0.52830039134096207"/>
    <d v="2023-01-29T00:00:00"/>
    <n v="23"/>
    <n v="0"/>
  </r>
  <r>
    <s v="ORD-2025-138578"/>
    <d v="2025-04-09T00:00:00"/>
    <d v="2025-04-09T00:00:00"/>
    <s v="Q2 -2025"/>
    <d v="2025-04-12T00:00:00"/>
    <d v="2025-04-12T00:00:00"/>
    <n v="3"/>
    <x v="3"/>
    <s v="France"/>
    <s v="Lyon"/>
    <s v="Europe&gt;France&gt;Lyon"/>
    <s v="Small Business"/>
    <s v="Distributor"/>
    <x v="7"/>
    <s v="Monitors"/>
    <s v="MON-5276"/>
    <n v="86.68"/>
    <n v="213.32"/>
    <n v="213.32"/>
    <s v="Low"/>
    <n v="3.7999999999999999E-2"/>
    <n v="3.7999999999999999E-2"/>
    <n v="8"/>
    <n v="1641.7107199999998"/>
    <n v="693.44"/>
    <n v="948.27071999999976"/>
    <n v="0.57761133459614611"/>
    <d v="2023-01-10T00:00:00"/>
    <n v="26"/>
    <n v="0"/>
  </r>
  <r>
    <s v="ORD-2025-146850"/>
    <d v="2025-01-21T00:00:00"/>
    <d v="2025-01-21T00:00:00"/>
    <s v="Q1 -2025"/>
    <d v="2025-02-14T00:00:00"/>
    <d v="2025-02-14T00:00:00"/>
    <n v="24"/>
    <x v="1"/>
    <s v="Kenya"/>
    <s v="Nairobi"/>
    <s v="Africa&gt;Kenya&gt;Nairobi"/>
    <s v="Small Business"/>
    <s v="Retail"/>
    <x v="5"/>
    <s v="Accessories"/>
    <s v="ACC-1659"/>
    <n v="1030.44"/>
    <n v="2562.84"/>
    <n v="2562.84"/>
    <s v="High"/>
    <n v="0.14799999999999999"/>
    <n v="0.14799999999999999"/>
    <n v="13"/>
    <n v="28386.015839999996"/>
    <n v="13395.720000000001"/>
    <n v="14990.295839999995"/>
    <n v="0.52808734852027039"/>
    <d v="2023-01-20T00:00:00"/>
    <n v="24"/>
    <n v="0"/>
  </r>
  <r>
    <s v="ORD-2025-149156"/>
    <d v="2025-01-10T00:00:00"/>
    <d v="2025-01-10T00:00:00"/>
    <s v="Q1 -2025"/>
    <d v="2025-02-06T00:00:00"/>
    <d v="2025-02-06T00:00:00"/>
    <n v="27"/>
    <x v="2"/>
    <s v="Brazil"/>
    <s v="Brasília"/>
    <s v="Americas&gt;Brazil&gt;Brasília"/>
    <s v="Non-Profit"/>
    <s v="Retail"/>
    <x v="12"/>
    <s v="Laptops"/>
    <s v="LAP-7353"/>
    <n v="725.62"/>
    <n v="1559.19"/>
    <n v="1559.19"/>
    <s v="High"/>
    <n v="0.19"/>
    <n v="0.19"/>
    <n v="12"/>
    <n v="15155.326800000001"/>
    <n v="8707.44"/>
    <n v="6447.8868000000002"/>
    <n v="0.42545349797405885"/>
    <d v="2023-01-29T00:00:00"/>
    <n v="23"/>
    <n v="0"/>
  </r>
  <r>
    <s v="ORD-2025-150713"/>
    <d v="2025-07-11T00:00:00"/>
    <d v="2025-07-11T00:00:00"/>
    <s v="Q3 -2025"/>
    <d v="2025-07-16T00:00:00"/>
    <d v="2025-07-16T00:00:00"/>
    <n v="5"/>
    <x v="3"/>
    <s v="United Kingdom"/>
    <s v="London"/>
    <s v="Europe&gt;United Kingdom&gt;London"/>
    <s v="Enterprise"/>
    <s v="Online"/>
    <x v="4"/>
    <s v="Printers"/>
    <s v="PRN-5753"/>
    <n v="930.03"/>
    <n v="1086.68"/>
    <n v="1086.68"/>
    <s v="Medium"/>
    <n v="0.109"/>
    <n v="0.109"/>
    <n v="26"/>
    <n v="25174.028880000002"/>
    <n v="24180.78"/>
    <n v="993.24888000000283"/>
    <n v="3.9455300728168656E-2"/>
    <d v="2023-01-19T00:00:00"/>
    <n v="29"/>
    <n v="0"/>
  </r>
  <r>
    <s v="ORD-2025-155182"/>
    <d v="2025-07-11T00:00:00"/>
    <d v="2025-07-11T00:00:00"/>
    <s v="Q3 -2025"/>
    <d v="2025-08-03T00:00:00"/>
    <d v="2025-08-03T00:00:00"/>
    <n v="23"/>
    <x v="1"/>
    <s v="Kenya"/>
    <s v="Nakuru"/>
    <s v="Africa&gt;Kenya&gt;Nakuru"/>
    <s v="Small Business"/>
    <s v="Retail"/>
    <x v="14"/>
    <s v="Phones"/>
    <s v="PHN-7636"/>
    <n v="389.93"/>
    <n v="486.13"/>
    <n v="486.13"/>
    <s v="Low"/>
    <n v="0.13200000000000001"/>
    <n v="0.13200000000000001"/>
    <n v="17"/>
    <n v="7173.3342799999991"/>
    <n v="6628.81"/>
    <n v="544.52427999999873"/>
    <n v="7.5909508569562828E-2"/>
    <d v="2023-01-20T00:00:00"/>
    <n v="29"/>
    <n v="0"/>
  </r>
  <r>
    <s v="ORD-2025-168148"/>
    <d v="2025-03-29T00:00:00"/>
    <d v="2025-03-29T00:00:00"/>
    <s v="Q1 -2025"/>
    <d v="2025-04-02T00:00:00"/>
    <d v="2025-04-02T00:00:00"/>
    <n v="4"/>
    <x v="1"/>
    <s v="Nigeria"/>
    <s v="Lagos"/>
    <s v="Africa&gt;Nigeria&gt;Lagos"/>
    <s v="Non-Profit"/>
    <s v="Marketplace"/>
    <x v="10"/>
    <s v="Phones"/>
    <s v="PHN-4556"/>
    <n v="259.93"/>
    <n v="255.94"/>
    <n v="255.94"/>
    <s v="Low"/>
    <n v="7.1999999999999995E-2"/>
    <n v="7.1999999999999995E-2"/>
    <n v="22"/>
    <n v="5225.2710400000005"/>
    <n v="5718.46"/>
    <n v="-493.1889599999995"/>
    <n v="-9.4385335463861311E-2"/>
    <d v="2023-01-15T00:00:00"/>
    <n v="26"/>
    <n v="0"/>
  </r>
  <r>
    <s v="ORD-2025-169093"/>
    <d v="2025-04-13T00:00:00"/>
    <d v="2025-04-13T00:00:00"/>
    <s v="Q2 -2025"/>
    <d v="2025-04-14T00:00:00"/>
    <d v="2025-04-14T00:00:00"/>
    <n v="1"/>
    <x v="0"/>
    <s v="Japan"/>
    <s v="Osaka"/>
    <s v="Asia&gt;Japan&gt;Osaka"/>
    <s v="Enterprise"/>
    <s v="Online"/>
    <x v="10"/>
    <s v="Components"/>
    <s v="CMP-6495"/>
    <n v="138.9"/>
    <n v="289.92"/>
    <n v="289.92"/>
    <s v="Low"/>
    <n v="2.9000000000000001E-2"/>
    <n v="2.9000000000000001E-2"/>
    <n v="12"/>
    <n v="3378.1478400000001"/>
    <n v="1666.8000000000002"/>
    <n v="1711.3478399999999"/>
    <n v="0.50659353025828491"/>
    <d v="2023-03-03T00:00:00"/>
    <n v="25"/>
    <n v="0"/>
  </r>
  <r>
    <s v="ORD-2025-177994"/>
    <d v="2025-03-24T00:00:00"/>
    <d v="2025-03-24T00:00:00"/>
    <s v="Q1 -2025"/>
    <d v="2025-04-04T00:00:00"/>
    <d v="2025-04-04T00:00:00"/>
    <n v="11"/>
    <x v="0"/>
    <s v="India"/>
    <s v="Mumbai"/>
    <s v="Asia&gt;India&gt;Mumbai"/>
    <s v="Education"/>
    <s v="Marketplace"/>
    <x v="5"/>
    <s v="Phones"/>
    <s v="PHN-4395"/>
    <n v="23.83"/>
    <n v="47.29"/>
    <n v="47.29"/>
    <s v="Low"/>
    <n v="6.4000000000000001E-2"/>
    <n v="6.4000000000000001E-2"/>
    <n v="19"/>
    <n v="841.00536"/>
    <n v="452.77"/>
    <n v="388.23536000000001"/>
    <n v="0.46163244429262618"/>
    <d v="2023-01-29T00:00:00"/>
    <n v="25"/>
    <n v="0"/>
  </r>
  <r>
    <s v="ORD-2025-184082"/>
    <d v="2025-06-19T00:00:00"/>
    <d v="2025-06-19T00:00:00"/>
    <s v="Q2 -2025"/>
    <d v="2025-07-12T00:00:00"/>
    <d v="2025-07-12T00:00:00"/>
    <n v="23"/>
    <x v="3"/>
    <s v="United Kingdom"/>
    <s v="Unknown"/>
    <s v="Europe&gt;United Kingdom&gt;Unknown"/>
    <s v="Non-Profit"/>
    <s v="Direct"/>
    <x v="15"/>
    <s v="Networking"/>
    <s v="NET-6370"/>
    <n v="801.24"/>
    <n v="1959.09"/>
    <n v="1959.09"/>
    <s v="High"/>
    <n v="0.123"/>
    <n v="0.123"/>
    <n v="23"/>
    <n v="39516.804389999998"/>
    <n v="18428.52"/>
    <n v="21088.284389999997"/>
    <n v="0.53365358650651762"/>
    <d v="2023-01-19T00:00:00"/>
    <n v="29"/>
    <n v="0"/>
  </r>
  <r>
    <s v="ORD-2025-184754"/>
    <d v="2025-06-27T00:00:00"/>
    <d v="2025-06-27T00:00:00"/>
    <s v="Q2 -2025"/>
    <d v="2025-07-05T00:00:00"/>
    <d v="2025-07-05T00:00:00"/>
    <n v="8"/>
    <x v="3"/>
    <s v="Germany"/>
    <s v="Munich"/>
    <s v="Europe&gt;Germany&gt;Munich"/>
    <s v="Small Business"/>
    <s v="Direct"/>
    <x v="10"/>
    <s v="Monitors"/>
    <s v="MON-7626"/>
    <n v="314.93"/>
    <n v="687.95"/>
    <n v="687.95"/>
    <s v="Low"/>
    <n v="0.20499999999999999"/>
    <n v="0.20499999999999999"/>
    <n v="8"/>
    <n v="4375.3620000000001"/>
    <n v="2519.44"/>
    <n v="1855.922"/>
    <n v="0.424175645352316"/>
    <d v="2023-01-22T00:00:00"/>
    <n v="29"/>
    <n v="1"/>
  </r>
  <r>
    <s v="ORD-2025-188059"/>
    <d v="2025-06-27T00:00:00"/>
    <d v="2025-06-27T00:00:00"/>
    <s v="Q2 -2025"/>
    <d v="2025-07-11T00:00:00"/>
    <d v="2025-07-11T00:00:00"/>
    <n v="14"/>
    <x v="0"/>
    <s v="China"/>
    <s v="Shanghai"/>
    <s v="Asia&gt;China&gt;Shanghai"/>
    <s v="Small Business"/>
    <s v="Marketplace"/>
    <x v="11"/>
    <s v="Networking"/>
    <s v="NET-3535"/>
    <n v="1227.7"/>
    <n v="2197.23"/>
    <n v="2197.23"/>
    <s v="High"/>
    <n v="9.9000000000000005E-2"/>
    <n v="9.9000000000000005E-2"/>
    <n v="22"/>
    <n v="43553.493060000001"/>
    <n v="27009.4"/>
    <n v="16544.093059999999"/>
    <n v="0.37985685871873898"/>
    <d v="2023-01-12T00:00:00"/>
    <n v="29"/>
    <n v="0"/>
  </r>
  <r>
    <s v="ORD-2025-189846"/>
    <d v="2025-08-11T00:00:00"/>
    <d v="2025-08-11T00:00:00"/>
    <s v="Q3 -2025"/>
    <d v="2025-08-28T00:00:00"/>
    <d v="2025-08-28T00:00:00"/>
    <n v="17"/>
    <x v="3"/>
    <s v="France"/>
    <s v="Paris"/>
    <s v="Europe&gt;France&gt;Paris"/>
    <s v="Education"/>
    <s v="Online"/>
    <x v="3"/>
    <s v="Networking"/>
    <s v="NET-6218"/>
    <n v="416.16"/>
    <n v="571.9"/>
    <n v="571.9"/>
    <s v="Low"/>
    <n v="7.0999999999999994E-2"/>
    <n v="7.0999999999999994E-2"/>
    <n v="2"/>
    <n v="1062.5902000000001"/>
    <n v="832.32"/>
    <n v="230.27020000000005"/>
    <n v="0.21670649701079497"/>
    <d v="2023-01-10T00:00:00"/>
    <n v="31"/>
    <n v="0"/>
  </r>
  <r>
    <s v="ORD-2025-191328"/>
    <d v="2025-05-10T00:00:00"/>
    <d v="2025-05-10T00:00:00"/>
    <s v="Q2 -2025"/>
    <d v="2025-05-27T00:00:00"/>
    <d v="2025-05-27T00:00:00"/>
    <n v="17"/>
    <x v="2"/>
    <s v="Canada"/>
    <s v="Vancouver"/>
    <s v="Americas&gt;Canada&gt;Vancouver"/>
    <s v="Education"/>
    <s v="Direct"/>
    <x v="14"/>
    <s v="Components"/>
    <s v="CMP-9307"/>
    <n v="862.89"/>
    <n v="1426.03"/>
    <n v="1426.03"/>
    <s v="Medium"/>
    <n v="5.6000000000000001E-2"/>
    <n v="5.6000000000000001E-2"/>
    <n v="19"/>
    <n v="25577.274079999999"/>
    <n v="16394.91"/>
    <n v="9182.3640799999994"/>
    <n v="0.35900479665188778"/>
    <d v="2023-01-02T00:00:00"/>
    <n v="28"/>
    <n v="0"/>
  </r>
  <r>
    <s v="ORD-2025-192876"/>
    <d v="2025-01-31T00:00:00"/>
    <d v="2025-01-31T00:00:00"/>
    <s v="Q1 -2025"/>
    <d v="2025-02-17T00:00:00"/>
    <d v="2025-02-17T00:00:00"/>
    <n v="17"/>
    <x v="3"/>
    <s v="United Kingdom"/>
    <s v="London"/>
    <s v="Europe&gt;United Kingdom&gt;London"/>
    <s v="Enterprise"/>
    <s v="Retail"/>
    <x v="7"/>
    <s v="Components"/>
    <s v="CMP-5820"/>
    <n v="378.26"/>
    <n v="541.55999999999995"/>
    <n v="541.55999999999995"/>
    <s v="Low"/>
    <n v="0.16300000000000001"/>
    <n v="0.16300000000000001"/>
    <n v="25"/>
    <n v="11332.142999999998"/>
    <n v="9456.5"/>
    <n v="1875.6429999999982"/>
    <n v="0.16551529573885526"/>
    <d v="2023-01-19T00:00:00"/>
    <n v="24"/>
    <n v="0"/>
  </r>
  <r>
    <s v="ORD-2025-222035"/>
    <d v="2025-03-14T00:00:00"/>
    <d v="2025-03-14T00:00:00"/>
    <s v="Q1 -2025"/>
    <d v="2025-04-08T00:00:00"/>
    <d v="2025-04-08T00:00:00"/>
    <n v="25"/>
    <x v="0"/>
    <s v="China"/>
    <s v="Unknown"/>
    <s v="Asia&gt;China&gt;Unknown"/>
    <s v="Corporate"/>
    <s v="Distributor"/>
    <x v="6"/>
    <s v="Printers"/>
    <s v="PRN-5815"/>
    <n v="80.59"/>
    <n v="157.82"/>
    <n v="157.82"/>
    <s v="Low"/>
    <n v="0.217"/>
    <n v="0.217"/>
    <n v="6"/>
    <n v="741.43835999999999"/>
    <n v="483.54"/>
    <n v="257.89835999999997"/>
    <n v="0.34783519967863541"/>
    <d v="2023-01-12T00:00:00"/>
    <n v="26"/>
    <n v="1"/>
  </r>
  <r>
    <s v="ORD-2025-231184"/>
    <d v="2025-06-01T00:00:00"/>
    <d v="2025-06-01T00:00:00"/>
    <s v="Q2 -2025"/>
    <d v="2025-06-06T00:00:00"/>
    <d v="2025-06-06T00:00:00"/>
    <n v="5"/>
    <x v="3"/>
    <s v="France"/>
    <s v="Paris"/>
    <s v="Europe&gt;France&gt;Paris"/>
    <s v="Consumer"/>
    <s v="Distributor"/>
    <x v="10"/>
    <s v="Components"/>
    <s v="CMP-4093"/>
    <n v="379.45"/>
    <n v="742.23"/>
    <n v="742.23"/>
    <s v="Medium"/>
    <n v="0.09"/>
    <n v="0.09"/>
    <n v="13"/>
    <n v="8780.5809000000008"/>
    <n v="4932.8499999999995"/>
    <n v="3847.7309000000014"/>
    <n v="0.43820915083192286"/>
    <d v="2023-01-10T00:00:00"/>
    <n v="28"/>
    <n v="0"/>
  </r>
  <r>
    <s v="ORD-2025-233883"/>
    <d v="2025-09-08T00:00:00"/>
    <d v="2025-09-08T00:00:00"/>
    <s v="Q3 -2025"/>
    <d v="2025-09-16T00:00:00"/>
    <d v="2025-09-16T00:00:00"/>
    <n v="8"/>
    <x v="0"/>
    <s v="Japan"/>
    <s v="Osaka"/>
    <s v="Asia&gt;Japan&gt;Osaka"/>
    <s v="Corporate"/>
    <s v="Distributor"/>
    <x v="14"/>
    <s v="Phones"/>
    <s v="PHN-1197"/>
    <n v="1225.57"/>
    <n v="2705.57"/>
    <n v="2705.57"/>
    <s v="High"/>
    <n v="0.183"/>
    <n v="0.183"/>
    <n v="16"/>
    <n v="35367.211040000002"/>
    <n v="19609.12"/>
    <n v="15758.091040000003"/>
    <n v="0.44555650775453404"/>
    <d v="2023-03-03T00:00:00"/>
    <n v="30"/>
    <n v="0"/>
  </r>
  <r>
    <s v="ORD-2025-244832"/>
    <d v="2025-09-11T00:00:00"/>
    <d v="2025-09-11T00:00:00"/>
    <s v="Q3 -2025"/>
    <d v="2025-09-28T00:00:00"/>
    <d v="2025-09-28T00:00:00"/>
    <n v="17"/>
    <x v="1"/>
    <s v="Kenya"/>
    <s v="Nairobi"/>
    <s v="Africa&gt;Kenya&gt;Nairobi"/>
    <s v="Non-Profit"/>
    <s v="Distributor"/>
    <x v="5"/>
    <s v="Laptops"/>
    <s v="LAP-3278"/>
    <n v="891.46"/>
    <n v="728.61"/>
    <n v="728.61"/>
    <s v="Medium"/>
    <n v="0.185"/>
    <n v="0.185"/>
    <n v="6"/>
    <n v="3562.9028999999996"/>
    <n v="5348.76"/>
    <n v="-1785.8571000000006"/>
    <n v="-0.50123653383874167"/>
    <d v="2023-01-20T00:00:00"/>
    <n v="31"/>
    <n v="0"/>
  </r>
  <r>
    <s v="ORD-2025-246470"/>
    <d v="2025-04-16T00:00:00"/>
    <d v="2025-04-16T00:00:00"/>
    <s v="Q2 -2025"/>
    <d v="2025-05-16T00:00:00"/>
    <d v="2025-05-16T00:00:00"/>
    <n v="30"/>
    <x v="2"/>
    <s v="Canada"/>
    <s v="Montreal"/>
    <s v="Americas&gt;Canada&gt;Montreal"/>
    <s v="Enterprise"/>
    <s v="Distributor"/>
    <x v="4"/>
    <s v="Printers"/>
    <s v="PRN-6178"/>
    <n v="763.32"/>
    <n v="568.29"/>
    <n v="568.29"/>
    <s v="Low"/>
    <n v="0.13100000000000001"/>
    <n v="0.13100000000000001"/>
    <n v="16"/>
    <n v="7901.5041599999995"/>
    <n v="12213.12"/>
    <n v="-4311.6158400000013"/>
    <n v="-0.54567026134426555"/>
    <d v="2023-01-02T00:00:00"/>
    <n v="27"/>
    <n v="0"/>
  </r>
  <r>
    <s v="ORD-2025-246692"/>
    <d v="2025-04-17T00:00:00"/>
    <d v="2025-04-17T00:00:00"/>
    <s v="Q2 -2025"/>
    <d v="2025-04-17T00:00:00"/>
    <d v="2025-04-17T00:00:00"/>
    <n v="0"/>
    <x v="2"/>
    <s v="Brazil"/>
    <s v="São Paulo"/>
    <s v="Americas&gt;Brazil&gt;São Paulo"/>
    <s v="Corporate"/>
    <s v="Distributor"/>
    <x v="11"/>
    <s v="Phones"/>
    <s v="PHN-4566"/>
    <n v="719.41"/>
    <n v="1125.99"/>
    <n v="1125.99"/>
    <s v="Medium"/>
    <n v="4.1000000000000002E-2"/>
    <n v="4.1000000000000002E-2"/>
    <n v="21"/>
    <n v="22676.312610000001"/>
    <n v="15107.609999999999"/>
    <n v="7568.7026100000021"/>
    <n v="0.33377131194876403"/>
    <d v="2023-01-29T00:00:00"/>
    <n v="26"/>
    <n v="0"/>
  </r>
  <r>
    <s v="ORD-2025-248586"/>
    <d v="2025-09-12T00:00:00"/>
    <d v="2025-09-12T00:00:00"/>
    <s v="Q3 -2025"/>
    <d v="2025-09-30T00:00:00"/>
    <d v="2025-09-30T00:00:00"/>
    <n v="18"/>
    <x v="0"/>
    <s v="Japan"/>
    <s v="Nagoya"/>
    <s v="Asia&gt;Japan&gt;Nagoya"/>
    <s v="Non-Profit"/>
    <s v="Marketplace"/>
    <x v="3"/>
    <s v="Monitors"/>
    <s v="MON-2998"/>
    <n v="1212.99"/>
    <n v="1653.64"/>
    <n v="1653.64"/>
    <s v="High"/>
    <n v="0.107"/>
    <n v="0.107"/>
    <n v="8"/>
    <n v="11813.604160000001"/>
    <n v="9703.92"/>
    <n v="2109.6841600000007"/>
    <n v="0.17858090819931455"/>
    <d v="2023-03-03T00:00:00"/>
    <n v="30"/>
    <n v="0"/>
  </r>
  <r>
    <s v="ORD-2025-252117"/>
    <d v="2025-04-28T00:00:00"/>
    <d v="2025-04-28T00:00:00"/>
    <s v="Q2 -2025"/>
    <d v="2025-05-19T00:00:00"/>
    <d v="2025-05-19T00:00:00"/>
    <n v="21"/>
    <x v="3"/>
    <s v="Germany"/>
    <s v="Berlin"/>
    <s v="Europe&gt;Germany&gt;Berlin"/>
    <s v="Corporate"/>
    <s v="Distributor"/>
    <x v="12"/>
    <s v="Phones"/>
    <s v="PHN-2462"/>
    <n v="350.76"/>
    <n v="492.18"/>
    <n v="492.18"/>
    <s v="Low"/>
    <n v="5.2999999999999999E-2"/>
    <n v="5.2999999999999999E-2"/>
    <n v="11"/>
    <n v="5127.0390600000001"/>
    <n v="3858.3599999999997"/>
    <n v="1268.6790600000004"/>
    <n v="0.24744868239798437"/>
    <d v="2023-01-22T00:00:00"/>
    <n v="27"/>
    <n v="0"/>
  </r>
  <r>
    <s v="ORD-2025-254721"/>
    <d v="2025-05-15T00:00:00"/>
    <d v="2025-05-15T00:00:00"/>
    <s v="Q2 -2025"/>
    <d v="2025-06-05T00:00:00"/>
    <d v="2025-06-05T00:00:00"/>
    <n v="21"/>
    <x v="0"/>
    <s v="Japan"/>
    <s v="Osaka"/>
    <s v="Asia&gt;Japan&gt;Osaka"/>
    <s v="Enterprise"/>
    <s v="Direct"/>
    <x v="7"/>
    <s v="Phones"/>
    <s v="PHN-6480"/>
    <n v="1466.5"/>
    <n v="2778.74"/>
    <n v="2778.74"/>
    <s v="High"/>
    <n v="0.13500000000000001"/>
    <n v="0.13500000000000001"/>
    <n v="4"/>
    <n v="9614.4403999999995"/>
    <n v="5866"/>
    <n v="3748.4403999999995"/>
    <n v="0.38987608680792279"/>
    <d v="2023-03-03T00:00:00"/>
    <n v="26"/>
    <n v="0"/>
  </r>
  <r>
    <s v="ORD-2025-262434"/>
    <d v="2025-06-19T00:00:00"/>
    <d v="2025-06-19T00:00:00"/>
    <s v="Q2 -2025"/>
    <d v="2025-06-21T00:00:00"/>
    <d v="2025-06-21T00:00:00"/>
    <n v="2"/>
    <x v="1"/>
    <s v="South Africa"/>
    <s v="Johannesburg"/>
    <s v="Africa&gt;South Africa&gt;Johannesburg"/>
    <s v="Small Business"/>
    <s v="Unspecified"/>
    <x v="7"/>
    <s v="Phones"/>
    <s v="PHN-7379"/>
    <n v="1466.27"/>
    <n v="3589.89"/>
    <n v="3589.89"/>
    <s v="High"/>
    <n v="9.7000000000000003E-2"/>
    <n v="9.7000000000000003E-2"/>
    <n v="9"/>
    <n v="29175.036029999999"/>
    <n v="13196.43"/>
    <n v="15978.606029999999"/>
    <n v="0.54768076425234147"/>
    <d v="2023-01-07T00:00:00"/>
    <n v="29"/>
    <n v="0"/>
  </r>
  <r>
    <s v="ORD-2025-262491"/>
    <d v="2025-08-01T00:00:00"/>
    <d v="2025-08-01T00:00:00"/>
    <s v="Q3 -2025"/>
    <d v="2025-08-16T00:00:00"/>
    <d v="2025-08-16T00:00:00"/>
    <n v="15"/>
    <x v="0"/>
    <s v="India"/>
    <s v="Unknown"/>
    <s v="Asia&gt;India&gt;Unknown"/>
    <s v="Enterprise"/>
    <s v="Direct"/>
    <x v="2"/>
    <s v="Monitors"/>
    <s v="MON-1822"/>
    <n v="24.44"/>
    <n v="28.69"/>
    <n v="28.69"/>
    <s v="Low"/>
    <n v="0.14599999999999999"/>
    <n v="0.14599999999999999"/>
    <n v="6"/>
    <n v="147.00756000000001"/>
    <n v="146.64000000000001"/>
    <n v="0.36755999999999744"/>
    <n v="2.5002795774584476E-3"/>
    <d v="2023-01-29T00:00:00"/>
    <n v="30"/>
    <n v="0"/>
  </r>
  <r>
    <s v="ORD-2025-269934"/>
    <d v="2025-04-04T00:00:00"/>
    <d v="2025-04-04T00:00:00"/>
    <s v="Q2 -2025"/>
    <d v="2025-04-10T00:00:00"/>
    <d v="2025-04-10T00:00:00"/>
    <n v="6"/>
    <x v="3"/>
    <s v="United Kingdom"/>
    <s v="Birmingham"/>
    <s v="Europe&gt;United Kingdom&gt;Birmingham"/>
    <s v="Non-Profit"/>
    <s v="Direct"/>
    <x v="13"/>
    <s v="Printers"/>
    <s v="PRN-8657"/>
    <n v="290.14"/>
    <n v="250.73"/>
    <n v="250.73"/>
    <s v="Low"/>
    <n v="3.4000000000000002E-2"/>
    <n v="3.4000000000000002E-2"/>
    <n v="17"/>
    <n v="4117.4880599999997"/>
    <n v="4932.38"/>
    <n v="-814.89194000000043"/>
    <n v="-0.19790997038131072"/>
    <d v="2023-01-19T00:00:00"/>
    <n v="26"/>
    <n v="0"/>
  </r>
  <r>
    <s v="ORD-2025-276968"/>
    <d v="2025-02-25T00:00:00"/>
    <d v="2025-02-25T00:00:00"/>
    <s v="Q1 -2025"/>
    <d v="2025-03-17T00:00:00"/>
    <d v="2025-03-17T00:00:00"/>
    <n v="20"/>
    <x v="2"/>
    <s v="USA"/>
    <s v="San Francisco"/>
    <s v="Americas&gt;USA&gt;San Francisco"/>
    <s v="Non-Profit"/>
    <s v="Marketplace"/>
    <x v="7"/>
    <s v="Phones"/>
    <s v="PHN-1044"/>
    <n v="1205.26"/>
    <n v="1696.35"/>
    <n v="1696.35"/>
    <s v="High"/>
    <n v="1.9E-2"/>
    <n v="1.9E-2"/>
    <n v="6"/>
    <n v="9984.7160999999978"/>
    <n v="7231.5599999999995"/>
    <n v="2753.1560999999983"/>
    <n v="0.27573704374028213"/>
    <d v="2023-01-13T00:00:00"/>
    <n v="25"/>
    <n v="0"/>
  </r>
  <r>
    <s v="ORD-2025-278048"/>
    <d v="2025-06-22T00:00:00"/>
    <d v="2025-06-22T00:00:00"/>
    <s v="Q2 -2025"/>
    <d v="2025-07-08T00:00:00"/>
    <d v="2025-07-08T00:00:00"/>
    <n v="16"/>
    <x v="3"/>
    <s v="United Kingdom"/>
    <s v="London"/>
    <s v="Europe&gt;United Kingdom&gt;London"/>
    <s v="Education"/>
    <s v="Direct"/>
    <x v="0"/>
    <s v="Phones"/>
    <s v="PHN-5316"/>
    <n v="892.73"/>
    <n v="979.84"/>
    <n v="979.84"/>
    <s v="Medium"/>
    <n v="0.17399999999999999"/>
    <n v="0.17399999999999999"/>
    <n v="10"/>
    <n v="8093.4784"/>
    <n v="8927.2999999999993"/>
    <n v="-833.82159999999931"/>
    <n v="-0.10302388649112838"/>
    <d v="2023-01-19T00:00:00"/>
    <n v="29"/>
    <n v="0"/>
  </r>
  <r>
    <s v="ORD-2025-281062"/>
    <d v="2025-02-15T00:00:00"/>
    <d v="2025-02-15T00:00:00"/>
    <s v="Q1 -2025"/>
    <d v="2025-02-27T00:00:00"/>
    <d v="2025-02-27T00:00:00"/>
    <n v="12"/>
    <x v="3"/>
    <s v="France"/>
    <s v="Lyon"/>
    <s v="Europe&gt;France&gt;Lyon"/>
    <s v="Non-Profit"/>
    <s v="Direct"/>
    <x v="4"/>
    <s v="Accessories"/>
    <s v="ACC-1604"/>
    <n v="1027.26"/>
    <n v="2200.41"/>
    <n v="2200.41"/>
    <s v="High"/>
    <n v="8.7999999999999995E-2"/>
    <n v="8.7999999999999995E-2"/>
    <n v="6"/>
    <n v="12040.64352"/>
    <n v="6163.5599999999995"/>
    <n v="5877.0835200000001"/>
    <n v="0.48810377204822358"/>
    <d v="2023-01-10T00:00:00"/>
    <n v="25"/>
    <n v="0"/>
  </r>
  <r>
    <s v="ORD-2025-281413"/>
    <d v="2025-08-03T00:00:00"/>
    <d v="2025-08-03T00:00:00"/>
    <s v="Q3 -2025"/>
    <d v="2025-08-16T00:00:00"/>
    <d v="2025-08-16T00:00:00"/>
    <n v="13"/>
    <x v="2"/>
    <s v="Canada"/>
    <s v="Montreal"/>
    <s v="Americas&gt;Canada&gt;Montreal"/>
    <s v="Enterprise"/>
    <s v="Distributor"/>
    <x v="2"/>
    <s v="Networking"/>
    <s v="NET-3785"/>
    <n v="698.66"/>
    <n v="868.62"/>
    <n v="868.62"/>
    <s v="Medium"/>
    <n v="7.1999999999999995E-2"/>
    <n v="7.1999999999999995E-2"/>
    <n v="15"/>
    <n v="12091.190399999999"/>
    <n v="10479.9"/>
    <n v="1611.2903999999999"/>
    <n v="0.13326151906432637"/>
    <d v="2023-01-02T00:00:00"/>
    <n v="31"/>
    <n v="0"/>
  </r>
  <r>
    <s v="ORD-2025-289139"/>
    <d v="2025-08-10T00:00:00"/>
    <d v="2025-08-10T00:00:00"/>
    <s v="Q3 -2025"/>
    <d v="2025-08-30T00:00:00"/>
    <d v="2025-08-30T00:00:00"/>
    <n v="20"/>
    <x v="2"/>
    <s v="USA"/>
    <s v="San Francisco"/>
    <s v="Americas&gt;USA&gt;San Francisco"/>
    <s v="Corporate"/>
    <s v="Marketplace"/>
    <x v="4"/>
    <s v="Printers"/>
    <s v="PRN-2098"/>
    <n v="933.29"/>
    <n v="1456.81"/>
    <n v="1456.81"/>
    <s v="Medium"/>
    <n v="0.123"/>
    <n v="0.123"/>
    <n v="13"/>
    <n v="16609.090809999998"/>
    <n v="12132.77"/>
    <n v="4476.3208099999974"/>
    <n v="0.26951028573489977"/>
    <d v="2023-01-13T00:00:00"/>
    <n v="30"/>
    <n v="0"/>
  </r>
  <r>
    <s v="ORD-2025-306251"/>
    <d v="2025-04-10T00:00:00"/>
    <d v="2025-04-10T00:00:00"/>
    <s v="Q2 -2025"/>
    <d v="2025-04-19T00:00:00"/>
    <d v="2025-04-19T00:00:00"/>
    <n v="9"/>
    <x v="1"/>
    <s v="South Africa"/>
    <s v="Durban"/>
    <s v="Africa&gt;South Africa&gt;Durban"/>
    <s v="Enterprise"/>
    <s v="Unspecified"/>
    <x v="10"/>
    <s v="Networking"/>
    <s v="NET-5270"/>
    <n v="113.74"/>
    <n v="165.7"/>
    <n v="165.7"/>
    <s v="Low"/>
    <n v="0.124"/>
    <n v="0.124"/>
    <n v="13"/>
    <n v="1886.9915999999998"/>
    <n v="1478.62"/>
    <n v="408.37159999999994"/>
    <n v="0.21641410592394794"/>
    <d v="2023-01-07T00:00:00"/>
    <n v="27"/>
    <n v="0"/>
  </r>
  <r>
    <s v="ORD-2025-306903"/>
    <d v="2025-06-24T00:00:00"/>
    <d v="2025-06-24T00:00:00"/>
    <s v="Q2 -2025"/>
    <d v="2025-07-23T00:00:00"/>
    <d v="2025-07-23T00:00:00"/>
    <n v="29"/>
    <x v="2"/>
    <s v="Canada"/>
    <s v="Vancouver"/>
    <s v="Americas&gt;Canada&gt;Vancouver"/>
    <s v="Non-Profit"/>
    <s v="Marketplace"/>
    <x v="9"/>
    <s v="Printers"/>
    <s v="PRN-3775"/>
    <n v="255.4"/>
    <n v="322.70999999999998"/>
    <n v="322.70999999999998"/>
    <s v="Low"/>
    <n v="0.115"/>
    <n v="0.115"/>
    <n v="16"/>
    <n v="4569.5735999999997"/>
    <n v="4086.4"/>
    <n v="483.17359999999962"/>
    <n v="0.10573713048412212"/>
    <d v="2023-01-02T00:00:00"/>
    <n v="29"/>
    <n v="0"/>
  </r>
  <r>
    <s v="ORD-2025-312803"/>
    <d v="2025-06-24T00:00:00"/>
    <d v="2025-06-24T00:00:00"/>
    <s v="Q2 -2025"/>
    <d v="2025-07-14T00:00:00"/>
    <d v="2025-07-14T00:00:00"/>
    <n v="20"/>
    <x v="1"/>
    <s v="South Africa"/>
    <s v="Johannesburg"/>
    <s v="Africa&gt;South Africa&gt;Johannesburg"/>
    <s v="Enterprise"/>
    <s v="Marketplace"/>
    <x v="5"/>
    <s v="Laptops"/>
    <s v="LAP-1308"/>
    <n v="1151.06"/>
    <n v="2821.36"/>
    <n v="2821.36"/>
    <s v="High"/>
    <n v="0.248"/>
    <n v="0.248"/>
    <n v="20"/>
    <n v="42433.254400000005"/>
    <n v="23021.199999999997"/>
    <n v="19412.054400000008"/>
    <n v="0.45747267501594235"/>
    <d v="2023-01-07T00:00:00"/>
    <n v="29"/>
    <n v="1"/>
  </r>
  <r>
    <s v="ORD-2025-323492"/>
    <d v="2025-04-27T00:00:00"/>
    <d v="2025-04-27T00:00:00"/>
    <s v="Q2 -2025"/>
    <d v="2025-05-27T00:00:00"/>
    <d v="2025-05-27T00:00:00"/>
    <n v="30"/>
    <x v="0"/>
    <s v="India"/>
    <s v="Unknown"/>
    <s v="Asia&gt;India&gt;Unknown"/>
    <s v="Enterprise"/>
    <s v="Marketplace"/>
    <x v="7"/>
    <s v="Phones"/>
    <s v="PHN-3854"/>
    <n v="481.32"/>
    <n v="1135.99"/>
    <n v="1135.99"/>
    <s v="Medium"/>
    <n v="0.14499999999999999"/>
    <n v="0.14499999999999999"/>
    <n v="5"/>
    <n v="4856.35725"/>
    <n v="2406.6"/>
    <n v="2449.7572500000001"/>
    <n v="0.50444337677175621"/>
    <d v="2023-01-29T00:00:00"/>
    <n v="26"/>
    <n v="0"/>
  </r>
  <r>
    <s v="ORD-2025-328504"/>
    <d v="2025-01-27T00:00:00"/>
    <d v="2025-01-27T00:00:00"/>
    <s v="Q1 -2025"/>
    <d v="2025-02-15T00:00:00"/>
    <d v="2025-02-15T00:00:00"/>
    <n v="19"/>
    <x v="0"/>
    <s v="China"/>
    <s v="Shenzhen"/>
    <s v="Asia&gt;China&gt;Shenzhen"/>
    <s v="Non-Profit"/>
    <s v="Direct"/>
    <x v="11"/>
    <s v="Phones"/>
    <s v="PHN-8368"/>
    <n v="1253.22"/>
    <n v="3104.71"/>
    <n v="3104.71"/>
    <s v="High"/>
    <n v="0"/>
    <n v="0"/>
    <n v="17"/>
    <n v="52780.07"/>
    <n v="21304.74"/>
    <n v="31475.329999999998"/>
    <n v="0.59634877331538205"/>
    <d v="2023-01-12T00:00:00"/>
    <n v="24"/>
    <n v="0"/>
  </r>
  <r>
    <s v="ORD-2025-330203"/>
    <d v="2025-03-25T00:00:00"/>
    <d v="2025-03-25T00:00:00"/>
    <s v="Q1 -2025"/>
    <d v="2025-04-17T00:00:00"/>
    <d v="2025-04-17T00:00:00"/>
    <n v="23"/>
    <x v="3"/>
    <s v="United Kingdom"/>
    <s v="London"/>
    <s v="Europe&gt;United Kingdom&gt;London"/>
    <s v="Consumer"/>
    <s v="Retail"/>
    <x v="7"/>
    <s v="Networking"/>
    <s v="NET-7166"/>
    <n v="1421.19"/>
    <n v="1808.26"/>
    <n v="1808.26"/>
    <s v="High"/>
    <n v="0.104"/>
    <n v="0.104"/>
    <n v="13"/>
    <n v="21062.61248"/>
    <n v="18475.47"/>
    <n v="2587.1424799999986"/>
    <n v="0.12283103449093123"/>
    <d v="2023-01-19T00:00:00"/>
    <n v="26"/>
    <n v="0"/>
  </r>
  <r>
    <s v="ORD-2025-331237"/>
    <d v="2025-03-24T00:00:00"/>
    <d v="2025-03-24T00:00:00"/>
    <s v="Q1 -2025"/>
    <d v="2025-03-25T00:00:00"/>
    <d v="2025-03-25T00:00:00"/>
    <n v="1"/>
    <x v="0"/>
    <s v="China"/>
    <s v="Beijing"/>
    <s v="Asia&gt;China&gt;Beijing"/>
    <s v="Non-Profit"/>
    <s v="Online"/>
    <x v="10"/>
    <s v="Networking"/>
    <s v="NET-8329"/>
    <n v="1133.03"/>
    <n v="1921.51"/>
    <n v="1921.51"/>
    <s v="High"/>
    <n v="0.10100000000000001"/>
    <n v="0.10100000000000001"/>
    <n v="5"/>
    <n v="8637.1874499999994"/>
    <n v="5665.15"/>
    <n v="2972.0374499999998"/>
    <n v="0.3440978289755654"/>
    <d v="2023-01-12T00:00:00"/>
    <n v="26"/>
    <n v="0"/>
  </r>
  <r>
    <s v="ORD-2025-332931"/>
    <d v="2025-02-15T00:00:00"/>
    <d v="2025-02-15T00:00:00"/>
    <s v="Q1 -2025"/>
    <d v="2025-03-01T00:00:00"/>
    <d v="2025-03-01T00:00:00"/>
    <n v="14"/>
    <x v="1"/>
    <s v="Kenya"/>
    <s v="Mombasa"/>
    <s v="Africa&gt;Kenya&gt;Mombasa"/>
    <s v="Education"/>
    <s v="Direct"/>
    <x v="11"/>
    <s v="Accessories"/>
    <s v="ACC-5144"/>
    <n v="1162.8599999999999"/>
    <n v="1447.68"/>
    <n v="1447.68"/>
    <s v="Medium"/>
    <n v="8.6999999999999994E-2"/>
    <n v="8.6999999999999994E-2"/>
    <n v="12"/>
    <n v="15860.782080000001"/>
    <n v="13954.32"/>
    <n v="1906.4620800000012"/>
    <n v="0.12019975247021369"/>
    <d v="2023-01-20T00:00:00"/>
    <n v="24"/>
    <n v="0"/>
  </r>
  <r>
    <s v="ORD-2025-337268"/>
    <d v="2025-02-16T00:00:00"/>
    <d v="2025-02-16T00:00:00"/>
    <s v="Q1 -2025"/>
    <d v="2025-03-17T00:00:00"/>
    <d v="2025-03-17T00:00:00"/>
    <n v="29"/>
    <x v="3"/>
    <s v="Germany"/>
    <s v="Munich"/>
    <s v="Europe&gt;Germany&gt;Munich"/>
    <s v="Consumer"/>
    <s v="Retail"/>
    <x v="11"/>
    <s v="Accessories"/>
    <s v="ACC-5150"/>
    <n v="730.42"/>
    <n v="956.7"/>
    <n v="956.7"/>
    <s v="Medium"/>
    <n v="4.2000000000000003E-2"/>
    <n v="4.2000000000000003E-2"/>
    <n v="22"/>
    <n v="20163.409200000002"/>
    <n v="16069.24"/>
    <n v="4094.1692000000021"/>
    <n v="0.20304945256975698"/>
    <d v="2023-01-22T00:00:00"/>
    <n v="24"/>
    <n v="0"/>
  </r>
  <r>
    <s v="ORD-2025-354346"/>
    <d v="2025-01-09T00:00:00"/>
    <d v="2025-01-09T00:00:00"/>
    <s v="Q1 -2025"/>
    <d v="2025-01-15T00:00:00"/>
    <d v="2025-01-15T00:00:00"/>
    <n v="6"/>
    <x v="0"/>
    <s v="China"/>
    <s v="Beijing"/>
    <s v="Asia&gt;China&gt;Beijing"/>
    <s v="Education"/>
    <s v="Online"/>
    <x v="14"/>
    <s v="Phones"/>
    <s v="PHN-2875"/>
    <n v="304.77999999999997"/>
    <n v="537.27"/>
    <n v="537.27"/>
    <s v="Low"/>
    <n v="0.187"/>
    <n v="0.187"/>
    <n v="8"/>
    <n v="3494.4040799999998"/>
    <n v="2438.2399999999998"/>
    <n v="1056.16408"/>
    <n v="0.3022444044307549"/>
    <d v="2023-01-12T00:00:00"/>
    <n v="23"/>
    <n v="0"/>
  </r>
  <r>
    <s v="ORD-2025-364852"/>
    <d v="2025-05-18T00:00:00"/>
    <d v="2025-05-18T00:00:00"/>
    <s v="Q2 -2025"/>
    <d v="2025-06-09T00:00:00"/>
    <d v="2025-06-09T00:00:00"/>
    <n v="22"/>
    <x v="2"/>
    <s v="USA"/>
    <s v="New York"/>
    <s v="Americas&gt;USA&gt;New York"/>
    <s v="Consumer"/>
    <s v="Retail"/>
    <x v="7"/>
    <s v="Networking"/>
    <s v="NET-3749"/>
    <n v="382.96"/>
    <n v="552.84"/>
    <n v="552.84"/>
    <s v="Low"/>
    <n v="0.17599999999999999"/>
    <n v="0.17599999999999999"/>
    <n v="8"/>
    <n v="3644.3212800000006"/>
    <n v="3063.68"/>
    <n v="580.64128000000073"/>
    <n v="0.15932768693763483"/>
    <d v="2023-01-13T00:00:00"/>
    <n v="28"/>
    <n v="0"/>
  </r>
  <r>
    <s v="ORD-2025-398335"/>
    <d v="2025-06-01T00:00:00"/>
    <d v="2025-06-01T00:00:00"/>
    <s v="Q2 -2025"/>
    <d v="2025-06-27T00:00:00"/>
    <d v="2025-06-27T00:00:00"/>
    <n v="26"/>
    <x v="3"/>
    <s v="Germany"/>
    <s v="Munich"/>
    <s v="Europe&gt;Germany&gt;Munich"/>
    <s v="Consumer"/>
    <s v="Distributor"/>
    <x v="1"/>
    <s v="Laptops"/>
    <s v="LAP-1619"/>
    <n v="1362.31"/>
    <n v="3294.57"/>
    <n v="3294.57"/>
    <s v="High"/>
    <n v="0.113"/>
    <n v="0.113"/>
    <n v="7"/>
    <n v="20455.985130000001"/>
    <n v="9536.17"/>
    <n v="10919.815130000001"/>
    <n v="0.5338200561157721"/>
    <d v="2023-01-22T00:00:00"/>
    <n v="28"/>
    <n v="0"/>
  </r>
  <r>
    <s v="ORD-2025-411385"/>
    <d v="2025-06-05T00:00:00"/>
    <d v="2025-06-05T00:00:00"/>
    <s v="Q2 -2025"/>
    <d v="2025-06-14T00:00:00"/>
    <d v="2025-06-14T00:00:00"/>
    <n v="9"/>
    <x v="0"/>
    <s v="India"/>
    <s v="Delhi"/>
    <s v="Asia&gt;India&gt;Delhi"/>
    <s v="Non-Profit"/>
    <s v="Retail"/>
    <x v="0"/>
    <s v="Accessories"/>
    <s v="ACC-2902"/>
    <n v="618.69000000000005"/>
    <n v="796.15"/>
    <n v="796.15"/>
    <s v="Medium"/>
    <n v="0.09"/>
    <n v="0.09"/>
    <n v="11"/>
    <n v="7969.4615000000003"/>
    <n v="6805.59"/>
    <n v="1163.8715000000002"/>
    <n v="0.14604142325049191"/>
    <d v="2023-01-29T00:00:00"/>
    <n v="28"/>
    <n v="0"/>
  </r>
  <r>
    <s v="ORD-2025-415018"/>
    <d v="2025-01-22T00:00:00"/>
    <d v="2025-01-22T00:00:00"/>
    <s v="Q1 -2025"/>
    <d v="2025-02-04T00:00:00"/>
    <d v="2025-02-04T00:00:00"/>
    <n v="13"/>
    <x v="0"/>
    <s v="Japan"/>
    <s v="Tokyo"/>
    <s v="Asia&gt;Japan&gt;Tokyo"/>
    <s v="Small Business"/>
    <s v="Distributor"/>
    <x v="11"/>
    <s v="Printers"/>
    <s v="PRN-2991"/>
    <n v="122.29"/>
    <n v="224.95"/>
    <n v="224.95"/>
    <s v="Low"/>
    <n v="0.153"/>
    <n v="0.153"/>
    <n v="28"/>
    <n v="5334.9141999999993"/>
    <n v="3424.1200000000003"/>
    <n v="1910.7941999999989"/>
    <n v="0.3581677471026618"/>
    <d v="2023-03-03T00:00:00"/>
    <n v="22"/>
    <n v="0"/>
  </r>
  <r>
    <s v="ORD-2025-417336"/>
    <d v="2025-08-30T00:00:00"/>
    <d v="2025-08-30T00:00:00"/>
    <s v="Q3 -2025"/>
    <d v="2025-09-03T00:00:00"/>
    <d v="2025-09-03T00:00:00"/>
    <n v="4"/>
    <x v="3"/>
    <s v="France"/>
    <s v="Marseille"/>
    <s v="Europe&gt;France&gt;Marseille"/>
    <s v="Small Business"/>
    <s v="Marketplace"/>
    <x v="5"/>
    <s v="Laptops"/>
    <s v="LAP-3220"/>
    <n v="1286.56"/>
    <n v="2777.35"/>
    <n v="2777.35"/>
    <s v="High"/>
    <n v="0.13200000000000001"/>
    <n v="0.13200000000000001"/>
    <n v="15"/>
    <n v="36161.097000000002"/>
    <n v="19298.399999999998"/>
    <n v="16862.697000000004"/>
    <n v="0.46632150014696744"/>
    <d v="2023-01-10T00:00:00"/>
    <n v="31"/>
    <n v="0"/>
  </r>
  <r>
    <s v="ORD-2025-417942"/>
    <d v="2025-06-09T00:00:00"/>
    <d v="2025-06-09T00:00:00"/>
    <s v="Q2 -2025"/>
    <d v="2025-06-24T00:00:00"/>
    <d v="2025-06-24T00:00:00"/>
    <n v="15"/>
    <x v="0"/>
    <s v="Japan"/>
    <s v="Nagoya"/>
    <s v="Asia&gt;Japan&gt;Nagoya"/>
    <s v="Corporate"/>
    <s v="Direct"/>
    <x v="12"/>
    <s v="Phones"/>
    <s v="PHN-5675"/>
    <n v="400.39"/>
    <n v="712.75"/>
    <n v="712.75"/>
    <s v="Low"/>
    <n v="0.115"/>
    <n v="0.115"/>
    <n v="19"/>
    <n v="11984.891250000001"/>
    <n v="7607.41"/>
    <n v="4377.4812500000007"/>
    <n v="0.36524997671547504"/>
    <d v="2023-03-03T00:00:00"/>
    <n v="27"/>
    <n v="0"/>
  </r>
  <r>
    <s v="ORD-2025-418232"/>
    <d v="2025-08-01T00:00:00"/>
    <d v="2025-08-01T00:00:00"/>
    <s v="Q3 -2025"/>
    <d v="2025-08-21T00:00:00"/>
    <d v="2025-08-21T00:00:00"/>
    <n v="20"/>
    <x v="0"/>
    <s v="China"/>
    <s v="Shanghai"/>
    <s v="Asia&gt;China&gt;Shanghai"/>
    <s v="Corporate"/>
    <s v="Direct"/>
    <x v="9"/>
    <s v="Phones"/>
    <s v="PHN-9234"/>
    <n v="1220.4100000000001"/>
    <n v="2552.2199999999998"/>
    <n v="2552.2199999999998"/>
    <s v="High"/>
    <n v="0.18099999999999999"/>
    <n v="0.18099999999999999"/>
    <n v="14"/>
    <n v="29263.754519999995"/>
    <n v="17085.740000000002"/>
    <n v="12178.014519999993"/>
    <n v="0.41614668793360271"/>
    <d v="2023-01-12T00:00:00"/>
    <n v="30"/>
    <n v="0"/>
  </r>
  <r>
    <s v="ORD-2025-419532"/>
    <d v="2025-08-06T00:00:00"/>
    <d v="2025-08-06T00:00:00"/>
    <s v="Q3 -2025"/>
    <d v="2025-08-23T00:00:00"/>
    <d v="2025-08-23T00:00:00"/>
    <n v="17"/>
    <x v="2"/>
    <s v="Brazil"/>
    <s v="Brasília"/>
    <s v="Americas&gt;Brazil&gt;Brasília"/>
    <s v="Consumer"/>
    <s v="Distributor"/>
    <x v="0"/>
    <s v="Monitors"/>
    <s v="MON-4317"/>
    <n v="86.64"/>
    <n v="213.06"/>
    <n v="213.06"/>
    <s v="Low"/>
    <n v="0.21199999999999999"/>
    <n v="0.21199999999999999"/>
    <n v="11"/>
    <n v="1846.8040799999999"/>
    <n v="953.04"/>
    <n v="893.76407999999992"/>
    <n v="0.48395175735154322"/>
    <d v="2023-01-29T00:00:00"/>
    <n v="30"/>
    <n v="1"/>
  </r>
  <r>
    <s v="ORD-2025-440093"/>
    <d v="2025-04-16T00:00:00"/>
    <d v="2025-04-16T00:00:00"/>
    <s v="Q2 -2025"/>
    <d v="2025-04-26T00:00:00"/>
    <d v="2025-04-26T00:00:00"/>
    <n v="10"/>
    <x v="1"/>
    <s v="Nigeria"/>
    <s v="Port Harcourt"/>
    <s v="Africa&gt;Nigeria&gt;Port Harcourt"/>
    <s v="Enterprise"/>
    <s v="Marketplace"/>
    <x v="3"/>
    <s v="Laptops"/>
    <s v="LAP-3490"/>
    <n v="1457.44"/>
    <n v="1996.81"/>
    <n v="1996.81"/>
    <s v="High"/>
    <n v="0.126"/>
    <n v="0.126"/>
    <n v="23"/>
    <n v="40139.874619999995"/>
    <n v="33521.120000000003"/>
    <n v="6618.7546199999924"/>
    <n v="0.16489225944672353"/>
    <d v="2023-01-15T00:00:00"/>
    <n v="27"/>
    <n v="0"/>
  </r>
  <r>
    <s v="ORD-2025-460466"/>
    <d v="2025-02-07T00:00:00"/>
    <d v="2025-02-07T00:00:00"/>
    <s v="Q1 -2025"/>
    <d v="2025-02-16T00:00:00"/>
    <d v="2025-02-16T00:00:00"/>
    <n v="9"/>
    <x v="1"/>
    <s v="Nigeria"/>
    <s v="Lagos"/>
    <s v="Africa&gt;Nigeria&gt;Lagos"/>
    <s v="Small Business"/>
    <s v="Distributor"/>
    <x v="14"/>
    <s v="Printers"/>
    <s v="PRN-1882"/>
    <n v="90.68"/>
    <n v="118.17"/>
    <n v="118.17"/>
    <s v="Low"/>
    <n v="0.13500000000000001"/>
    <n v="0.13500000000000001"/>
    <n v="21"/>
    <n v="2146.5580500000001"/>
    <n v="1904.2800000000002"/>
    <n v="242.27804999999989"/>
    <n v="0.11286815653552899"/>
    <d v="2023-01-15T00:00:00"/>
    <n v="24"/>
    <n v="0"/>
  </r>
  <r>
    <s v="ORD-2025-473192"/>
    <d v="2025-03-30T00:00:00"/>
    <d v="2025-03-30T00:00:00"/>
    <s v="Q1 -2025"/>
    <d v="2025-04-29T00:00:00"/>
    <d v="2025-04-29T00:00:00"/>
    <n v="30"/>
    <x v="1"/>
    <s v="South Africa"/>
    <s v="Durban"/>
    <s v="Africa&gt;South Africa&gt;Durban"/>
    <s v="Consumer"/>
    <s v="Marketplace"/>
    <x v="5"/>
    <s v="Monitors"/>
    <s v="MON-7106"/>
    <n v="194.6"/>
    <n v="314.87"/>
    <n v="314.87"/>
    <s v="Low"/>
    <n v="0.29299999999999998"/>
    <n v="0.29299999999999998"/>
    <n v="25"/>
    <n v="5565.3272500000003"/>
    <n v="4865"/>
    <n v="700.32725000000028"/>
    <n v="0.1258375686712763"/>
    <d v="2023-01-07T00:00:00"/>
    <n v="26"/>
    <n v="1"/>
  </r>
  <r>
    <s v="ORD-2025-474368"/>
    <d v="2025-04-27T00:00:00"/>
    <d v="2025-04-27T00:00:00"/>
    <s v="Q2 -2025"/>
    <d v="2025-05-17T00:00:00"/>
    <d v="2025-05-17T00:00:00"/>
    <n v="20"/>
    <x v="2"/>
    <s v="USA"/>
    <s v="Austin"/>
    <s v="Americas&gt;USA&gt;Austin"/>
    <s v="Corporate"/>
    <s v="Direct"/>
    <x v="13"/>
    <s v="Phones"/>
    <s v="PHN-8776"/>
    <n v="932.26"/>
    <n v="1624.67"/>
    <n v="1624.67"/>
    <s v="High"/>
    <n v="0.23499999999999999"/>
    <n v="0.23499999999999999"/>
    <n v="28"/>
    <n v="34800.431400000001"/>
    <n v="26103.279999999999"/>
    <n v="8697.1514000000025"/>
    <n v="0.24991504559337163"/>
    <d v="2023-01-13T00:00:00"/>
    <n v="27"/>
    <n v="1"/>
  </r>
  <r>
    <s v="ORD-2025-474710"/>
    <d v="2025-07-24T00:00:00"/>
    <d v="2025-07-24T00:00:00"/>
    <s v="Q3 -2025"/>
    <d v="2025-08-06T00:00:00"/>
    <d v="2025-08-06T00:00:00"/>
    <n v="13"/>
    <x v="1"/>
    <s v="South Africa"/>
    <s v="Johannesburg"/>
    <s v="Africa&gt;South Africa&gt;Johannesburg"/>
    <s v="Education"/>
    <s v="Marketplace"/>
    <x v="6"/>
    <s v="Networking"/>
    <s v="NET-7966"/>
    <n v="1463.9"/>
    <n v="2633.02"/>
    <n v="2633.02"/>
    <s v="High"/>
    <n v="8.4000000000000005E-2"/>
    <n v="8.4000000000000005E-2"/>
    <n v="4"/>
    <n v="9647.3852800000004"/>
    <n v="5855.6"/>
    <n v="3791.7852800000001"/>
    <n v="0.39303761277791527"/>
    <d v="2023-01-07T00:00:00"/>
    <n v="30"/>
    <n v="0"/>
  </r>
  <r>
    <s v="ORD-2025-480172"/>
    <d v="2025-06-17T00:00:00"/>
    <d v="2025-06-17T00:00:00"/>
    <s v="Q2 -2025"/>
    <d v="2025-07-05T00:00:00"/>
    <d v="2025-07-05T00:00:00"/>
    <n v="18"/>
    <x v="0"/>
    <s v="India"/>
    <s v="Delhi"/>
    <s v="Asia&gt;India&gt;Delhi"/>
    <s v="Consumer"/>
    <s v="Marketplace"/>
    <x v="11"/>
    <s v="Laptops"/>
    <s v="LAP-1990"/>
    <n v="982.93"/>
    <n v="2299.3000000000002"/>
    <n v="2299.3000000000002"/>
    <s v="High"/>
    <n v="0.113"/>
    <n v="0.113"/>
    <n v="6"/>
    <n v="12236.874600000001"/>
    <n v="5897.58"/>
    <n v="6339.2946000000011"/>
    <n v="0.51804850562087157"/>
    <d v="2023-01-29T00:00:00"/>
    <n v="28"/>
    <n v="0"/>
  </r>
  <r>
    <s v="ORD-2025-484073"/>
    <d v="2025-02-19T00:00:00"/>
    <d v="2025-02-19T00:00:00"/>
    <s v="Q1 -2025"/>
    <d v="2025-03-09T00:00:00"/>
    <d v="2025-03-09T00:00:00"/>
    <n v="18"/>
    <x v="0"/>
    <s v="India"/>
    <s v="Delhi"/>
    <s v="Asia&gt;India&gt;Delhi"/>
    <s v="Small Business"/>
    <s v="Direct"/>
    <x v="2"/>
    <s v="Monitors"/>
    <s v="MON-1436"/>
    <n v="325.87"/>
    <n v="538.79"/>
    <n v="538.79"/>
    <s v="Low"/>
    <n v="0.17399999999999999"/>
    <n v="0.17399999999999999"/>
    <n v="16"/>
    <n v="7120.6486400000003"/>
    <n v="5213.92"/>
    <n v="1906.7286400000003"/>
    <n v="0.26777457172778013"/>
    <d v="2023-01-29T00:00:00"/>
    <n v="24"/>
    <n v="0"/>
  </r>
  <r>
    <s v="ORD-2025-485946"/>
    <d v="2025-06-15T00:00:00"/>
    <d v="2025-06-15T00:00:00"/>
    <s v="Q2 -2025"/>
    <d v="2025-06-30T00:00:00"/>
    <d v="2025-06-30T00:00:00"/>
    <n v="15"/>
    <x v="1"/>
    <s v="South Africa"/>
    <s v="Johannesburg"/>
    <s v="Africa&gt;South Africa&gt;Johannesburg"/>
    <s v="Small Business"/>
    <s v="Direct"/>
    <x v="14"/>
    <s v="Monitors"/>
    <s v="MON-5891"/>
    <n v="1487.59"/>
    <n v="1480.83"/>
    <n v="1480.83"/>
    <s v="High"/>
    <n v="8.9999999999999993E-3"/>
    <n v="8.9999999999999993E-3"/>
    <n v="11"/>
    <n v="16142.527829999999"/>
    <n v="16363.49"/>
    <n v="-220.9621700000007"/>
    <n v="-1.3688201273492908E-2"/>
    <d v="2023-01-07T00:00:00"/>
    <n v="29"/>
    <n v="0"/>
  </r>
  <r>
    <s v="ORD-2025-486350"/>
    <d v="2025-05-27T00:00:00"/>
    <d v="2025-05-27T00:00:00"/>
    <s v="Q2 -2025"/>
    <d v="2025-06-08T00:00:00"/>
    <d v="2025-06-08T00:00:00"/>
    <n v="12"/>
    <x v="0"/>
    <s v="Japan"/>
    <s v="Osaka"/>
    <s v="Asia&gt;Japan&gt;Osaka"/>
    <s v="Corporate"/>
    <s v="Retail"/>
    <x v="7"/>
    <s v="Accessories"/>
    <s v="ACC-1249"/>
    <n v="653.6"/>
    <n v="842.09"/>
    <n v="842.09"/>
    <s v="Medium"/>
    <n v="9.8000000000000004E-2"/>
    <n v="9.8000000000000004E-2"/>
    <n v="19"/>
    <n v="14431.738420000001"/>
    <n v="12418.4"/>
    <n v="2013.3384200000019"/>
    <n v="0.13950768517324622"/>
    <d v="2023-03-03T00:00:00"/>
    <n v="26"/>
    <n v="0"/>
  </r>
  <r>
    <s v="ORD-2025-487025"/>
    <d v="2025-04-11T00:00:00"/>
    <d v="2025-04-11T00:00:00"/>
    <s v="Q2 -2025"/>
    <d v="2025-05-04T00:00:00"/>
    <d v="2025-05-04T00:00:00"/>
    <n v="23"/>
    <x v="0"/>
    <s v="Japan"/>
    <s v="Osaka"/>
    <s v="Asia&gt;Japan&gt;Osaka"/>
    <s v="Small Business"/>
    <s v="Online"/>
    <x v="8"/>
    <s v="Components"/>
    <s v="CMP-3743"/>
    <n v="786.2"/>
    <n v="1075.3"/>
    <n v="1075.3"/>
    <s v="Medium"/>
    <n v="0.08"/>
    <n v="0.08"/>
    <n v="9"/>
    <n v="8903.4839999999986"/>
    <n v="7075.8"/>
    <n v="1827.6839999999984"/>
    <n v="0.20527739478163815"/>
    <d v="2023-03-03T00:00:00"/>
    <n v="25"/>
    <n v="0"/>
  </r>
  <r>
    <s v="ORD-2025-487261"/>
    <d v="2025-03-06T00:00:00"/>
    <d v="2025-03-06T00:00:00"/>
    <s v="Q1 -2025"/>
    <d v="2025-03-31T00:00:00"/>
    <d v="2025-03-31T00:00:00"/>
    <n v="25"/>
    <x v="2"/>
    <s v="Brazil"/>
    <s v="Brasília"/>
    <s v="Americas&gt;Brazil&gt;Brasília"/>
    <s v="Non-Profit"/>
    <s v="Online"/>
    <x v="5"/>
    <s v="Components"/>
    <s v="CMP-3693"/>
    <n v="331.57"/>
    <n v="548.4"/>
    <n v="548.4"/>
    <s v="Low"/>
    <n v="9.4E-2"/>
    <n v="9.4E-2"/>
    <n v="10"/>
    <n v="4968.5039999999999"/>
    <n v="3315.7"/>
    <n v="1652.8040000000001"/>
    <n v="0.33265626836568918"/>
    <d v="2023-01-29T00:00:00"/>
    <n v="25"/>
    <n v="0"/>
  </r>
  <r>
    <s v="ORD-2025-488349"/>
    <d v="2025-04-23T00:00:00"/>
    <d v="2025-04-23T00:00:00"/>
    <s v="Q2 -2025"/>
    <d v="2025-04-22T00:00:00"/>
    <d v="2025-04-29T00:00:00"/>
    <n v="6"/>
    <x v="2"/>
    <s v="USA"/>
    <s v="San Francisco"/>
    <s v="Americas&gt;USA&gt;San Francisco"/>
    <s v="Non-Profit"/>
    <s v="Distributor"/>
    <x v="6"/>
    <s v="Monitors"/>
    <s v="MON-3371"/>
    <n v="23.24"/>
    <n v="44.57"/>
    <n v="44.57"/>
    <s v="Low"/>
    <n v="0.215"/>
    <n v="0.215"/>
    <n v="15"/>
    <n v="524.81174999999996"/>
    <n v="348.59999999999997"/>
    <n v="176.21174999999999"/>
    <n v="0.33576182316802167"/>
    <d v="2023-01-13T00:00:00"/>
    <n v="27"/>
    <n v="1"/>
  </r>
  <r>
    <s v="ORD-2025-496178"/>
    <d v="2025-07-27T00:00:00"/>
    <d v="2025-07-27T00:00:00"/>
    <s v="Q3 -2025"/>
    <d v="2025-08-15T00:00:00"/>
    <d v="2025-08-15T00:00:00"/>
    <n v="19"/>
    <x v="0"/>
    <s v="Japan"/>
    <s v="Tokyo"/>
    <s v="Asia&gt;Japan&gt;Tokyo"/>
    <s v="Small Business"/>
    <s v="Marketplace"/>
    <x v="5"/>
    <s v="Components"/>
    <s v="CMP-5658"/>
    <n v="275.43"/>
    <n v="608.36"/>
    <n v="608.36"/>
    <s v="Low"/>
    <n v="0.25700000000000001"/>
    <n v="0.25700000000000001"/>
    <n v="4"/>
    <n v="1808.04592"/>
    <n v="1101.72"/>
    <n v="706.32592"/>
    <n v="0.39065706915231446"/>
    <d v="2023-03-03T00:00:00"/>
    <n v="28"/>
    <n v="1"/>
  </r>
  <r>
    <s v="ORD-2025-501927"/>
    <d v="2025-03-03T00:00:00"/>
    <d v="2025-03-03T00:00:00"/>
    <s v="Q1 -2025"/>
    <d v="2025-03-24T00:00:00"/>
    <d v="2025-03-24T00:00:00"/>
    <n v="21"/>
    <x v="1"/>
    <s v="Nigeria"/>
    <s v="Abuja"/>
    <s v="Africa&gt;Nigeria&gt;Abuja"/>
    <s v="Enterprise"/>
    <s v="Direct"/>
    <x v="7"/>
    <s v="Accessories"/>
    <s v="ACC-4056"/>
    <n v="555.95000000000005"/>
    <n v="468.09"/>
    <n v="468.09"/>
    <s v="Low"/>
    <n v="0.14199999999999999"/>
    <n v="0.14199999999999999"/>
    <n v="11"/>
    <n v="4417.8334199999999"/>
    <n v="6115.4500000000007"/>
    <n v="-1697.6165800000008"/>
    <n v="-0.38426450674095375"/>
    <d v="2023-01-15T00:00:00"/>
    <n v="25"/>
    <n v="0"/>
  </r>
  <r>
    <s v="ORD-2025-509940"/>
    <d v="2025-05-16T00:00:00"/>
    <d v="2025-05-16T00:00:00"/>
    <s v="Q2 -2025"/>
    <d v="2025-05-27T00:00:00"/>
    <d v="2025-05-27T00:00:00"/>
    <n v="11"/>
    <x v="0"/>
    <s v="China"/>
    <s v="Beijing"/>
    <s v="Asia&gt;China&gt;Beijing"/>
    <s v="Enterprise"/>
    <s v="Online"/>
    <x v="3"/>
    <s v="Phones"/>
    <s v="PHN-3800"/>
    <n v="918.12"/>
    <n v="1337.69"/>
    <n v="1337.69"/>
    <s v="Medium"/>
    <n v="9.5000000000000001E-2"/>
    <n v="9.5000000000000001E-2"/>
    <n v="8"/>
    <n v="9684.8756000000012"/>
    <n v="7344.96"/>
    <n v="2339.9156000000012"/>
    <n v="0.24160512707050164"/>
    <d v="2023-01-12T00:00:00"/>
    <n v="28"/>
    <n v="0"/>
  </r>
  <r>
    <s v="ORD-2025-512310"/>
    <d v="2025-03-08T00:00:00"/>
    <d v="2025-03-08T00:00:00"/>
    <s v="Q1 -2025"/>
    <d v="2025-03-15T00:00:00"/>
    <d v="2025-03-15T00:00:00"/>
    <n v="7"/>
    <x v="0"/>
    <s v="India"/>
    <s v="Bengaluru"/>
    <s v="Asia&gt;India&gt;Bengaluru"/>
    <s v="Corporate"/>
    <s v="Distributor"/>
    <x v="4"/>
    <s v="Laptops"/>
    <s v="LAP-8119"/>
    <n v="475.66"/>
    <n v="529.14"/>
    <n v="529.14"/>
    <s v="Low"/>
    <n v="0.19600000000000001"/>
    <n v="0.19600000000000001"/>
    <n v="11"/>
    <n v="4679.7141600000004"/>
    <n v="5232.26"/>
    <n v="-552.54583999999977"/>
    <n v="-0.11807256193613323"/>
    <d v="2023-01-29T00:00:00"/>
    <n v="25"/>
    <n v="0"/>
  </r>
  <r>
    <s v="ORD-2025-515515"/>
    <d v="2025-01-03T00:00:00"/>
    <d v="2025-01-03T00:00:00"/>
    <s v="Q1 -2025"/>
    <d v="2025-01-23T00:00:00"/>
    <d v="2025-01-23T00:00:00"/>
    <n v="20"/>
    <x v="0"/>
    <s v="Japan"/>
    <s v="Osaka"/>
    <s v="Asia&gt;Japan&gt;Osaka"/>
    <s v="Corporate"/>
    <s v="Distributor"/>
    <x v="3"/>
    <s v="Phones"/>
    <s v="PHN-7019"/>
    <n v="908.6"/>
    <n v="691.37"/>
    <n v="691.37"/>
    <s v="Low"/>
    <n v="0.25"/>
    <n v="0.25"/>
    <n v="20"/>
    <n v="10370.549999999999"/>
    <n v="18172"/>
    <n v="-7801.4500000000007"/>
    <n v="-0.75226964818645115"/>
    <d v="2023-03-03T00:00:00"/>
    <n v="22"/>
    <n v="1"/>
  </r>
  <r>
    <s v="ORD-2025-526650"/>
    <d v="2025-04-27T00:00:00"/>
    <d v="2025-04-27T00:00:00"/>
    <s v="Q2 -2025"/>
    <d v="2025-05-25T00:00:00"/>
    <d v="2025-05-25T00:00:00"/>
    <n v="28"/>
    <x v="3"/>
    <s v="France"/>
    <s v="Paris"/>
    <s v="Europe&gt;France&gt;Paris"/>
    <s v="Small Business"/>
    <s v="Marketplace"/>
    <x v="9"/>
    <s v="Phones"/>
    <s v="PHN-8350"/>
    <n v="603.45000000000005"/>
    <n v="1244.08"/>
    <n v="1244.08"/>
    <s v="Medium"/>
    <n v="0.2"/>
    <n v="0.2"/>
    <n v="11"/>
    <n v="10947.904"/>
    <n v="6637.9500000000007"/>
    <n v="4309.9539999999997"/>
    <n v="0.39367846119220623"/>
    <d v="2023-01-10T00:00:00"/>
    <n v="27"/>
    <n v="0"/>
  </r>
  <r>
    <s v="ORD-2025-526752"/>
    <d v="2025-06-09T00:00:00"/>
    <d v="2025-06-09T00:00:00"/>
    <s v="Q2 -2025"/>
    <d v="2025-06-25T00:00:00"/>
    <d v="2025-06-25T00:00:00"/>
    <n v="16"/>
    <x v="0"/>
    <s v="India"/>
    <s v="Hyderabad"/>
    <s v="Asia&gt;India&gt;Hyderabad"/>
    <s v="Enterprise"/>
    <s v="Distributor"/>
    <x v="8"/>
    <s v="Phones"/>
    <s v="PHN-3482"/>
    <n v="527.33000000000004"/>
    <n v="911.72"/>
    <n v="911.72"/>
    <s v="Medium"/>
    <n v="0.14399999999999999"/>
    <n v="0.14399999999999999"/>
    <n v="25"/>
    <n v="19510.808000000001"/>
    <n v="13183.250000000002"/>
    <n v="6327.5579999999991"/>
    <n v="0.32431040272652978"/>
    <d v="2023-01-29T00:00:00"/>
    <n v="28"/>
    <n v="0"/>
  </r>
  <r>
    <s v="ORD-2025-532859"/>
    <d v="2025-03-11T00:00:00"/>
    <d v="2025-03-11T00:00:00"/>
    <s v="Q1 -2025"/>
    <d v="2025-03-27T00:00:00"/>
    <d v="2025-03-27T00:00:00"/>
    <n v="16"/>
    <x v="0"/>
    <s v="Japan"/>
    <s v="Tokyo"/>
    <s v="Asia&gt;Japan&gt;Tokyo"/>
    <s v="Enterprise"/>
    <s v="Distributor"/>
    <x v="12"/>
    <s v="Printers"/>
    <s v="PRN-5264"/>
    <n v="1317.58"/>
    <n v="1897.74"/>
    <n v="1897.74"/>
    <s v="High"/>
    <n v="8.1000000000000003E-2"/>
    <n v="8.1000000000000003E-2"/>
    <n v="6"/>
    <n v="10464.138360000001"/>
    <n v="7905.48"/>
    <n v="2558.6583600000013"/>
    <n v="0.24451687009230266"/>
    <d v="2023-03-03T00:00:00"/>
    <n v="24"/>
    <n v="0"/>
  </r>
  <r>
    <s v="ORD-2025-537785"/>
    <d v="2025-08-05T00:00:00"/>
    <d v="2025-08-05T00:00:00"/>
    <s v="Q3 -2025"/>
    <d v="2025-08-14T00:00:00"/>
    <d v="2025-08-14T00:00:00"/>
    <n v="9"/>
    <x v="3"/>
    <s v="United Kingdom"/>
    <s v="London"/>
    <s v="Europe&gt;United Kingdom&gt;London"/>
    <s v="Non-Profit"/>
    <s v="Direct"/>
    <x v="1"/>
    <s v="Components"/>
    <s v="CMP-6346"/>
    <n v="41.76"/>
    <n v="45.19"/>
    <n v="45.19"/>
    <s v="Low"/>
    <n v="0.17899999999999999"/>
    <n v="0.17899999999999999"/>
    <n v="23"/>
    <n v="853.32276999999988"/>
    <n v="960.4799999999999"/>
    <n v="-107.15723000000003"/>
    <n v="-0.12557643340514638"/>
    <d v="2023-01-19T00:00:00"/>
    <n v="30"/>
    <n v="0"/>
  </r>
  <r>
    <s v="ORD-2025-541048"/>
    <d v="2025-04-04T00:00:00"/>
    <d v="2025-04-04T00:00:00"/>
    <s v="Q2 -2025"/>
    <d v="2025-04-13T00:00:00"/>
    <d v="2025-04-13T00:00:00"/>
    <n v="9"/>
    <x v="3"/>
    <s v="Germany"/>
    <s v="Munich"/>
    <s v="Europe&gt;Germany&gt;Munich"/>
    <s v="Consumer"/>
    <s v="Marketplace"/>
    <x v="3"/>
    <s v="Phones"/>
    <s v="PHN-3803"/>
    <n v="7.02"/>
    <n v="6.28"/>
    <n v="6.28"/>
    <s v="Low"/>
    <n v="0.13400000000000001"/>
    <n v="0.13400000000000001"/>
    <n v="14"/>
    <n v="76.138720000000006"/>
    <n v="98.28"/>
    <n v="-22.141279999999995"/>
    <n v="-0.29080184169106066"/>
    <d v="2023-01-22T00:00:00"/>
    <n v="26"/>
    <n v="0"/>
  </r>
  <r>
    <s v="ORD-2025-541501"/>
    <d v="2025-07-22T00:00:00"/>
    <d v="2025-07-22T00:00:00"/>
    <s v="Q3 -2025"/>
    <d v="2025-08-18T00:00:00"/>
    <d v="2025-08-18T00:00:00"/>
    <n v="27"/>
    <x v="0"/>
    <s v="China"/>
    <s v="Shenzhen"/>
    <s v="Asia&gt;China&gt;Shenzhen"/>
    <s v="Non-Profit"/>
    <s v="Marketplace"/>
    <x v="8"/>
    <s v="Networking"/>
    <s v="NET-1804"/>
    <n v="547.32000000000005"/>
    <n v="419.17"/>
    <n v="419.17"/>
    <s v="Low"/>
    <n v="9.1999999999999998E-2"/>
    <n v="9.1999999999999998E-2"/>
    <n v="14"/>
    <n v="5328.4890400000004"/>
    <n v="7662.4800000000005"/>
    <n v="-2333.9909600000001"/>
    <n v="-0.43802116181137907"/>
    <d v="2023-01-12T00:00:00"/>
    <n v="30"/>
    <n v="0"/>
  </r>
  <r>
    <s v="ORD-2025-542939"/>
    <d v="2025-01-13T00:00:00"/>
    <d v="2025-01-13T00:00:00"/>
    <s v="Q1 -2025"/>
    <d v="2025-02-08T00:00:00"/>
    <d v="2025-02-08T00:00:00"/>
    <n v="26"/>
    <x v="3"/>
    <s v="France"/>
    <s v="Paris"/>
    <s v="Europe&gt;France&gt;Paris"/>
    <s v="Non-Profit"/>
    <s v="Unspecified"/>
    <x v="1"/>
    <s v="Monitors"/>
    <s v="MON-1593"/>
    <n v="594.74"/>
    <n v="1020.69"/>
    <n v="1020.69"/>
    <s v="Medium"/>
    <n v="0.21099999999999999"/>
    <n v="0.21099999999999999"/>
    <n v="6"/>
    <n v="4831.9464600000001"/>
    <n v="3568.44"/>
    <n v="1263.5064600000001"/>
    <n v="0.26149016146176424"/>
    <d v="2023-01-10T00:00:00"/>
    <n v="24"/>
    <n v="1"/>
  </r>
  <r>
    <s v="ORD-2025-548982"/>
    <d v="2025-04-07T00:00:00"/>
    <d v="2025-04-07T00:00:00"/>
    <s v="Q2 -2025"/>
    <d v="2025-04-11T00:00:00"/>
    <d v="2025-04-11T00:00:00"/>
    <n v="4"/>
    <x v="3"/>
    <s v="France"/>
    <s v="Lyon"/>
    <s v="Europe&gt;France&gt;Lyon"/>
    <s v="Education"/>
    <s v="Retail"/>
    <x v="1"/>
    <s v="Networking"/>
    <s v="NET-9716"/>
    <n v="754.77"/>
    <n v="1666.18"/>
    <n v="1666.18"/>
    <s v="Medium"/>
    <n v="0.13900000000000001"/>
    <n v="0.13900000000000001"/>
    <n v="14"/>
    <n v="20084.133720000002"/>
    <n v="10566.779999999999"/>
    <n v="9517.3537200000028"/>
    <n v="0.47387424584424653"/>
    <d v="2023-01-10T00:00:00"/>
    <n v="26"/>
    <n v="0"/>
  </r>
  <r>
    <s v="ORD-2025-564184"/>
    <d v="2025-01-29T00:00:00"/>
    <d v="2025-01-29T00:00:00"/>
    <s v="Q1 -2025"/>
    <d v="2025-02-06T00:00:00"/>
    <d v="2025-02-06T00:00:00"/>
    <n v="8"/>
    <x v="1"/>
    <s v="Kenya"/>
    <s v="Kisumu"/>
    <s v="Africa&gt;Kenya&gt;Kisumu"/>
    <s v="Education"/>
    <s v="Retail"/>
    <x v="12"/>
    <s v="Phones"/>
    <s v="PHN-1671"/>
    <n v="1445.27"/>
    <n v="2691.45"/>
    <n v="2691.45"/>
    <s v="High"/>
    <n v="0"/>
    <n v="0"/>
    <n v="9"/>
    <n v="24223.05"/>
    <n v="13007.43"/>
    <n v="11215.619999999999"/>
    <n v="0.46301436028906351"/>
    <d v="2023-01-20T00:00:00"/>
    <n v="24"/>
    <n v="0"/>
  </r>
  <r>
    <s v="ORD-2025-578007"/>
    <d v="2025-01-21T00:00:00"/>
    <d v="2025-01-21T00:00:00"/>
    <s v="Q1 -2025"/>
    <d v="2025-02-16T00:00:00"/>
    <d v="2025-02-16T00:00:00"/>
    <n v="26"/>
    <x v="3"/>
    <s v="France"/>
    <s v="Lyon"/>
    <s v="Europe&gt;France&gt;Lyon"/>
    <s v="Corporate"/>
    <s v="Distributor"/>
    <x v="2"/>
    <s v="Laptops"/>
    <s v="LAP-3779"/>
    <n v="204.11"/>
    <n v="236.87"/>
    <n v="236.87"/>
    <s v="Low"/>
    <n v="0.182"/>
    <n v="0.182"/>
    <n v="13"/>
    <n v="2518.8755800000004"/>
    <n v="2653.4300000000003"/>
    <n v="-134.55441999999994"/>
    <n v="-5.3418446337075494E-2"/>
    <d v="2023-01-10T00:00:00"/>
    <n v="24"/>
    <n v="0"/>
  </r>
  <r>
    <s v="ORD-2025-580047"/>
    <d v="2025-06-14T00:00:00"/>
    <d v="2025-06-14T00:00:00"/>
    <s v="Q2 -2025"/>
    <d v="2025-06-29T00:00:00"/>
    <d v="2025-06-29T00:00:00"/>
    <n v="15"/>
    <x v="1"/>
    <s v="Nigeria"/>
    <s v="Port Harcourt"/>
    <s v="Africa&gt;Nigeria&gt;Port Harcourt"/>
    <s v="Consumer"/>
    <s v="Marketplace"/>
    <x v="8"/>
    <s v="Accessories"/>
    <s v="ACC-3961"/>
    <n v="730.99"/>
    <n v="1242.8399999999999"/>
    <n v="1242.8399999999999"/>
    <s v="Medium"/>
    <n v="0.12"/>
    <n v="0.12"/>
    <n v="10"/>
    <n v="10936.992"/>
    <n v="7309.9"/>
    <n v="3627.0920000000006"/>
    <n v="0.33163524303574515"/>
    <d v="2023-01-15T00:00:00"/>
    <n v="28"/>
    <n v="0"/>
  </r>
  <r>
    <s v="ORD-2025-586799"/>
    <d v="2025-07-14T00:00:00"/>
    <d v="2025-07-14T00:00:00"/>
    <s v="Q3 -2025"/>
    <d v="2025-08-04T00:00:00"/>
    <d v="2025-08-04T00:00:00"/>
    <n v="21"/>
    <x v="2"/>
    <s v="Canada"/>
    <s v="Montreal"/>
    <s v="Americas&gt;Canada&gt;Montreal"/>
    <s v="Consumer"/>
    <s v="Online"/>
    <x v="7"/>
    <s v="Monitors"/>
    <s v="MON-7868"/>
    <n v="90.3"/>
    <n v="131.76"/>
    <n v="131.76"/>
    <s v="Low"/>
    <n v="0.10199999999999999"/>
    <n v="0.10199999999999999"/>
    <n v="15"/>
    <n v="1774.8072"/>
    <n v="1354.5"/>
    <n v="420.30719999999997"/>
    <n v="0.23681851189244668"/>
    <d v="2023-01-02T00:00:00"/>
    <n v="30"/>
    <n v="0"/>
  </r>
  <r>
    <s v="ORD-2025-588029"/>
    <d v="2025-09-14T00:00:00"/>
    <d v="2025-09-14T00:00:00"/>
    <s v="Q3 -2025"/>
    <d v="2025-09-23T00:00:00"/>
    <d v="2025-09-23T00:00:00"/>
    <n v="9"/>
    <x v="1"/>
    <s v="South Africa"/>
    <s v="Durban"/>
    <s v="Africa&gt;South Africa&gt;Durban"/>
    <s v="Non-Profit"/>
    <s v="Online"/>
    <x v="6"/>
    <s v="Components"/>
    <s v="CMP-6898"/>
    <n v="1310.3"/>
    <n v="2875.8"/>
    <n v="2875.8"/>
    <s v="High"/>
    <n v="8.3000000000000004E-2"/>
    <n v="8.3000000000000004E-2"/>
    <n v="5"/>
    <n v="13185.543"/>
    <n v="6551.5"/>
    <n v="6634.0429999999997"/>
    <n v="0.50313005691157353"/>
    <d v="2023-01-07T00:00:00"/>
    <n v="32"/>
    <n v="0"/>
  </r>
  <r>
    <s v="ORD-2025-591006"/>
    <d v="2025-06-25T00:00:00"/>
    <d v="2025-06-25T00:00:00"/>
    <s v="Q2 -2025"/>
    <d v="2025-07-10T00:00:00"/>
    <d v="2025-07-10T00:00:00"/>
    <n v="15"/>
    <x v="3"/>
    <s v="United Kingdom"/>
    <s v="Birmingham"/>
    <s v="Europe&gt;United Kingdom&gt;Birmingham"/>
    <s v="Non-Profit"/>
    <s v="Marketplace"/>
    <x v="6"/>
    <s v="Phones"/>
    <s v="PHN-5383"/>
    <n v="546.83000000000004"/>
    <n v="400.84"/>
    <n v="400.84"/>
    <s v="Low"/>
    <n v="7.8E-2"/>
    <n v="7.8E-2"/>
    <n v="13"/>
    <n v="4804.4682400000002"/>
    <n v="7108.7900000000009"/>
    <n v="-2304.3217600000007"/>
    <n v="-0.47962056254533608"/>
    <d v="2023-01-19T00:00:00"/>
    <n v="29"/>
    <n v="0"/>
  </r>
  <r>
    <s v="ORD-2025-608069"/>
    <d v="2025-04-12T00:00:00"/>
    <d v="2025-04-12T00:00:00"/>
    <s v="Q2 -2025"/>
    <d v="2025-04-30T00:00:00"/>
    <d v="2025-04-30T00:00:00"/>
    <n v="18"/>
    <x v="1"/>
    <s v="Kenya"/>
    <s v="Kisumu"/>
    <s v="Africa&gt;Kenya&gt;Kisumu"/>
    <s v="Corporate"/>
    <s v="Marketplace"/>
    <x v="3"/>
    <s v="Networking"/>
    <s v="NET-3432"/>
    <n v="1119.04"/>
    <n v="1299.02"/>
    <n v="1299.02"/>
    <s v="Medium"/>
    <n v="2.5000000000000001E-2"/>
    <n v="2.5000000000000001E-2"/>
    <n v="14"/>
    <n v="17731.623"/>
    <n v="15666.56"/>
    <n v="2065.0630000000001"/>
    <n v="0.11646215352085933"/>
    <d v="2023-01-20T00:00:00"/>
    <n v="26"/>
    <n v="0"/>
  </r>
  <r>
    <s v="ORD-2025-624006"/>
    <d v="2025-03-15T00:00:00"/>
    <d v="2025-03-15T00:00:00"/>
    <s v="Q1 -2025"/>
    <d v="2025-03-29T00:00:00"/>
    <d v="2025-03-29T00:00:00"/>
    <n v="14"/>
    <x v="0"/>
    <s v="India"/>
    <s v="Mumbai"/>
    <s v="Asia&gt;India&gt;Mumbai"/>
    <s v="Enterprise"/>
    <s v="Direct"/>
    <x v="14"/>
    <s v="Components"/>
    <s v="CMP-3259"/>
    <n v="935.83"/>
    <n v="2303.46"/>
    <n v="2303.46"/>
    <s v="High"/>
    <n v="0.105"/>
    <n v="0.105"/>
    <n v="9"/>
    <n v="18554.370299999999"/>
    <n v="8422.4700000000012"/>
    <n v="10131.900299999998"/>
    <n v="0.54606543559174292"/>
    <d v="2023-01-29T00:00:00"/>
    <n v="25"/>
    <n v="0"/>
  </r>
  <r>
    <s v="ORD-2025-626047"/>
    <d v="2025-04-28T00:00:00"/>
    <d v="2025-04-28T00:00:00"/>
    <s v="Q2 -2025"/>
    <d v="2025-05-15T00:00:00"/>
    <d v="2025-05-15T00:00:00"/>
    <n v="17"/>
    <x v="0"/>
    <s v="Japan"/>
    <s v="Nagoya"/>
    <s v="Asia&gt;Japan&gt;Nagoya"/>
    <s v="Education"/>
    <s v="Direct"/>
    <x v="13"/>
    <s v="Networking"/>
    <s v="NET-1966"/>
    <n v="691.19"/>
    <n v="1284.3"/>
    <n v="1284.3"/>
    <s v="Medium"/>
    <n v="7.3999999999999996E-2"/>
    <n v="7.3999999999999996E-2"/>
    <n v="7"/>
    <n v="8324.8326000000015"/>
    <n v="4838.33"/>
    <n v="3486.5026000000016"/>
    <n v="0.41880753253825198"/>
    <d v="2023-03-03T00:00:00"/>
    <n v="25"/>
    <n v="0"/>
  </r>
  <r>
    <s v="ORD-2025-629393"/>
    <d v="2025-07-21T00:00:00"/>
    <d v="2025-07-21T00:00:00"/>
    <s v="Q3 -2025"/>
    <d v="2025-08-07T00:00:00"/>
    <d v="2025-08-07T00:00:00"/>
    <n v="17"/>
    <x v="1"/>
    <s v="Nigeria"/>
    <s v="Lagos"/>
    <s v="Africa&gt;Nigeria&gt;Lagos"/>
    <s v="Enterprise"/>
    <s v="Direct"/>
    <x v="8"/>
    <s v="Accessories"/>
    <s v="ACC-8999"/>
    <n v="1204.95"/>
    <n v="2065.73"/>
    <n v="2065.73"/>
    <s v="High"/>
    <n v="0.13600000000000001"/>
    <n v="0.13600000000000001"/>
    <n v="10"/>
    <n v="17847.907199999998"/>
    <n v="12049.5"/>
    <n v="5798.4071999999978"/>
    <n v="0.32487882949100039"/>
    <d v="2023-01-15T00:00:00"/>
    <n v="30"/>
    <n v="0"/>
  </r>
  <r>
    <s v="ORD-2025-635337"/>
    <d v="2025-08-05T00:00:00"/>
    <d v="2025-08-05T00:00:00"/>
    <s v="Q3 -2025"/>
    <d v="2025-08-28T00:00:00"/>
    <d v="2025-08-28T00:00:00"/>
    <n v="23"/>
    <x v="0"/>
    <s v="India"/>
    <s v="Mumbai"/>
    <s v="Asia&gt;India&gt;Mumbai"/>
    <s v="Non-Profit"/>
    <s v="Distributor"/>
    <x v="13"/>
    <s v="Laptops"/>
    <s v="LAP-3905"/>
    <n v="638.54"/>
    <n v="987.24"/>
    <n v="987.24"/>
    <s v="Medium"/>
    <n v="0"/>
    <n v="0"/>
    <n v="11"/>
    <n v="10859.64"/>
    <n v="7023.94"/>
    <n v="3835.7"/>
    <n v="0.35320692030306716"/>
    <d v="2023-01-29T00:00:00"/>
    <n v="30"/>
    <n v="0"/>
  </r>
  <r>
    <s v="ORD-2025-636162"/>
    <d v="2025-01-07T00:00:00"/>
    <d v="2025-01-07T00:00:00"/>
    <s v="Q1 -2025"/>
    <d v="2025-01-20T00:00:00"/>
    <d v="2025-01-20T00:00:00"/>
    <n v="13"/>
    <x v="1"/>
    <s v="South Africa"/>
    <s v="Cape Town"/>
    <s v="Africa&gt;South Africa&gt;Cape Town"/>
    <s v="Corporate"/>
    <s v="Direct"/>
    <x v="4"/>
    <s v="Networking"/>
    <s v="NET-7901"/>
    <n v="432.13"/>
    <n v="1034.6600000000001"/>
    <n v="1034.6600000000001"/>
    <s v="Medium"/>
    <n v="9.1999999999999998E-2"/>
    <n v="9.1999999999999998E-2"/>
    <n v="7"/>
    <n v="6576.298960000001"/>
    <n v="3024.91"/>
    <n v="3551.3889600000011"/>
    <n v="0.54002851476204794"/>
    <d v="2023-01-07T00:00:00"/>
    <n v="24"/>
    <n v="0"/>
  </r>
  <r>
    <s v="ORD-2025-639542"/>
    <d v="2025-06-09T00:00:00"/>
    <d v="2025-06-09T00:00:00"/>
    <s v="Q2 -2025"/>
    <d v="2025-06-18T00:00:00"/>
    <d v="2025-06-18T00:00:00"/>
    <n v="9"/>
    <x v="3"/>
    <s v="France"/>
    <s v="Marseille"/>
    <s v="Europe&gt;France&gt;Marseille"/>
    <s v="Small Business"/>
    <s v="Marketplace"/>
    <x v="7"/>
    <s v="Accessories"/>
    <s v="ACC-1770"/>
    <n v="1225.5"/>
    <n v="-5.27"/>
    <n v="5.27"/>
    <s v="Low"/>
    <n v="7.4999999999999997E-2"/>
    <n v="7.4999999999999997E-2"/>
    <n v="56"/>
    <n v="272.98599999999999"/>
    <n v="68628"/>
    <n v="-68355.013999999996"/>
    <n v="-250.39750756449047"/>
    <d v="2023-01-10T00:00:00"/>
    <n v="28"/>
    <n v="0"/>
  </r>
  <r>
    <s v="ORD-2025-640677"/>
    <d v="2025-04-09T00:00:00"/>
    <d v="2025-04-09T00:00:00"/>
    <s v="Q2 -2025"/>
    <d v="2025-05-06T00:00:00"/>
    <d v="2025-05-06T00:00:00"/>
    <n v="27"/>
    <x v="2"/>
    <s v="Brazil"/>
    <s v="Brasília"/>
    <s v="Americas&gt;Brazil&gt;Brasília"/>
    <s v="Enterprise"/>
    <s v="Marketplace"/>
    <x v="3"/>
    <s v="Laptops"/>
    <s v="LAP-4517"/>
    <n v="264.19"/>
    <n v="620.92999999999995"/>
    <n v="620.92999999999995"/>
    <s v="Low"/>
    <n v="0.14199999999999999"/>
    <n v="0.14199999999999999"/>
    <n v="12"/>
    <n v="6393.0952799999995"/>
    <n v="3170.2799999999997"/>
    <n v="3222.8152799999998"/>
    <n v="0.50410875152794532"/>
    <d v="2023-01-29T00:00:00"/>
    <n v="26"/>
    <n v="0"/>
  </r>
  <r>
    <s v="ORD-2025-646342"/>
    <d v="2025-08-02T00:00:00"/>
    <d v="2025-08-02T00:00:00"/>
    <s v="Q3 -2025"/>
    <d v="2025-08-08T00:00:00"/>
    <d v="2025-08-08T00:00:00"/>
    <n v="6"/>
    <x v="0"/>
    <s v="Japan"/>
    <s v="Osaka"/>
    <s v="Asia&gt;Japan&gt;Osaka"/>
    <s v="Consumer"/>
    <s v="Direct"/>
    <x v="13"/>
    <s v="Laptops"/>
    <s v="LAP-4828"/>
    <n v="1225.94"/>
    <n v="1793.08"/>
    <n v="1793.08"/>
    <s v="High"/>
    <n v="0.13600000000000001"/>
    <n v="0.13600000000000001"/>
    <n v="22"/>
    <n v="34082.864639999993"/>
    <n v="26970.68"/>
    <n v="7112.1846399999922"/>
    <n v="0.20867332353434462"/>
    <d v="2023-03-03T00:00:00"/>
    <n v="28"/>
    <n v="0"/>
  </r>
  <r>
    <s v="ORD-2025-649239"/>
    <d v="2025-01-17T00:00:00"/>
    <d v="2025-01-17T00:00:00"/>
    <s v="Q1 -2025"/>
    <d v="2025-01-24T00:00:00"/>
    <d v="2025-01-24T00:00:00"/>
    <n v="7"/>
    <x v="2"/>
    <s v="USA"/>
    <s v="Austin"/>
    <s v="Americas&gt;USA&gt;Austin"/>
    <s v="Enterprise"/>
    <s v="Online"/>
    <x v="10"/>
    <s v="Accessories"/>
    <s v="ACC-4511"/>
    <n v="142.09"/>
    <n v="218.5"/>
    <n v="218.5"/>
    <s v="Low"/>
    <n v="0.11899999999999999"/>
    <n v="0.11899999999999999"/>
    <n v="11"/>
    <n v="2117.4834999999998"/>
    <n v="1562.99"/>
    <n v="554.49349999999981"/>
    <n v="0.26186437816398561"/>
    <d v="2023-01-13T00:00:00"/>
    <n v="24"/>
    <n v="0"/>
  </r>
  <r>
    <s v="ORD-2025-649633"/>
    <d v="2025-07-19T00:00:00"/>
    <d v="2025-07-19T00:00:00"/>
    <s v="Q3 -2025"/>
    <d v="2025-07-31T00:00:00"/>
    <d v="2025-07-31T00:00:00"/>
    <n v="12"/>
    <x v="1"/>
    <s v="Kenya"/>
    <s v="Nairobi"/>
    <s v="Africa&gt;Kenya&gt;Nairobi"/>
    <s v="Small Business"/>
    <s v="Marketplace"/>
    <x v="2"/>
    <s v="Accessories"/>
    <s v="ACC-1028"/>
    <n v="619.64"/>
    <n v="861.16"/>
    <n v="861.16"/>
    <s v="Low"/>
    <n v="0.113"/>
    <n v="0.113"/>
    <n v="14"/>
    <n v="10693.88488"/>
    <n v="8674.9599999999991"/>
    <n v="2018.9248800000005"/>
    <n v="0.18879246435276761"/>
    <d v="2023-01-20T00:00:00"/>
    <n v="29"/>
    <n v="0"/>
  </r>
  <r>
    <s v="ORD-2025-650719"/>
    <d v="2025-02-12T00:00:00"/>
    <d v="2025-02-12T00:00:00"/>
    <s v="Q1 -2025"/>
    <d v="2025-02-28T00:00:00"/>
    <d v="2025-02-28T00:00:00"/>
    <n v="16"/>
    <x v="2"/>
    <s v="Brazil"/>
    <s v="São Paulo"/>
    <s v="Americas&gt;Brazil&gt;São Paulo"/>
    <s v="Non-Profit"/>
    <s v="Direct"/>
    <x v="12"/>
    <s v="Monitors"/>
    <s v="MON-5179"/>
    <n v="414.95"/>
    <n v="1027.73"/>
    <n v="1027.73"/>
    <s v="Medium"/>
    <n v="6.3E-2"/>
    <n v="6.3E-2"/>
    <n v="8"/>
    <n v="7703.8640800000003"/>
    <n v="3319.6"/>
    <n v="4384.2640800000008"/>
    <n v="0.56909935513815568"/>
    <d v="2023-01-29T00:00:00"/>
    <n v="24"/>
    <n v="0"/>
  </r>
  <r>
    <s v="ORD-2025-650841"/>
    <d v="2025-07-03T00:00:00"/>
    <d v="2025-07-03T00:00:00"/>
    <s v="Q3 -2025"/>
    <d v="2025-07-06T00:00:00"/>
    <d v="2025-07-06T00:00:00"/>
    <n v="3"/>
    <x v="1"/>
    <s v="Nigeria"/>
    <s v="Lagos"/>
    <s v="Africa&gt;Nigeria&gt;Lagos"/>
    <s v="Consumer"/>
    <s v="Online"/>
    <x v="15"/>
    <s v="Laptops"/>
    <s v="LAP-8910"/>
    <n v="1313.3"/>
    <n v="2884.34"/>
    <n v="2884.34"/>
    <s v="High"/>
    <n v="0.157"/>
    <n v="0.157"/>
    <n v="42"/>
    <n v="102122.94203999999"/>
    <n v="55158.6"/>
    <n v="46964.342039999996"/>
    <n v="0.45988042551305253"/>
    <d v="2023-01-15T00:00:00"/>
    <n v="29"/>
    <n v="0"/>
  </r>
  <r>
    <s v="ORD-2025-652467"/>
    <d v="2025-08-21T00:00:00"/>
    <d v="2025-08-21T00:00:00"/>
    <s v="Q3 -2025"/>
    <d v="2025-09-12T00:00:00"/>
    <d v="2025-09-12T00:00:00"/>
    <n v="22"/>
    <x v="0"/>
    <s v="China"/>
    <s v="Shenzhen"/>
    <s v="Asia&gt;China&gt;Shenzhen"/>
    <s v="Education"/>
    <s v="Retail"/>
    <x v="12"/>
    <s v="Printers"/>
    <s v="PRN-8137"/>
    <n v="352.66"/>
    <n v="411.18"/>
    <n v="411.18"/>
    <s v="Low"/>
    <n v="0.17299999999999999"/>
    <n v="0.17299999999999999"/>
    <n v="13"/>
    <n v="4420.5961799999995"/>
    <n v="4584.58"/>
    <n v="-163.98382000000038"/>
    <n v="-3.7095408248758066E-2"/>
    <d v="2023-01-12T00:00:00"/>
    <n v="31"/>
    <n v="0"/>
  </r>
  <r>
    <s v="ORD-2025-653781"/>
    <d v="2025-01-11T00:00:00"/>
    <d v="2025-01-11T00:00:00"/>
    <s v="Q1 -2025"/>
    <d v="2025-01-23T00:00:00"/>
    <d v="2025-01-23T00:00:00"/>
    <n v="12"/>
    <x v="2"/>
    <s v="USA"/>
    <s v="Austin"/>
    <s v="Americas&gt;USA&gt;Austin"/>
    <s v="Consumer"/>
    <s v="Distributor"/>
    <x v="7"/>
    <s v="Phones"/>
    <s v="PHN-6307"/>
    <n v="100.69"/>
    <n v="226.14"/>
    <n v="226.14"/>
    <s v="Low"/>
    <n v="6.5000000000000002E-2"/>
    <n v="6.5000000000000002E-2"/>
    <n v="12"/>
    <n v="2537.2908000000002"/>
    <n v="1208.28"/>
    <n v="1329.0108000000002"/>
    <n v="0.52379128162999689"/>
    <d v="2023-01-13T00:00:00"/>
    <n v="23"/>
    <n v="0"/>
  </r>
  <r>
    <s v="ORD-2025-659650"/>
    <d v="2025-02-04T00:00:00"/>
    <d v="2025-02-04T00:00:00"/>
    <s v="Q1 -2025"/>
    <d v="2025-02-08T00:00:00"/>
    <d v="2025-02-08T00:00:00"/>
    <n v="4"/>
    <x v="3"/>
    <s v="United Kingdom"/>
    <s v="Manchester"/>
    <s v="Europe&gt;United Kingdom&gt;Manchester"/>
    <s v="Enterprise"/>
    <s v="Marketplace"/>
    <x v="11"/>
    <s v="Networking"/>
    <s v="NET-2502"/>
    <n v="586.21"/>
    <n v="727.22"/>
    <n v="727.22"/>
    <s v="Low"/>
    <n v="6.8000000000000005E-2"/>
    <n v="6.8000000000000005E-2"/>
    <n v="15"/>
    <n v="10166.535600000001"/>
    <n v="8793.1500000000015"/>
    <n v="1373.3855999999996"/>
    <n v="0.13508884973559721"/>
    <d v="2023-01-19T00:00:00"/>
    <n v="24"/>
    <n v="0"/>
  </r>
  <r>
    <s v="ORD-2025-662997"/>
    <d v="2025-03-31T00:00:00"/>
    <d v="2025-03-31T00:00:00"/>
    <s v="Q1 -2025"/>
    <d v="2025-04-04T00:00:00"/>
    <d v="2025-04-04T00:00:00"/>
    <n v="4"/>
    <x v="1"/>
    <s v="Kenya"/>
    <s v="Nakuru"/>
    <s v="Africa&gt;Kenya&gt;Nakuru"/>
    <s v="Corporate"/>
    <s v="Direct"/>
    <x v="14"/>
    <s v="Laptops"/>
    <s v="LAP-7136"/>
    <n v="862.08"/>
    <n v="1952.83"/>
    <n v="1952.83"/>
    <s v="High"/>
    <n v="0"/>
    <n v="0"/>
    <n v="7"/>
    <n v="13669.81"/>
    <n v="6034.56"/>
    <n v="7635.2499999999991"/>
    <n v="0.5585483631447693"/>
    <d v="2023-01-20T00:00:00"/>
    <n v="26"/>
    <n v="0"/>
  </r>
  <r>
    <s v="ORD-2025-667201"/>
    <d v="2025-09-15T00:00:00"/>
    <d v="2025-09-15T00:00:00"/>
    <s v="Q3 -2025"/>
    <d v="2025-09-18T00:00:00"/>
    <d v="2025-09-18T00:00:00"/>
    <n v="3"/>
    <x v="2"/>
    <s v="Brazil"/>
    <s v="Rio de Janeiro"/>
    <s v="Americas&gt;Brazil&gt;Rio de Janeiro"/>
    <s v="Non-Profit"/>
    <s v="Direct"/>
    <x v="11"/>
    <s v="Accessories"/>
    <s v="ACC-6777"/>
    <n v="5.5"/>
    <n v="5.92"/>
    <n v="5.92"/>
    <s v="Low"/>
    <n v="0.21199999999999999"/>
    <n v="0.21199999999999999"/>
    <n v="4"/>
    <n v="18.659839999999999"/>
    <n v="22"/>
    <n v="-3.3401600000000009"/>
    <n v="-0.17900260666758133"/>
    <d v="2023-01-29T00:00:00"/>
    <n v="31"/>
    <n v="1"/>
  </r>
  <r>
    <s v="ORD-2025-673091"/>
    <d v="2025-05-07T00:00:00"/>
    <d v="2025-05-07T00:00:00"/>
    <s v="Q2 -2025"/>
    <d v="2025-05-13T00:00:00"/>
    <d v="2025-05-13T00:00:00"/>
    <n v="6"/>
    <x v="0"/>
    <s v="India"/>
    <s v="Bengaluru"/>
    <s v="Asia&gt;India&gt;Bengaluru"/>
    <s v="Enterprise"/>
    <s v="Direct"/>
    <x v="5"/>
    <s v="Phones"/>
    <s v="PHN-5683"/>
    <n v="935.98"/>
    <n v="2077.69"/>
    <n v="2077.69"/>
    <s v="High"/>
    <n v="0.17499999999999999"/>
    <n v="0.17499999999999999"/>
    <n v="24"/>
    <n v="41138.261999999995"/>
    <n v="22463.52"/>
    <n v="18674.741999999995"/>
    <n v="0.45395067978321491"/>
    <d v="2023-01-29T00:00:00"/>
    <n v="27"/>
    <n v="0"/>
  </r>
  <r>
    <s v="ORD-2025-677880"/>
    <d v="2025-08-21T00:00:00"/>
    <d v="2025-08-21T00:00:00"/>
    <s v="Q3 -2025"/>
    <d v="2025-09-14T00:00:00"/>
    <d v="2025-09-14T00:00:00"/>
    <n v="24"/>
    <x v="3"/>
    <s v="Germany"/>
    <s v="Berlin"/>
    <s v="Europe&gt;Germany&gt;Berlin"/>
    <s v="Non-Profit"/>
    <s v="Online"/>
    <x v="0"/>
    <s v="Monitors"/>
    <s v="MON-9662"/>
    <n v="1397.67"/>
    <n v="3131.37"/>
    <n v="3131.37"/>
    <s v="High"/>
    <n v="0.10299999999999999"/>
    <n v="0.10299999999999999"/>
    <n v="20"/>
    <n v="56176.777799999996"/>
    <n v="27953.4"/>
    <n v="28223.377799999995"/>
    <n v="0.50240293062874808"/>
    <d v="2023-01-22T00:00:00"/>
    <n v="30"/>
    <n v="0"/>
  </r>
  <r>
    <s v="ORD-2025-678328"/>
    <d v="2025-06-24T00:00:00"/>
    <d v="2025-06-24T00:00:00"/>
    <s v="Q2 -2025"/>
    <d v="2025-07-14T00:00:00"/>
    <d v="2025-07-14T00:00:00"/>
    <n v="20"/>
    <x v="3"/>
    <s v="Germany"/>
    <s v="Berlin"/>
    <s v="Europe&gt;Germany&gt;Berlin"/>
    <s v="Corporate"/>
    <s v="Direct"/>
    <x v="2"/>
    <s v="Accessories"/>
    <s v="ACC-8094"/>
    <n v="385.08"/>
    <n v="893.19"/>
    <n v="893.19"/>
    <s v="Low"/>
    <n v="0.151"/>
    <n v="0.151"/>
    <n v="8"/>
    <n v="6066.54648"/>
    <n v="3080.64"/>
    <n v="2985.9064800000001"/>
    <n v="0.49219213762621666"/>
    <d v="2023-01-22T00:00:00"/>
    <n v="29"/>
    <n v="0"/>
  </r>
  <r>
    <s v="ORD-2025-678688"/>
    <d v="2025-07-16T00:00:00"/>
    <d v="2025-07-16T00:00:00"/>
    <s v="Q3 -2025"/>
    <d v="2025-07-17T00:00:00"/>
    <d v="2025-07-17T00:00:00"/>
    <n v="1"/>
    <x v="1"/>
    <s v="South Africa"/>
    <s v="Durban"/>
    <s v="Africa&gt;South Africa&gt;Durban"/>
    <s v="Small Business"/>
    <s v="Distributor"/>
    <x v="12"/>
    <s v="Networking"/>
    <s v="NET-1612"/>
    <n v="1198.9000000000001"/>
    <n v="2941.2"/>
    <n v="2941.2"/>
    <s v="High"/>
    <n v="5.0999999999999997E-2"/>
    <n v="5.0999999999999997E-2"/>
    <n v="24"/>
    <n v="66988.771199999988"/>
    <n v="28773.600000000002"/>
    <n v="38215.171199999982"/>
    <n v="0.57047129713583977"/>
    <d v="2023-01-07T00:00:00"/>
    <n v="30"/>
    <n v="0"/>
  </r>
  <r>
    <s v="ORD-2025-680118"/>
    <d v="2025-03-10T00:00:00"/>
    <d v="2025-03-10T00:00:00"/>
    <s v="Q1 -2025"/>
    <d v="2025-03-27T00:00:00"/>
    <d v="2025-03-27T00:00:00"/>
    <n v="17"/>
    <x v="2"/>
    <s v="Brazil"/>
    <s v="Rio de Janeiro"/>
    <s v="Americas&gt;Brazil&gt;Rio de Janeiro"/>
    <s v="Enterprise"/>
    <s v="Direct"/>
    <x v="3"/>
    <s v="Networking"/>
    <s v="NET-6269"/>
    <n v="996.73"/>
    <n v="1217.43"/>
    <n v="1217.43"/>
    <s v="Medium"/>
    <n v="7.0000000000000007E-2"/>
    <n v="7.0000000000000007E-2"/>
    <n v="9"/>
    <n v="10189.8891"/>
    <n v="8970.57"/>
    <n v="1219.3191000000006"/>
    <n v="0.11965970267527255"/>
    <d v="2023-01-29T00:00:00"/>
    <n v="25"/>
    <n v="0"/>
  </r>
  <r>
    <s v="ORD-2025-683043"/>
    <d v="2025-08-13T00:00:00"/>
    <d v="2025-08-13T00:00:00"/>
    <s v="Q3 -2025"/>
    <d v="2025-09-03T00:00:00"/>
    <d v="2025-09-03T00:00:00"/>
    <n v="21"/>
    <x v="3"/>
    <s v="France"/>
    <s v="Paris"/>
    <s v="Europe&gt;France&gt;Paris"/>
    <s v="Education"/>
    <s v="Retail"/>
    <x v="9"/>
    <s v="Phones"/>
    <s v="PHN-9465"/>
    <n v="603.47"/>
    <n v="1344.05"/>
    <n v="1344.05"/>
    <s v="Medium"/>
    <n v="0.20499999999999999"/>
    <n v="0.20499999999999999"/>
    <n v="18"/>
    <n v="19233.355499999998"/>
    <n v="10862.460000000001"/>
    <n v="8370.8954999999969"/>
    <n v="0.43522803392262976"/>
    <d v="2023-01-10T00:00:00"/>
    <n v="31"/>
    <n v="1"/>
  </r>
  <r>
    <s v="ORD-2025-683247"/>
    <d v="2025-03-10T00:00:00"/>
    <d v="2025-03-10T00:00:00"/>
    <s v="Q1 -2025"/>
    <d v="2025-04-04T00:00:00"/>
    <d v="2025-04-04T00:00:00"/>
    <n v="25"/>
    <x v="0"/>
    <s v="Japan"/>
    <s v="Osaka"/>
    <s v="Asia&gt;Japan&gt;Osaka"/>
    <s v="Corporate"/>
    <s v="Direct"/>
    <x v="7"/>
    <s v="Printers"/>
    <s v="PRN-9867"/>
    <n v="783.72"/>
    <n v="1355.94"/>
    <n v="1355.94"/>
    <s v="Medium"/>
    <n v="0.187"/>
    <n v="0.187"/>
    <n v="4"/>
    <n v="4409.5168800000001"/>
    <n v="3134.88"/>
    <n v="1274.63688"/>
    <n v="0.28906497348525856"/>
    <d v="2023-03-03T00:00:00"/>
    <n v="24"/>
    <n v="0"/>
  </r>
  <r>
    <s v="ORD-2025-685236"/>
    <d v="2025-03-14T00:00:00"/>
    <d v="2025-03-14T00:00:00"/>
    <s v="Q1 -2025"/>
    <d v="2025-03-29T00:00:00"/>
    <d v="2025-03-29T00:00:00"/>
    <n v="15"/>
    <x v="0"/>
    <s v="Japan"/>
    <s v="Tokyo"/>
    <s v="Asia&gt;Japan&gt;Tokyo"/>
    <s v="Non-Profit"/>
    <s v="Direct"/>
    <x v="7"/>
    <s v="Networking"/>
    <s v="NET-8430"/>
    <n v="1106.96"/>
    <n v="2726.62"/>
    <n v="2726.62"/>
    <s v="High"/>
    <n v="0.317"/>
    <n v="0.3"/>
    <n v="7"/>
    <n v="13360.438"/>
    <n v="7748.72"/>
    <n v="5611.7179999999998"/>
    <n v="0.42002500217432992"/>
    <d v="2023-03-03T00:00:00"/>
    <n v="24"/>
    <n v="1"/>
  </r>
  <r>
    <s v="ORD-2025-698069"/>
    <d v="2025-06-03T00:00:00"/>
    <d v="2025-06-03T00:00:00"/>
    <s v="Q2 -2025"/>
    <d v="2025-06-10T00:00:00"/>
    <d v="2025-06-10T00:00:00"/>
    <n v="7"/>
    <x v="2"/>
    <s v="Canada"/>
    <s v="Toronto"/>
    <s v="Americas&gt;Canada&gt;Toronto"/>
    <s v="Consumer"/>
    <s v="Distributor"/>
    <x v="2"/>
    <s v="Printers"/>
    <s v="PRN-6429"/>
    <n v="75.180000000000007"/>
    <n v="53.45"/>
    <n v="53.45"/>
    <s v="Low"/>
    <n v="0.157"/>
    <n v="0.157"/>
    <n v="17"/>
    <n v="765.99195000000009"/>
    <n v="1278.0600000000002"/>
    <n v="-512.06805000000008"/>
    <n v="-0.66850317421743144"/>
    <d v="2023-01-02T00:00:00"/>
    <n v="29"/>
    <n v="0"/>
  </r>
  <r>
    <s v="ORD-2025-700847"/>
    <d v="2025-05-21T00:00:00"/>
    <d v="2025-05-21T00:00:00"/>
    <s v="Q2 -2025"/>
    <d v="2025-05-19T00:00:00"/>
    <d v="2025-05-26T00:00:00"/>
    <n v="5"/>
    <x v="1"/>
    <s v="South Africa"/>
    <s v="Johannesburg"/>
    <s v="Africa&gt;South Africa&gt;Johannesburg"/>
    <s v="Non-Profit"/>
    <s v="Distributor"/>
    <x v="2"/>
    <s v="Laptops"/>
    <s v="LAP-7099"/>
    <n v="1263.8399999999999"/>
    <n v="2281.7199999999998"/>
    <n v="2281.7199999999998"/>
    <s v="High"/>
    <n v="7.8E-2"/>
    <n v="7.8E-2"/>
    <n v="15"/>
    <n v="31556.187599999997"/>
    <n v="18957.599999999999"/>
    <n v="12598.587599999999"/>
    <n v="0.39924301882398494"/>
    <d v="2023-01-07T00:00:00"/>
    <n v="28"/>
    <n v="0"/>
  </r>
  <r>
    <s v="ORD-2025-703623"/>
    <d v="2025-07-23T00:00:00"/>
    <d v="2025-07-23T00:00:00"/>
    <s v="Q3 -2025"/>
    <d v="2025-08-19T00:00:00"/>
    <d v="2025-08-19T00:00:00"/>
    <n v="27"/>
    <x v="0"/>
    <s v="Japan"/>
    <s v="Nagoya"/>
    <s v="Asia&gt;Japan&gt;Nagoya"/>
    <s v="Consumer"/>
    <s v="Marketplace"/>
    <x v="12"/>
    <s v="Accessories"/>
    <s v="ACC-1596"/>
    <n v="896.09"/>
    <n v="744.27"/>
    <n v="744.27"/>
    <s v="Low"/>
    <n v="8.3000000000000004E-2"/>
    <n v="8.3000000000000004E-2"/>
    <n v="11"/>
    <n v="7507.4514899999995"/>
    <n v="9856.99"/>
    <n v="-2349.5385100000003"/>
    <n v="-0.31296086469950679"/>
    <d v="2023-03-03T00:00:00"/>
    <n v="28"/>
    <n v="0"/>
  </r>
  <r>
    <s v="ORD-2025-705398"/>
    <d v="2025-02-17T00:00:00"/>
    <d v="2025-02-17T00:00:00"/>
    <s v="Q1 -2025"/>
    <d v="2025-02-15T00:00:00"/>
    <d v="2025-02-22T00:00:00"/>
    <n v="5"/>
    <x v="2"/>
    <s v="Canada"/>
    <s v="Toronto"/>
    <s v="Americas&gt;Canada&gt;Toronto"/>
    <s v="Small Business"/>
    <s v="Retail"/>
    <x v="6"/>
    <s v="Components"/>
    <s v="CMP-5065"/>
    <n v="1133.47"/>
    <n v="1698.75"/>
    <n v="1698.75"/>
    <s v="Medium"/>
    <n v="4.2999999999999997E-2"/>
    <n v="4.2999999999999997E-2"/>
    <n v="5"/>
    <n v="8128.5187499999993"/>
    <n v="5667.35"/>
    <n v="2461.1687499999989"/>
    <n v="0.30278194904821976"/>
    <d v="2023-01-02T00:00:00"/>
    <n v="25"/>
    <n v="0"/>
  </r>
  <r>
    <s v="ORD-2025-718992"/>
    <d v="2025-06-24T00:00:00"/>
    <d v="2025-06-24T00:00:00"/>
    <s v="Q2 -2025"/>
    <d v="2025-07-10T00:00:00"/>
    <d v="2025-07-10T00:00:00"/>
    <n v="16"/>
    <x v="0"/>
    <s v="China"/>
    <s v="Shanghai"/>
    <s v="Asia&gt;China&gt;Shanghai"/>
    <s v="Enterprise"/>
    <s v="Direct"/>
    <x v="13"/>
    <s v="Components"/>
    <s v="CMP-8390"/>
    <n v="757.19"/>
    <n v="1735.41"/>
    <n v="1735.41"/>
    <s v="High"/>
    <n v="0.13600000000000001"/>
    <n v="0.13600000000000001"/>
    <n v="8"/>
    <n v="11995.153920000001"/>
    <n v="6057.52"/>
    <n v="5937.6339200000002"/>
    <n v="0.4950027285685718"/>
    <d v="2023-01-12T00:00:00"/>
    <n v="29"/>
    <n v="0"/>
  </r>
  <r>
    <s v="ORD-2025-725646"/>
    <d v="2025-09-10T00:00:00"/>
    <d v="2025-09-10T00:00:00"/>
    <s v="Q3 -2025"/>
    <d v="2025-09-30T00:00:00"/>
    <d v="2025-09-30T00:00:00"/>
    <n v="20"/>
    <x v="1"/>
    <s v="Kenya"/>
    <s v="Mombasa"/>
    <s v="Africa&gt;Kenya&gt;Mombasa"/>
    <s v="Corporate"/>
    <s v="Direct"/>
    <x v="11"/>
    <s v="Phones"/>
    <s v="PHN-6954"/>
    <n v="1009.48"/>
    <n v="1088.81"/>
    <n v="1088.81"/>
    <s v="Medium"/>
    <n v="0.16"/>
    <n v="0.16"/>
    <n v="6"/>
    <n v="5487.6023999999998"/>
    <n v="6056.88"/>
    <n v="-569.27760000000035"/>
    <n v="-0.10373885688219693"/>
    <d v="2023-01-20T00:00:00"/>
    <n v="31"/>
    <n v="0"/>
  </r>
  <r>
    <s v="ORD-2025-728935"/>
    <d v="2025-02-28T00:00:00"/>
    <d v="2025-02-28T00:00:00"/>
    <s v="Q1 -2025"/>
    <d v="2025-03-10T00:00:00"/>
    <d v="2025-03-10T00:00:00"/>
    <n v="10"/>
    <x v="0"/>
    <s v="Japan"/>
    <s v="Osaka"/>
    <s v="Asia&gt;Japan&gt;Osaka"/>
    <s v="Education"/>
    <s v="Distributor"/>
    <x v="13"/>
    <s v="Laptops"/>
    <s v="LAP-3017"/>
    <n v="51.86"/>
    <n v="45.98"/>
    <n v="45.98"/>
    <s v="Low"/>
    <n v="0.17299999999999999"/>
    <n v="0.17299999999999999"/>
    <n v="7"/>
    <n v="266.17821999999995"/>
    <n v="363.02"/>
    <n v="-96.841780000000028"/>
    <n v="-0.3638230806412337"/>
    <d v="2023-03-03T00:00:00"/>
    <n v="23"/>
    <n v="0"/>
  </r>
  <r>
    <s v="ORD-2025-737787"/>
    <d v="2025-09-14T00:00:00"/>
    <d v="2025-09-14T00:00:00"/>
    <s v="Q3 -2025"/>
    <d v="2025-09-26T00:00:00"/>
    <d v="2025-09-26T00:00:00"/>
    <n v="12"/>
    <x v="3"/>
    <s v="United Kingdom"/>
    <s v="London"/>
    <s v="Europe&gt;United Kingdom&gt;London"/>
    <s v="Small Business"/>
    <s v="Direct"/>
    <x v="13"/>
    <s v="Networking"/>
    <s v="NET-9003"/>
    <n v="425.15"/>
    <n v="885.92"/>
    <n v="885.92"/>
    <s v="Low"/>
    <n v="0.23899999999999999"/>
    <n v="0.23899999999999999"/>
    <n v="13"/>
    <n v="8764.4065599999994"/>
    <n v="5526.95"/>
    <n v="3237.4565599999996"/>
    <n v="0.3693868532725848"/>
    <d v="2023-01-19T00:00:00"/>
    <n v="31"/>
    <n v="1"/>
  </r>
  <r>
    <s v="ORD-2025-745263"/>
    <d v="2025-05-21T00:00:00"/>
    <d v="2025-05-21T00:00:00"/>
    <s v="Q2 -2025"/>
    <d v="2025-05-19T00:00:00"/>
    <d v="2025-05-26T00:00:00"/>
    <n v="5"/>
    <x v="3"/>
    <s v="United Kingdom"/>
    <s v="Birmingham"/>
    <s v="Europe&gt;United Kingdom&gt;Birmingham"/>
    <s v="Enterprise"/>
    <s v="Online"/>
    <x v="8"/>
    <s v="Laptops"/>
    <s v="LAP-3385"/>
    <n v="1015.16"/>
    <n v="2148.14"/>
    <n v="2148.14"/>
    <s v="High"/>
    <n v="3.7999999999999999E-2"/>
    <n v="3.7999999999999999E-2"/>
    <n v="19"/>
    <n v="39263.702919999996"/>
    <n v="19288.04"/>
    <n v="19975.662919999995"/>
    <n v="0.50875647059322227"/>
    <d v="2023-01-19T00:00:00"/>
    <n v="28"/>
    <n v="0"/>
  </r>
  <r>
    <s v="ORD-2025-752192"/>
    <d v="2025-05-16T00:00:00"/>
    <d v="2025-05-16T00:00:00"/>
    <s v="Q2 -2025"/>
    <d v="2025-05-18T00:00:00"/>
    <d v="2025-05-18T00:00:00"/>
    <n v="2"/>
    <x v="0"/>
    <s v="Japan"/>
    <s v="Tokyo"/>
    <s v="Asia&gt;Japan&gt;Tokyo"/>
    <s v="Enterprise"/>
    <s v="Retail"/>
    <x v="5"/>
    <s v="Printers"/>
    <s v="PRN-6131"/>
    <n v="1144.3800000000001"/>
    <n v="2755.04"/>
    <n v="2755.04"/>
    <s v="High"/>
    <n v="0.15"/>
    <n v="0.15"/>
    <n v="17"/>
    <n v="39810.328000000001"/>
    <n v="19454.460000000003"/>
    <n v="20355.867999999999"/>
    <n v="0.51132128326096682"/>
    <d v="2023-03-03T00:00:00"/>
    <n v="26"/>
    <n v="0"/>
  </r>
  <r>
    <s v="ORD-2025-752845"/>
    <d v="2025-03-30T00:00:00"/>
    <d v="2025-03-30T00:00:00"/>
    <s v="Q1 -2025"/>
    <d v="2025-04-07T00:00:00"/>
    <d v="2025-04-07T00:00:00"/>
    <n v="8"/>
    <x v="2"/>
    <s v="Brazil"/>
    <s v="São Paulo"/>
    <s v="Americas&gt;Brazil&gt;São Paulo"/>
    <s v="Non-Profit"/>
    <s v="Direct"/>
    <x v="11"/>
    <s v="Printers"/>
    <s v="PRN-8763"/>
    <n v="71.62"/>
    <n v="118.37"/>
    <n v="118.37"/>
    <s v="Low"/>
    <n v="0.156"/>
    <n v="0.156"/>
    <n v="11"/>
    <n v="1098.9470800000001"/>
    <n v="787.82"/>
    <n v="311.12708000000009"/>
    <n v="0.28311379652603474"/>
    <d v="2023-01-29T00:00:00"/>
    <n v="26"/>
    <n v="0"/>
  </r>
  <r>
    <s v="ORD-2025-757957"/>
    <d v="2025-04-24T00:00:00"/>
    <d v="2025-04-24T00:00:00"/>
    <s v="Q2 -2025"/>
    <d v="2025-05-06T00:00:00"/>
    <d v="2025-05-06T00:00:00"/>
    <n v="12"/>
    <x v="2"/>
    <s v="Brazil"/>
    <s v="Brasília"/>
    <s v="Americas&gt;Brazil&gt;Brasília"/>
    <s v="Consumer"/>
    <s v="Online"/>
    <x v="14"/>
    <s v="Phones"/>
    <s v="PHN-2787"/>
    <n v="394.13"/>
    <n v="932.29"/>
    <n v="932.29"/>
    <s v="Low"/>
    <n v="0.109"/>
    <n v="0.109"/>
    <n v="7"/>
    <n v="5814.6927299999998"/>
    <n v="2758.91"/>
    <n v="3055.7827299999999"/>
    <n v="0.5255278089303268"/>
    <d v="2023-01-29T00:00:00"/>
    <n v="26"/>
    <n v="0"/>
  </r>
  <r>
    <s v="ORD-2025-762212"/>
    <d v="2025-08-25T00:00:00"/>
    <d v="2025-08-25T00:00:00"/>
    <s v="Q3 -2025"/>
    <d v="2025-09-24T00:00:00"/>
    <d v="2025-09-24T00:00:00"/>
    <n v="30"/>
    <x v="1"/>
    <s v="Kenya"/>
    <s v="Nairobi"/>
    <s v="Africa&gt;Kenya&gt;Nairobi"/>
    <s v="Consumer"/>
    <s v="Direct"/>
    <x v="12"/>
    <s v="Components"/>
    <s v="CMP-4970"/>
    <n v="589.14"/>
    <n v="1300.58"/>
    <n v="1300.58"/>
    <s v="Medium"/>
    <n v="5.5E-2"/>
    <n v="5.5E-2"/>
    <n v="11"/>
    <n v="13519.529099999998"/>
    <n v="6480.54"/>
    <n v="7038.989099999998"/>
    <n v="0.52065342275863724"/>
    <d v="2023-01-20T00:00:00"/>
    <n v="31"/>
    <n v="0"/>
  </r>
  <r>
    <s v="ORD-2025-762301"/>
    <d v="2025-05-02T00:00:00"/>
    <d v="2025-05-02T00:00:00"/>
    <s v="Q2 -2025"/>
    <d v="2025-05-13T00:00:00"/>
    <d v="2025-05-13T00:00:00"/>
    <n v="11"/>
    <x v="1"/>
    <s v="Kenya"/>
    <s v="Nakuru"/>
    <s v="Africa&gt;Kenya&gt;Nakuru"/>
    <s v="Small Business"/>
    <s v="Online"/>
    <x v="0"/>
    <s v="Accessories"/>
    <s v="ACC-2252"/>
    <n v="1057.5999999999999"/>
    <n v="1437.06"/>
    <n v="1437.06"/>
    <s v="Medium"/>
    <n v="0.20499999999999999"/>
    <n v="0.20499999999999999"/>
    <n v="4"/>
    <n v="4569.8508000000002"/>
    <n v="4230.3999999999996"/>
    <n v="339.45080000000053"/>
    <n v="7.4280499485891424E-2"/>
    <d v="2023-01-20T00:00:00"/>
    <n v="27"/>
    <n v="1"/>
  </r>
  <r>
    <s v="ORD-2025-765220"/>
    <d v="2025-04-06T00:00:00"/>
    <d v="2025-04-06T00:00:00"/>
    <s v="Q2 -2025"/>
    <d v="2025-04-30T00:00:00"/>
    <d v="2025-04-30T00:00:00"/>
    <n v="24"/>
    <x v="2"/>
    <s v="Brazil"/>
    <s v="Brasília"/>
    <s v="Americas&gt;Brazil&gt;Brasília"/>
    <s v="Education"/>
    <s v="Online"/>
    <x v="4"/>
    <s v="Monitors"/>
    <s v="MON-4925"/>
    <n v="855.78"/>
    <n v="977.38"/>
    <n v="977.38"/>
    <s v="Medium"/>
    <n v="0.14699999999999999"/>
    <n v="0.14699999999999999"/>
    <n v="38"/>
    <n v="31680.795320000001"/>
    <n v="32519.64"/>
    <n v="-838.84467999999833"/>
    <n v="-2.6478018355506307E-2"/>
    <d v="2023-01-29T00:00:00"/>
    <n v="26"/>
    <n v="0"/>
  </r>
  <r>
    <s v="ORD-2025-766923"/>
    <d v="2025-02-15T00:00:00"/>
    <d v="2025-02-15T00:00:00"/>
    <s v="Q1 -2025"/>
    <d v="2025-02-15T00:00:00"/>
    <d v="2025-02-15T00:00:00"/>
    <n v="0"/>
    <x v="3"/>
    <s v="Germany"/>
    <s v="Frankfurt"/>
    <s v="Europe&gt;Germany&gt;Frankfurt"/>
    <s v="Small Business"/>
    <s v="Marketplace"/>
    <x v="11"/>
    <s v="Accessories"/>
    <s v="ACC-3989"/>
    <n v="815.83"/>
    <n v="1982.18"/>
    <n v="1982.18"/>
    <s v="High"/>
    <n v="0.127"/>
    <n v="0.127"/>
    <n v="6"/>
    <n v="10382.65884"/>
    <n v="4894.9800000000005"/>
    <n v="5487.6788399999996"/>
    <n v="0.52854272923408507"/>
    <d v="2023-01-22T00:00:00"/>
    <n v="24"/>
    <n v="0"/>
  </r>
  <r>
    <s v="ORD-2025-778145"/>
    <d v="2025-04-22T00:00:00"/>
    <d v="2025-04-22T00:00:00"/>
    <s v="Q2 -2025"/>
    <d v="2025-05-12T00:00:00"/>
    <d v="2025-05-12T00:00:00"/>
    <n v="20"/>
    <x v="3"/>
    <s v="France"/>
    <s v="Lyon"/>
    <s v="Europe&gt;France&gt;Lyon"/>
    <s v="Enterprise"/>
    <s v="Marketplace"/>
    <x v="4"/>
    <s v="Monitors"/>
    <s v="MON-9216"/>
    <n v="59.51"/>
    <n v="67.040000000000006"/>
    <n v="67.040000000000006"/>
    <s v="Low"/>
    <n v="0.114"/>
    <n v="0.114"/>
    <n v="9"/>
    <n v="534.57695999999999"/>
    <n v="535.59"/>
    <n v="-1.0130400000000463"/>
    <n v="-1.8950311663264469E-3"/>
    <d v="2023-01-10T00:00:00"/>
    <n v="27"/>
    <n v="0"/>
  </r>
  <r>
    <s v="ORD-2025-779530"/>
    <d v="2025-05-19T00:00:00"/>
    <d v="2025-05-19T00:00:00"/>
    <s v="Q2 -2025"/>
    <d v="2025-05-17T00:00:00"/>
    <d v="2025-05-24T00:00:00"/>
    <n v="5"/>
    <x v="2"/>
    <s v="Brazil"/>
    <s v="São Paulo"/>
    <s v="Americas&gt;Brazil&gt;São Paulo"/>
    <s v="Small Business"/>
    <s v="Distributor"/>
    <x v="11"/>
    <s v="Monitors"/>
    <s v="MON-2993"/>
    <n v="383.77"/>
    <n v="952.56"/>
    <n v="952.56"/>
    <s v="Medium"/>
    <n v="0.34599999999999997"/>
    <n v="0.3"/>
    <n v="10"/>
    <n v="6667.9199999999983"/>
    <n v="3837.7"/>
    <n v="2830.2199999999984"/>
    <n v="0.42445320279787385"/>
    <d v="2023-01-29T00:00:00"/>
    <n v="27"/>
    <n v="1"/>
  </r>
  <r>
    <s v="ORD-2025-779574"/>
    <d v="2025-09-10T00:00:00"/>
    <d v="2025-09-10T00:00:00"/>
    <s v="Q3 -2025"/>
    <d v="2025-09-12T00:00:00"/>
    <d v="2025-09-12T00:00:00"/>
    <n v="2"/>
    <x v="0"/>
    <s v="Japan"/>
    <s v="Tokyo"/>
    <s v="Asia&gt;Japan&gt;Tokyo"/>
    <s v="Consumer"/>
    <s v="Online"/>
    <x v="2"/>
    <s v="Components"/>
    <s v="CMP-6971"/>
    <n v="1470.15"/>
    <n v="2593.7800000000002"/>
    <n v="2593.7800000000002"/>
    <s v="High"/>
    <n v="0.11"/>
    <n v="0.11"/>
    <n v="12"/>
    <n v="27701.570400000001"/>
    <n v="17641.800000000003"/>
    <n v="10059.770399999998"/>
    <n v="0.36314801849645306"/>
    <d v="2023-03-03T00:00:00"/>
    <n v="30"/>
    <n v="0"/>
  </r>
  <r>
    <s v="ORD-2025-779659"/>
    <d v="2025-07-03T00:00:00"/>
    <d v="2025-07-03T00:00:00"/>
    <s v="Q3 -2025"/>
    <d v="2025-07-23T00:00:00"/>
    <d v="2025-07-23T00:00:00"/>
    <n v="20"/>
    <x v="0"/>
    <s v="China"/>
    <s v="Beijing"/>
    <s v="Asia&gt;China&gt;Beijing"/>
    <s v="Small Business"/>
    <s v="Online"/>
    <x v="8"/>
    <s v="Components"/>
    <s v="CMP-1220"/>
    <n v="647.36"/>
    <n v="1383.6"/>
    <n v="1383.6"/>
    <s v="Medium"/>
    <n v="7.3999999999999996E-2"/>
    <n v="7.3999999999999996E-2"/>
    <n v="12"/>
    <n v="15374.563199999999"/>
    <n v="7768.32"/>
    <n v="7606.243199999999"/>
    <n v="0.49472906000997802"/>
    <d v="2023-01-12T00:00:00"/>
    <n v="29"/>
    <n v="0"/>
  </r>
  <r>
    <s v="ORD-2025-789245"/>
    <d v="2025-07-23T00:00:00"/>
    <d v="2025-07-23T00:00:00"/>
    <s v="Q3 -2025"/>
    <d v="2025-08-17T00:00:00"/>
    <d v="2025-08-17T00:00:00"/>
    <n v="25"/>
    <x v="3"/>
    <s v="United Kingdom"/>
    <s v="Birmingham"/>
    <s v="Europe&gt;United Kingdom&gt;Birmingham"/>
    <s v="Education"/>
    <s v="Online"/>
    <x v="9"/>
    <s v="Printers"/>
    <s v="PRN-5876"/>
    <n v="1142.06"/>
    <n v="1455"/>
    <n v="1455"/>
    <s v="Medium"/>
    <n v="7.8E-2"/>
    <n v="7.8E-2"/>
    <n v="28"/>
    <n v="37562.28"/>
    <n v="31977.68"/>
    <n v="5584.5999999999985"/>
    <n v="0.1486757459877302"/>
    <d v="2023-01-19T00:00:00"/>
    <n v="30"/>
    <n v="0"/>
  </r>
  <r>
    <s v="ORD-2025-795385"/>
    <d v="2025-06-01T00:00:00"/>
    <d v="2025-06-01T00:00:00"/>
    <s v="Q2 -2025"/>
    <d v="2025-06-05T00:00:00"/>
    <d v="2025-06-05T00:00:00"/>
    <n v="4"/>
    <x v="3"/>
    <s v="Germany"/>
    <s v="Munich"/>
    <s v="Europe&gt;Germany&gt;Munich"/>
    <s v="Enterprise"/>
    <s v="Direct"/>
    <x v="8"/>
    <s v="Components"/>
    <s v="CMP-4159"/>
    <n v="1171.42"/>
    <n v="2187.8000000000002"/>
    <n v="2187.8000000000002"/>
    <s v="High"/>
    <n v="0.23"/>
    <n v="0.23"/>
    <n v="15"/>
    <n v="25269.09"/>
    <n v="17571.300000000003"/>
    <n v="7697.7899999999972"/>
    <n v="0.30463265594447592"/>
    <d v="2023-01-22T00:00:00"/>
    <n v="28"/>
    <n v="1"/>
  </r>
  <r>
    <s v="ORD-2025-803803"/>
    <d v="2025-08-28T00:00:00"/>
    <d v="2025-08-28T00:00:00"/>
    <s v="Q3 -2025"/>
    <d v="2025-09-05T00:00:00"/>
    <d v="2025-09-05T00:00:00"/>
    <n v="8"/>
    <x v="1"/>
    <s v="Nigeria"/>
    <s v="Port Harcourt"/>
    <s v="Africa&gt;Nigeria&gt;Port Harcourt"/>
    <s v="Small Business"/>
    <s v="Marketplace"/>
    <x v="1"/>
    <s v="Laptops"/>
    <s v="LAP-7553"/>
    <n v="1271.0999999999999"/>
    <n v="1932.42"/>
    <n v="1932.42"/>
    <s v="High"/>
    <n v="0.25"/>
    <n v="0.25"/>
    <n v="21"/>
    <n v="30435.614999999998"/>
    <n v="26693.1"/>
    <n v="3742.5149999999994"/>
    <n v="0.12296498690760807"/>
    <d v="2023-01-15T00:00:00"/>
    <n v="31"/>
    <n v="1"/>
  </r>
  <r>
    <s v="ORD-2025-820255"/>
    <d v="2025-05-29T00:00:00"/>
    <d v="2025-05-29T00:00:00"/>
    <s v="Q2 -2025"/>
    <d v="2025-06-20T00:00:00"/>
    <d v="2025-06-20T00:00:00"/>
    <n v="22"/>
    <x v="3"/>
    <s v="Germany"/>
    <s v="Berlin"/>
    <s v="Europe&gt;Germany&gt;Berlin"/>
    <s v="Corporate"/>
    <s v="Direct"/>
    <x v="0"/>
    <s v="Printers"/>
    <s v="PRN-9787"/>
    <n v="483.47"/>
    <n v="1135.43"/>
    <n v="1135.43"/>
    <s v="Medium"/>
    <n v="0.14599999999999999"/>
    <n v="0.14599999999999999"/>
    <n v="11"/>
    <n v="10666.229420000001"/>
    <n v="5318.17"/>
    <n v="5348.0594200000014"/>
    <n v="0.50140112399719983"/>
    <d v="2023-01-22T00:00:00"/>
    <n v="28"/>
    <n v="0"/>
  </r>
  <r>
    <s v="ORD-2025-822030"/>
    <d v="2025-08-07T00:00:00"/>
    <d v="2025-08-07T00:00:00"/>
    <s v="Q3 -2025"/>
    <d v="2025-09-06T00:00:00"/>
    <d v="2025-09-06T00:00:00"/>
    <n v="30"/>
    <x v="2"/>
    <s v="Canada"/>
    <s v="Montreal"/>
    <s v="Americas&gt;Canada&gt;Montreal"/>
    <s v="Education"/>
    <s v="Direct"/>
    <x v="8"/>
    <s v="Networking"/>
    <s v="NET-1336"/>
    <n v="833.73"/>
    <n v="1116.5999999999999"/>
    <n v="1116.5999999999999"/>
    <s v="Medium"/>
    <n v="0.17599999999999999"/>
    <n v="0.17599999999999999"/>
    <n v="14"/>
    <n v="12881.097599999999"/>
    <n v="11672.220000000001"/>
    <n v="1208.877599999998"/>
    <n v="9.3848958958279924E-2"/>
    <d v="2023-01-02T00:00:00"/>
    <n v="31"/>
    <n v="0"/>
  </r>
  <r>
    <s v="ORD-2025-823055"/>
    <d v="2025-09-08T00:00:00"/>
    <d v="2025-09-08T00:00:00"/>
    <s v="Q3 -2025"/>
    <d v="2025-10-05T00:00:00"/>
    <d v="2025-10-05T00:00:00"/>
    <n v="27"/>
    <x v="2"/>
    <s v="Brazil"/>
    <s v="Rio de Janeiro"/>
    <s v="Americas&gt;Brazil&gt;Rio de Janeiro"/>
    <s v="Education"/>
    <s v="Online"/>
    <x v="14"/>
    <s v="Monitors"/>
    <s v="MON-9274"/>
    <n v="660.78"/>
    <n v="1630.39"/>
    <n v="1630.39"/>
    <s v="Medium"/>
    <n v="0.218"/>
    <n v="0.218"/>
    <n v="13"/>
    <n v="16574.544740000001"/>
    <n v="8590.14"/>
    <n v="7984.4047400000018"/>
    <n v="0.48172694123724097"/>
    <d v="2023-01-29T00:00:00"/>
    <n v="31"/>
    <n v="1"/>
  </r>
  <r>
    <s v="ORD-2025-828263"/>
    <d v="2025-05-17T00:00:00"/>
    <d v="2025-05-17T00:00:00"/>
    <s v="Q2 -2025"/>
    <d v="2025-05-30T00:00:00"/>
    <d v="2025-05-30T00:00:00"/>
    <n v="13"/>
    <x v="1"/>
    <s v="Nigeria"/>
    <s v="Lagos"/>
    <s v="Africa&gt;Nigeria&gt;Lagos"/>
    <s v="Consumer"/>
    <s v="Distributor"/>
    <x v="3"/>
    <s v="Accessories"/>
    <s v="ACC-3349"/>
    <n v="66.400000000000006"/>
    <n v="141.43"/>
    <n v="141.43"/>
    <s v="Low"/>
    <n v="0.107"/>
    <n v="0.107"/>
    <n v="8"/>
    <n v="1010.3759200000001"/>
    <n v="531.20000000000005"/>
    <n v="479.17592000000002"/>
    <n v="0.47425508715607551"/>
    <d v="2023-01-15T00:00:00"/>
    <n v="28"/>
    <n v="0"/>
  </r>
  <r>
    <s v="ORD-2025-831576"/>
    <d v="2025-09-15T00:00:00"/>
    <d v="2025-09-15T00:00:00"/>
    <s v="Q3 -2025"/>
    <d v="2025-09-25T00:00:00"/>
    <d v="2025-09-25T00:00:00"/>
    <n v="10"/>
    <x v="0"/>
    <s v="India"/>
    <s v="Delhi"/>
    <s v="Asia&gt;India&gt;Delhi"/>
    <s v="Consumer"/>
    <s v="Retail"/>
    <x v="0"/>
    <s v="Phones"/>
    <s v="PHN-2859"/>
    <n v="1488.91"/>
    <n v="1483.74"/>
    <n v="1483.74"/>
    <s v="Medium"/>
    <n v="0.16800000000000001"/>
    <n v="0.16800000000000001"/>
    <n v="24"/>
    <n v="29627.320319999999"/>
    <n v="35733.840000000004"/>
    <n v="-6106.5196800000049"/>
    <n v="-0.20611110333450519"/>
    <d v="2023-01-29T00:00:00"/>
    <n v="31"/>
    <n v="0"/>
  </r>
  <r>
    <s v="ORD-2025-840976"/>
    <d v="2025-09-01T00:00:00"/>
    <d v="2025-09-01T00:00:00"/>
    <s v="Q3 -2025"/>
    <d v="2025-09-30T00:00:00"/>
    <d v="2025-09-30T00:00:00"/>
    <n v="29"/>
    <x v="2"/>
    <s v="Brazil"/>
    <s v="Brasília"/>
    <s v="Americas&gt;Brazil&gt;Brasília"/>
    <s v="Education"/>
    <s v="Retail"/>
    <x v="4"/>
    <s v="Accessories"/>
    <s v="ACC-1663"/>
    <n v="780.59"/>
    <n v="631.57000000000005"/>
    <n v="631.57000000000005"/>
    <s v="Low"/>
    <n v="0"/>
    <n v="0"/>
    <n v="12"/>
    <n v="7578.84"/>
    <n v="9367.08"/>
    <n v="-1788.2399999999998"/>
    <n v="-0.23595167598207639"/>
    <d v="2023-01-29T00:00:00"/>
    <n v="31"/>
    <n v="0"/>
  </r>
  <r>
    <s v="ORD-2025-843974"/>
    <d v="2025-07-20T00:00:00"/>
    <d v="2025-07-20T00:00:00"/>
    <s v="Q3 -2025"/>
    <d v="2025-08-05T00:00:00"/>
    <d v="2025-08-05T00:00:00"/>
    <n v="16"/>
    <x v="2"/>
    <s v="Brazil"/>
    <s v="Brasília"/>
    <s v="Americas&gt;Brazil&gt;Brasília"/>
    <s v="Enterprise"/>
    <s v="Marketplace"/>
    <x v="10"/>
    <s v="Accessories"/>
    <s v="ACC-8098"/>
    <n v="1068.17"/>
    <n v="2375.37"/>
    <n v="2375.37"/>
    <s v="High"/>
    <n v="0.109"/>
    <n v="0.109"/>
    <n v="18"/>
    <n v="38096.18406"/>
    <n v="19227.060000000001"/>
    <n v="18869.124059999998"/>
    <n v="0.49530220744108822"/>
    <d v="2023-01-29T00:00:00"/>
    <n v="29"/>
    <n v="0"/>
  </r>
  <r>
    <s v="ORD-2025-845715"/>
    <d v="2025-04-14T00:00:00"/>
    <d v="2025-04-14T00:00:00"/>
    <s v="Q2 -2025"/>
    <d v="2025-05-04T00:00:00"/>
    <d v="2025-05-04T00:00:00"/>
    <n v="20"/>
    <x v="3"/>
    <s v="United Kingdom"/>
    <s v="Birmingham"/>
    <s v="Europe&gt;United Kingdom&gt;Birmingham"/>
    <s v="Enterprise"/>
    <s v="Marketplace"/>
    <x v="4"/>
    <s v="Monitors"/>
    <s v="MON-6962"/>
    <n v="1413.87"/>
    <n v="3275"/>
    <n v="3275"/>
    <s v="High"/>
    <n v="0.255"/>
    <n v="0.255"/>
    <n v="38"/>
    <n v="92715.25"/>
    <n v="53727.06"/>
    <n v="38988.19"/>
    <n v="0.42051539525590453"/>
    <d v="2023-01-19T00:00:00"/>
    <n v="26"/>
    <n v="1"/>
  </r>
  <r>
    <s v="ORD-2025-856556"/>
    <d v="2025-06-15T00:00:00"/>
    <d v="2025-06-15T00:00:00"/>
    <s v="Q2 -2025"/>
    <d v="2025-07-12T00:00:00"/>
    <d v="2025-07-12T00:00:00"/>
    <n v="27"/>
    <x v="3"/>
    <s v="France"/>
    <s v="Marseille"/>
    <s v="Europe&gt;France&gt;Marseille"/>
    <s v="Consumer"/>
    <s v="Direct"/>
    <x v="14"/>
    <s v="Accessories"/>
    <s v="ACC-7906"/>
    <n v="318.83"/>
    <n v="699.5"/>
    <n v="699.5"/>
    <s v="Medium"/>
    <n v="0.08"/>
    <n v="0.08"/>
    <n v="13"/>
    <n v="8366.02"/>
    <n v="4144.79"/>
    <n v="4221.2300000000005"/>
    <n v="0.50456848059172699"/>
    <d v="2023-01-10T00:00:00"/>
    <n v="29"/>
    <n v="0"/>
  </r>
  <r>
    <s v="ORD-2025-861401"/>
    <d v="2025-04-01T00:00:00"/>
    <d v="2025-04-01T00:00:00"/>
    <s v="Q2 -2025"/>
    <d v="2025-04-27T00:00:00"/>
    <d v="2025-04-27T00:00:00"/>
    <n v="26"/>
    <x v="2"/>
    <s v="USA"/>
    <s v="San Francisco"/>
    <s v="Americas&gt;USA&gt;San Francisco"/>
    <s v="Corporate"/>
    <s v="Direct"/>
    <x v="9"/>
    <s v="Monitors"/>
    <s v="MON-9319"/>
    <n v="156.55000000000001"/>
    <n v="227.45"/>
    <n v="227.45"/>
    <s v="Low"/>
    <n v="1.4E-2"/>
    <n v="1.4E-2"/>
    <n v="13"/>
    <n v="2915.4540999999999"/>
    <n v="2035.15"/>
    <n v="880.30409999999983"/>
    <n v="0.3019440779396938"/>
    <d v="2023-01-13T00:00:00"/>
    <n v="26"/>
    <n v="0"/>
  </r>
  <r>
    <s v="ORD-2025-863978"/>
    <d v="2025-08-07T00:00:00"/>
    <d v="2025-08-07T00:00:00"/>
    <s v="Q3 -2025"/>
    <d v="2025-08-19T00:00:00"/>
    <d v="2025-08-19T00:00:00"/>
    <n v="12"/>
    <x v="1"/>
    <s v="Kenya"/>
    <s v="Nakuru"/>
    <s v="Africa&gt;Kenya&gt;Nakuru"/>
    <s v="Corporate"/>
    <s v="Unspecified"/>
    <x v="8"/>
    <s v="Components"/>
    <s v="CMP-2854"/>
    <n v="601.51"/>
    <n v="679.35"/>
    <n v="679.35"/>
    <s v="Low"/>
    <n v="0.188"/>
    <n v="0.188"/>
    <n v="3"/>
    <n v="1654.8966000000003"/>
    <n v="1804.53"/>
    <n v="-149.63339999999971"/>
    <n v="-9.0418579626062243E-2"/>
    <d v="2023-01-20T00:00:00"/>
    <n v="30"/>
    <n v="0"/>
  </r>
  <r>
    <s v="ORD-2025-866565"/>
    <d v="2025-05-12T00:00:00"/>
    <d v="2025-05-12T00:00:00"/>
    <s v="Q2 -2025"/>
    <d v="2025-05-26T00:00:00"/>
    <d v="2025-05-26T00:00:00"/>
    <n v="14"/>
    <x v="0"/>
    <s v="India"/>
    <s v="Hyderabad"/>
    <s v="Asia&gt;India&gt;Hyderabad"/>
    <s v="Corporate"/>
    <s v="Marketplace"/>
    <x v="10"/>
    <s v="Printers"/>
    <s v="PRN-8850"/>
    <n v="320.12"/>
    <n v="594.41999999999996"/>
    <n v="594.41999999999996"/>
    <s v="Low"/>
    <n v="0.104"/>
    <n v="0.104"/>
    <n v="18"/>
    <n v="9586.8057599999993"/>
    <n v="5762.16"/>
    <n v="3824.6457599999994"/>
    <n v="0.39894891538931104"/>
    <d v="2023-01-29T00:00:00"/>
    <n v="27"/>
    <n v="0"/>
  </r>
  <r>
    <s v="ORD-2025-874124"/>
    <d v="2025-05-14T00:00:00"/>
    <d v="2025-05-14T00:00:00"/>
    <s v="Q2 -2025"/>
    <d v="2025-05-12T00:00:00"/>
    <d v="2025-05-19T00:00:00"/>
    <n v="5"/>
    <x v="2"/>
    <s v="Canada"/>
    <s v="Vancouver"/>
    <s v="Americas&gt;Canada&gt;Vancouver"/>
    <s v="Non-Profit"/>
    <s v="Distributor"/>
    <x v="3"/>
    <s v="Printers"/>
    <s v="PRN-2407"/>
    <n v="883.5"/>
    <n v="1978.91"/>
    <n v="1978.91"/>
    <s v="High"/>
    <n v="5.3999999999999999E-2"/>
    <n v="5.3999999999999999E-2"/>
    <n v="27"/>
    <n v="50545.319219999998"/>
    <n v="23854.5"/>
    <n v="26690.819219999998"/>
    <n v="0.52805718970390547"/>
    <d v="2023-01-02T00:00:00"/>
    <n v="28"/>
    <n v="0"/>
  </r>
  <r>
    <s v="ORD-2025-881624"/>
    <d v="2025-02-21T00:00:00"/>
    <d v="2025-02-21T00:00:00"/>
    <s v="Q1 -2025"/>
    <d v="2025-03-21T00:00:00"/>
    <d v="2025-03-21T00:00:00"/>
    <n v="28"/>
    <x v="1"/>
    <s v="Nigeria"/>
    <s v="Abuja"/>
    <s v="Africa&gt;Nigeria&gt;Abuja"/>
    <s v="Enterprise"/>
    <s v="Marketplace"/>
    <x v="9"/>
    <s v="Phones"/>
    <s v="PHN-5887"/>
    <n v="1437.39"/>
    <n v="1388.31"/>
    <n v="1388.31"/>
    <s v="Medium"/>
    <n v="0.13800000000000001"/>
    <n v="0.13800000000000001"/>
    <n v="18"/>
    <n v="21541.017959999997"/>
    <n v="25873.02"/>
    <n v="-4332.002040000003"/>
    <n v="-0.20110479681341872"/>
    <d v="2023-01-15T00:00:00"/>
    <n v="25"/>
    <n v="0"/>
  </r>
  <r>
    <s v="ORD-2025-898022"/>
    <d v="2025-09-02T00:00:00"/>
    <d v="2025-09-02T00:00:00"/>
    <s v="Q3 -2025"/>
    <d v="2025-09-11T00:00:00"/>
    <d v="2025-09-11T00:00:00"/>
    <n v="9"/>
    <x v="2"/>
    <s v="Canada"/>
    <s v="Toronto"/>
    <s v="Americas&gt;Canada&gt;Toronto"/>
    <s v="Corporate"/>
    <s v="Distributor"/>
    <x v="8"/>
    <s v="Printers"/>
    <s v="PRN-1276"/>
    <n v="1207.6300000000001"/>
    <n v="921.68"/>
    <n v="921.68"/>
    <s v="Medium"/>
    <n v="0.19600000000000001"/>
    <n v="0.19600000000000001"/>
    <n v="17"/>
    <n v="12597.52224"/>
    <n v="20529.710000000003"/>
    <n v="-7932.1877600000025"/>
    <n v="-0.62966253274897988"/>
    <d v="2023-01-02T00:00:00"/>
    <n v="32"/>
    <n v="0"/>
  </r>
  <r>
    <s v="ORD-2025-898843"/>
    <d v="2025-02-02T00:00:00"/>
    <d v="2025-02-02T00:00:00"/>
    <s v="Q1 -2025"/>
    <d v="2025-03-04T00:00:00"/>
    <d v="2025-03-04T00:00:00"/>
    <n v="30"/>
    <x v="0"/>
    <s v="Japan"/>
    <s v="Osaka"/>
    <s v="Asia&gt;Japan&gt;Osaka"/>
    <s v="Education"/>
    <s v="Distributor"/>
    <x v="11"/>
    <s v="Accessories"/>
    <s v="ACC-9591"/>
    <n v="766.59"/>
    <n v="1912.8"/>
    <n v="1912.8"/>
    <s v="High"/>
    <n v="0.19600000000000001"/>
    <n v="0.19600000000000001"/>
    <n v="5"/>
    <n v="7689.4560000000001"/>
    <n v="3832.9500000000003"/>
    <n v="3856.5059999999999"/>
    <n v="0.50153170783472845"/>
    <d v="2023-03-03T00:00:00"/>
    <n v="22"/>
    <n v="0"/>
  </r>
  <r>
    <s v="ORD-2025-907040"/>
    <d v="2025-04-17T00:00:00"/>
    <d v="2025-04-17T00:00:00"/>
    <s v="Q2 -2025"/>
    <d v="2025-05-03T00:00:00"/>
    <d v="2025-05-03T00:00:00"/>
    <n v="16"/>
    <x v="2"/>
    <s v="Brazil"/>
    <s v="Rio de Janeiro"/>
    <s v="Americas&gt;Brazil&gt;Rio de Janeiro"/>
    <s v="Consumer"/>
    <s v="Marketplace"/>
    <x v="5"/>
    <s v="Networking"/>
    <s v="NET-8610"/>
    <n v="168.68"/>
    <n v="413.34"/>
    <n v="413.34"/>
    <s v="Low"/>
    <n v="0.186"/>
    <n v="0.186"/>
    <n v="7"/>
    <n v="2355.2113199999999"/>
    <n v="1180.76"/>
    <n v="1174.4513199999999"/>
    <n v="0.49866069767361682"/>
    <d v="2023-01-29T00:00:00"/>
    <n v="26"/>
    <n v="0"/>
  </r>
  <r>
    <s v="ORD-2025-908258"/>
    <d v="2025-06-21T00:00:00"/>
    <d v="2025-06-21T00:00:00"/>
    <s v="Q2 -2025"/>
    <d v="2025-06-27T00:00:00"/>
    <d v="2025-06-27T00:00:00"/>
    <n v="6"/>
    <x v="1"/>
    <s v="South Africa"/>
    <s v="Durban"/>
    <s v="Africa&gt;South Africa&gt;Durban"/>
    <s v="Enterprise"/>
    <s v="Distributor"/>
    <x v="13"/>
    <s v="Phones"/>
    <s v="PHN-3819"/>
    <n v="93.91"/>
    <n v="99.04"/>
    <n v="99.04"/>
    <s v="Low"/>
    <n v="5.7000000000000002E-2"/>
    <n v="5.7000000000000002E-2"/>
    <n v="6"/>
    <n v="560.36831999999993"/>
    <n v="563.46"/>
    <n v="-3.0916800000001103"/>
    <n v="-5.5172283829323376E-3"/>
    <d v="2023-01-07T00:00:00"/>
    <n v="29"/>
    <n v="0"/>
  </r>
  <r>
    <s v="ORD-2025-909340"/>
    <d v="2025-01-20T00:00:00"/>
    <d v="2025-01-20T00:00:00"/>
    <s v="Q1 -2025"/>
    <d v="2025-02-03T00:00:00"/>
    <d v="2025-02-03T00:00:00"/>
    <n v="14"/>
    <x v="2"/>
    <s v="Brazil"/>
    <s v="Brasília"/>
    <s v="Americas&gt;Brazil&gt;Brasília"/>
    <s v="Enterprise"/>
    <s v="Marketplace"/>
    <x v="3"/>
    <s v="Components"/>
    <s v="CMP-8658"/>
    <n v="974.11"/>
    <n v="880.99"/>
    <n v="880.99"/>
    <s v="Low"/>
    <n v="0.111"/>
    <n v="0.111"/>
    <n v="10"/>
    <n v="7832.0010999999995"/>
    <n v="9741.1"/>
    <n v="-1909.0989000000009"/>
    <n v="-0.2437562093805121"/>
    <d v="2023-01-29T00:00:00"/>
    <n v="23"/>
    <n v="0"/>
  </r>
  <r>
    <s v="ORD-2025-915869"/>
    <d v="2025-02-06T00:00:00"/>
    <d v="2025-02-06T00:00:00"/>
    <s v="Q1 -2025"/>
    <d v="2025-02-15T00:00:00"/>
    <d v="2025-02-15T00:00:00"/>
    <n v="9"/>
    <x v="2"/>
    <s v="Brazil"/>
    <s v="São Paulo"/>
    <s v="Americas&gt;Brazil&gt;São Paulo"/>
    <s v="Non-Profit"/>
    <s v="Distributor"/>
    <x v="3"/>
    <s v="Networking"/>
    <s v="NET-5482"/>
    <n v="837.39"/>
    <n v="1905.42"/>
    <n v="1905.42"/>
    <s v="Medium"/>
    <n v="3.2000000000000001E-2"/>
    <n v="3.2000000000000001E-2"/>
    <n v="18"/>
    <n v="33200.038079999998"/>
    <n v="15073.02"/>
    <n v="18127.018079999998"/>
    <n v="0.54599389423350919"/>
    <d v="2023-01-29T00:00:00"/>
    <n v="24"/>
    <n v="0"/>
  </r>
  <r>
    <s v="ORD-2025-922513"/>
    <d v="2025-08-28T00:00:00"/>
    <d v="2025-08-28T00:00:00"/>
    <s v="Q3 -2025"/>
    <d v="2025-08-26T00:00:00"/>
    <d v="2025-09-02T00:00:00"/>
    <n v="5"/>
    <x v="1"/>
    <s v="Nigeria"/>
    <s v="Port Harcourt"/>
    <s v="Africa&gt;Nigeria&gt;Port Harcourt"/>
    <s v="Small Business"/>
    <s v="Retail"/>
    <x v="0"/>
    <s v="Accessories"/>
    <s v="ACC-4483"/>
    <n v="521.05999999999995"/>
    <n v="1240.31"/>
    <n v="1240.31"/>
    <s v="Medium"/>
    <n v="0.14599999999999999"/>
    <n v="0.14599999999999999"/>
    <n v="18"/>
    <n v="19066.045319999997"/>
    <n v="9379.0799999999981"/>
    <n v="9686.9653199999993"/>
    <n v="0.50807417885650974"/>
    <d v="2023-01-15T00:00:00"/>
    <n v="31"/>
    <n v="0"/>
  </r>
  <r>
    <s v="ORD-2025-926547"/>
    <d v="2025-03-11T00:00:00"/>
    <d v="2025-03-11T00:00:00"/>
    <s v="Q1 -2025"/>
    <d v="2025-03-26T00:00:00"/>
    <d v="2025-03-26T00:00:00"/>
    <n v="15"/>
    <x v="3"/>
    <s v="Germany"/>
    <s v="Berlin"/>
    <s v="Europe&gt;Germany&gt;Berlin"/>
    <s v="Small Business"/>
    <s v="Online"/>
    <x v="9"/>
    <s v="Phones"/>
    <s v="PHN-3007"/>
    <n v="116.97"/>
    <n v="140.82"/>
    <n v="140.82"/>
    <s v="Low"/>
    <n v="0.122"/>
    <n v="0.122"/>
    <n v="5"/>
    <n v="618.19979999999987"/>
    <n v="584.85"/>
    <n v="33.349799999999846"/>
    <n v="5.3946636669891926E-2"/>
    <d v="2023-01-22T00:00:00"/>
    <n v="25"/>
    <n v="0"/>
  </r>
  <r>
    <s v="ORD-2025-929414"/>
    <d v="2025-06-26T00:00:00"/>
    <d v="2025-06-26T00:00:00"/>
    <s v="Q2 -2025"/>
    <d v="2025-07-11T00:00:00"/>
    <d v="2025-07-11T00:00:00"/>
    <n v="15"/>
    <x v="1"/>
    <s v="Nigeria"/>
    <s v="Port Harcourt"/>
    <s v="Africa&gt;Nigeria&gt;Port Harcourt"/>
    <s v="Small Business"/>
    <s v="Online"/>
    <x v="0"/>
    <s v="Laptops"/>
    <s v="LAP-7523"/>
    <n v="1170.1500000000001"/>
    <n v="2115.19"/>
    <n v="2115.19"/>
    <s v="High"/>
    <n v="9.1999999999999998E-2"/>
    <n v="9.1999999999999998E-2"/>
    <n v="23"/>
    <n v="44173.627960000005"/>
    <n v="26913.45"/>
    <n v="17260.177960000005"/>
    <n v="0.39073489674946776"/>
    <d v="2023-01-15T00:00:00"/>
    <n v="29"/>
    <n v="0"/>
  </r>
  <r>
    <s v="ORD-2025-931538"/>
    <d v="2025-02-09T00:00:00"/>
    <d v="2025-02-09T00:00:00"/>
    <s v="Q1 -2025"/>
    <d v="2025-03-01T00:00:00"/>
    <d v="2025-03-01T00:00:00"/>
    <n v="20"/>
    <x v="2"/>
    <s v="Brazil"/>
    <s v="São Paulo"/>
    <s v="Americas&gt;Brazil&gt;São Paulo"/>
    <s v="Corporate"/>
    <s v="Distributor"/>
    <x v="12"/>
    <s v="Laptops"/>
    <s v="LAP-6989"/>
    <n v="1154.6400000000001"/>
    <n v="2794.13"/>
    <n v="2794.13"/>
    <s v="High"/>
    <n v="3.5000000000000003E-2"/>
    <n v="3.5000000000000003E-2"/>
    <n v="11"/>
    <n v="29659.68995"/>
    <n v="12701.04"/>
    <n v="16958.649949999999"/>
    <n v="0.57177435025749479"/>
    <d v="2023-01-29T00:00:00"/>
    <n v="24"/>
    <n v="0"/>
  </r>
  <r>
    <s v="ORD-2025-939953"/>
    <d v="2025-01-22T00:00:00"/>
    <d v="2025-01-22T00:00:00"/>
    <s v="Q1 -2025"/>
    <d v="2025-01-22T00:00:00"/>
    <d v="2025-01-22T00:00:00"/>
    <n v="0"/>
    <x v="3"/>
    <s v="France"/>
    <s v="Lyon"/>
    <s v="Europe&gt;France&gt;Lyon"/>
    <s v="Small Business"/>
    <s v="Online"/>
    <x v="12"/>
    <s v="Accessories"/>
    <s v="ACC-5422"/>
    <n v="591.72"/>
    <n v="577.24"/>
    <n v="577.24"/>
    <s v="Low"/>
    <n v="0"/>
    <n v="0"/>
    <n v="22"/>
    <n v="12699.28"/>
    <n v="13017.84"/>
    <n v="-318.55999999999949"/>
    <n v="-2.5084886702238195E-2"/>
    <d v="2023-01-10T00:00:00"/>
    <n v="24"/>
    <n v="0"/>
  </r>
  <r>
    <s v="ORD-2025-944081"/>
    <d v="2025-03-25T00:00:00"/>
    <d v="2025-03-25T00:00:00"/>
    <s v="Q1 -2025"/>
    <d v="2025-03-26T00:00:00"/>
    <d v="2025-03-26T00:00:00"/>
    <n v="1"/>
    <x v="1"/>
    <s v="Nigeria"/>
    <s v="Lagos"/>
    <s v="Africa&gt;Nigeria&gt;Lagos"/>
    <s v="Education"/>
    <s v="Distributor"/>
    <x v="10"/>
    <s v="Accessories"/>
    <s v="ACC-9533"/>
    <n v="1450.43"/>
    <n v="1994.67"/>
    <n v="1994.67"/>
    <s v="High"/>
    <n v="0.1"/>
    <n v="0.1"/>
    <n v="24"/>
    <n v="43084.872000000003"/>
    <n v="34810.32"/>
    <n v="8274.5520000000033"/>
    <n v="0.19205237513529116"/>
    <d v="2023-01-15T00:00:00"/>
    <n v="26"/>
    <n v="0"/>
  </r>
  <r>
    <s v="ORD-2025-946490"/>
    <d v="2025-04-22T00:00:00"/>
    <d v="2025-04-22T00:00:00"/>
    <s v="Q2 -2025"/>
    <d v="2025-05-02T00:00:00"/>
    <d v="2025-05-02T00:00:00"/>
    <n v="10"/>
    <x v="3"/>
    <s v="Germany"/>
    <s v="Berlin"/>
    <s v="Europe&gt;Germany&gt;Berlin"/>
    <s v="Corporate"/>
    <s v="Marketplace"/>
    <x v="14"/>
    <s v="Monitors"/>
    <s v="MON-2842"/>
    <n v="20.149999999999999"/>
    <n v="39.74"/>
    <n v="39.74"/>
    <s v="Low"/>
    <n v="0.151"/>
    <n v="0.151"/>
    <n v="18"/>
    <n v="607.30668000000003"/>
    <n v="362.7"/>
    <n v="244.60668000000004"/>
    <n v="0.4027729120318585"/>
    <d v="2023-01-22T00:00:00"/>
    <n v="27"/>
    <n v="0"/>
  </r>
  <r>
    <s v="ORD-2025-947929"/>
    <d v="2025-03-23T00:00:00"/>
    <d v="2025-03-23T00:00:00"/>
    <s v="Q1 -2025"/>
    <d v="2025-04-02T00:00:00"/>
    <d v="2025-04-02T00:00:00"/>
    <n v="10"/>
    <x v="3"/>
    <s v="Germany"/>
    <s v="Berlin"/>
    <s v="Europe&gt;Germany&gt;Berlin"/>
    <s v="Enterprise"/>
    <s v="Online"/>
    <x v="1"/>
    <s v="Printers"/>
    <s v="PRN-3159"/>
    <n v="663.61"/>
    <n v="1002.11"/>
    <n v="1002.11"/>
    <s v="Low"/>
    <n v="4.5999999999999999E-2"/>
    <n v="4.5999999999999999E-2"/>
    <n v="17"/>
    <n v="16252.219979999998"/>
    <n v="11281.37"/>
    <n v="4970.8499799999972"/>
    <n v="0.30585667595670812"/>
    <d v="2023-01-22T00:00:00"/>
    <n v="26"/>
    <n v="0"/>
  </r>
  <r>
    <s v="ORD-2025-949776"/>
    <d v="2025-08-14T00:00:00"/>
    <d v="2025-08-14T00:00:00"/>
    <s v="Q3 -2025"/>
    <d v="2025-09-11T00:00:00"/>
    <d v="2025-09-11T00:00:00"/>
    <n v="28"/>
    <x v="2"/>
    <s v="Brazil"/>
    <s v="São Paulo"/>
    <s v="Americas&gt;Brazil&gt;São Paulo"/>
    <s v="Non-Profit"/>
    <s v="Direct"/>
    <x v="3"/>
    <s v="Printers"/>
    <s v="PRN-9490"/>
    <n v="1203.02"/>
    <n v="2439.33"/>
    <n v="2439.33"/>
    <s v="High"/>
    <n v="0"/>
    <n v="0"/>
    <n v="18"/>
    <n v="43907.94"/>
    <n v="21654.36"/>
    <n v="22253.58"/>
    <n v="0.50682359500354612"/>
    <d v="2023-01-29T00:00:00"/>
    <n v="30"/>
    <n v="0"/>
  </r>
  <r>
    <s v="ORD-2025-956101"/>
    <d v="2025-07-09T00:00:00"/>
    <d v="2025-07-09T00:00:00"/>
    <s v="Q3 -2025"/>
    <d v="2025-07-18T00:00:00"/>
    <d v="2025-07-18T00:00:00"/>
    <n v="9"/>
    <x v="2"/>
    <s v="Canada"/>
    <s v="Vancouver"/>
    <s v="Americas&gt;Canada&gt;Vancouver"/>
    <s v="Education"/>
    <s v="Distributor"/>
    <x v="9"/>
    <s v="Laptops"/>
    <s v="LAP-2218"/>
    <n v="57.96"/>
    <n v="88.51"/>
    <n v="88.51"/>
    <s v="Low"/>
    <n v="4.2999999999999997E-2"/>
    <n v="4.2999999999999997E-2"/>
    <n v="7"/>
    <n v="592.92849000000001"/>
    <n v="405.72"/>
    <n v="187.20848999999998"/>
    <n v="0.3157353595877978"/>
    <d v="2023-01-02T00:00:00"/>
    <n v="30"/>
    <n v="0"/>
  </r>
  <r>
    <s v="ORD-2025-960931"/>
    <d v="2025-08-20T00:00:00"/>
    <d v="2025-08-20T00:00:00"/>
    <s v="Q3 -2025"/>
    <d v="2025-08-26T00:00:00"/>
    <d v="2025-08-26T00:00:00"/>
    <n v="6"/>
    <x v="2"/>
    <s v="USA"/>
    <s v="New York"/>
    <s v="Americas&gt;USA&gt;New York"/>
    <s v="Corporate"/>
    <s v="Retail"/>
    <x v="8"/>
    <s v="Networking"/>
    <s v="NET-5196"/>
    <n v="1304.95"/>
    <n v="1712.03"/>
    <n v="1712.03"/>
    <s v="Medium"/>
    <n v="0.21199999999999999"/>
    <n v="0.21199999999999999"/>
    <n v="8"/>
    <n v="10792.637119999999"/>
    <n v="10439.6"/>
    <n v="353.03711999999905"/>
    <n v="3.2710922833287949E-2"/>
    <d v="2023-01-13T00:00:00"/>
    <n v="31"/>
    <n v="1"/>
  </r>
  <r>
    <s v="ORD-2025-964661"/>
    <d v="2025-02-04T00:00:00"/>
    <d v="2025-02-04T00:00:00"/>
    <s v="Q1 -2025"/>
    <d v="2025-02-25T00:00:00"/>
    <d v="2025-02-25T00:00:00"/>
    <n v="21"/>
    <x v="3"/>
    <s v="United Kingdom"/>
    <s v="Birmingham"/>
    <s v="Europe&gt;United Kingdom&gt;Birmingham"/>
    <s v="Corporate"/>
    <s v="Marketplace"/>
    <x v="6"/>
    <s v="Monitors"/>
    <s v="MON-4959"/>
    <n v="1016.32"/>
    <n v="2253.42"/>
    <n v="2253.42"/>
    <s v="High"/>
    <n v="5.5E-2"/>
    <n v="5.5E-2"/>
    <n v="12"/>
    <n v="25553.782800000001"/>
    <n v="12195.84"/>
    <n v="13357.942800000001"/>
    <n v="0.52273837124419797"/>
    <d v="2023-01-19T00:00:00"/>
    <n v="24"/>
    <n v="0"/>
  </r>
  <r>
    <s v="ORD-2025-983096"/>
    <d v="2025-05-17T00:00:00"/>
    <d v="2025-05-17T00:00:00"/>
    <s v="Q2 -2025"/>
    <d v="2025-05-28T00:00:00"/>
    <d v="2025-05-28T00:00:00"/>
    <n v="11"/>
    <x v="0"/>
    <s v="India"/>
    <s v="Bengaluru"/>
    <s v="Asia&gt;India&gt;Bengaluru"/>
    <s v="Corporate"/>
    <s v="Distributor"/>
    <x v="12"/>
    <s v="Laptops"/>
    <s v="LAP-9016"/>
    <n v="623.4"/>
    <n v="1100.0899999999999"/>
    <n v="1100.0899999999999"/>
    <s v="Medium"/>
    <n v="0.114"/>
    <n v="0.114"/>
    <n v="12"/>
    <n v="11696.156879999999"/>
    <n v="7480.7999999999993"/>
    <n v="4215.3568799999994"/>
    <n v="0.36040529579490388"/>
    <d v="2023-01-29T00:00:00"/>
    <n v="27"/>
    <n v="0"/>
  </r>
  <r>
    <s v="ORD-2025-993993"/>
    <d v="2025-08-30T00:00:00"/>
    <d v="2025-08-30T00:00:00"/>
    <s v="Q3 -2025"/>
    <d v="2025-09-22T00:00:00"/>
    <d v="2025-09-22T00:00:00"/>
    <n v="23"/>
    <x v="3"/>
    <s v="France"/>
    <s v="Marseille"/>
    <s v="Europe&gt;France&gt;Marseille"/>
    <s v="Corporate"/>
    <s v="Direct"/>
    <x v="1"/>
    <s v="Components"/>
    <s v="CMP-5311"/>
    <n v="663.9"/>
    <n v="947.77"/>
    <n v="947.77"/>
    <s v="Low"/>
    <n v="0.17399999999999999"/>
    <n v="0.17399999999999999"/>
    <n v="15"/>
    <n v="11742.8703"/>
    <n v="9958.5"/>
    <n v="1784.3703000000005"/>
    <n v="0.1519535049280073"/>
    <d v="2023-01-10T00:00:00"/>
    <n v="31"/>
    <n v="0"/>
  </r>
  <r>
    <s v="ORD-2025-997421"/>
    <d v="2025-05-21T00:00:00"/>
    <d v="2025-05-21T00:00:00"/>
    <s v="Q2 -2025"/>
    <d v="2025-06-09T00:00:00"/>
    <d v="2025-06-09T00:00:00"/>
    <n v="19"/>
    <x v="2"/>
    <s v="Brazil"/>
    <s v="São Paulo"/>
    <s v="Americas&gt;Brazil&gt;São Paulo"/>
    <s v="Non-Profit"/>
    <s v="Online"/>
    <x v="0"/>
    <s v="Components"/>
    <s v="CMP-3731"/>
    <n v="1331.38"/>
    <n v="2309.56"/>
    <n v="2309.56"/>
    <s v="Low"/>
    <n v="0.14899999999999999"/>
    <n v="0.14899999999999999"/>
    <n v="31"/>
    <n v="60928.502359999999"/>
    <n v="41272.780000000006"/>
    <n v="19655.722359999992"/>
    <n v="0.32260307735553528"/>
    <d v="2023-01-29T00:00:00"/>
    <n v="27"/>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s v="Africa"/>
    <x v="0"/>
    <n v="1"/>
    <n v="2"/>
    <n v="0.5"/>
  </r>
  <r>
    <s v="Americas"/>
    <x v="1"/>
    <n v="5"/>
    <n v="10"/>
    <n v="0.5"/>
  </r>
  <r>
    <s v="Americas"/>
    <x v="2"/>
    <n v="4"/>
    <n v="8"/>
    <n v="0.5"/>
  </r>
  <r>
    <s v="Asia"/>
    <x v="3"/>
    <n v="4"/>
    <n v="8"/>
    <n v="0.5"/>
  </r>
  <r>
    <s v="Americas"/>
    <x v="4"/>
    <n v="5"/>
    <n v="14"/>
    <n v="0.35714285714285715"/>
  </r>
  <r>
    <s v="Americas"/>
    <x v="0"/>
    <n v="1"/>
    <n v="3"/>
    <n v="0.33333333333333331"/>
  </r>
  <r>
    <s v="Africa"/>
    <x v="5"/>
    <n v="5"/>
    <n v="16"/>
    <n v="0.3125"/>
  </r>
  <r>
    <s v="Asia"/>
    <x v="6"/>
    <n v="3"/>
    <n v="10"/>
    <n v="0.3"/>
  </r>
  <r>
    <s v="Europe"/>
    <x v="7"/>
    <n v="3"/>
    <n v="11"/>
    <n v="0.27272727272727271"/>
  </r>
  <r>
    <s v="Africa"/>
    <x v="8"/>
    <n v="3"/>
    <n v="12"/>
    <n v="0.25"/>
  </r>
  <r>
    <s v="Africa"/>
    <x v="6"/>
    <n v="2"/>
    <n v="8"/>
    <n v="0.25"/>
  </r>
  <r>
    <s v="Africa"/>
    <x v="4"/>
    <n v="2"/>
    <n v="8"/>
    <n v="0.25"/>
  </r>
  <r>
    <s v="Americas"/>
    <x v="9"/>
    <n v="3"/>
    <n v="12"/>
    <n v="0.25"/>
  </r>
  <r>
    <s v="Asia"/>
    <x v="10"/>
    <n v="3"/>
    <n v="12"/>
    <n v="0.25"/>
  </r>
  <r>
    <s v="Asia"/>
    <x v="9"/>
    <n v="3"/>
    <n v="14"/>
    <n v="0.21428571428571427"/>
  </r>
  <r>
    <s v="Africa"/>
    <x v="2"/>
    <n v="2"/>
    <n v="10"/>
    <n v="0.2"/>
  </r>
  <r>
    <s v="Africa"/>
    <x v="9"/>
    <n v="2"/>
    <n v="10"/>
    <n v="0.2"/>
  </r>
  <r>
    <s v="Africa"/>
    <x v="11"/>
    <n v="1"/>
    <n v="5"/>
    <n v="0.2"/>
  </r>
  <r>
    <s v="Europe"/>
    <x v="6"/>
    <n v="1"/>
    <n v="5"/>
    <n v="0.2"/>
  </r>
  <r>
    <s v="Africa"/>
    <x v="1"/>
    <n v="3"/>
    <n v="16"/>
    <n v="0.1875"/>
  </r>
  <r>
    <s v="Americas"/>
    <x v="5"/>
    <n v="2"/>
    <n v="12"/>
    <n v="0.16666666666666666"/>
  </r>
  <r>
    <s v="Europe"/>
    <x v="12"/>
    <n v="2"/>
    <n v="13"/>
    <n v="0.15384615384615385"/>
  </r>
  <r>
    <s v="Africa"/>
    <x v="13"/>
    <n v="1"/>
    <n v="7"/>
    <n v="0.14285714285714285"/>
  </r>
  <r>
    <s v="Americas"/>
    <x v="6"/>
    <n v="2"/>
    <n v="14"/>
    <n v="0.14285714285714285"/>
  </r>
  <r>
    <s v="Americas"/>
    <x v="7"/>
    <n v="1"/>
    <n v="7"/>
    <n v="0.14285714285714285"/>
  </r>
  <r>
    <s v="Asia"/>
    <x v="12"/>
    <n v="1"/>
    <n v="7"/>
    <n v="0.14285714285714285"/>
  </r>
  <r>
    <s v="Europe"/>
    <x v="14"/>
    <n v="2"/>
    <n v="15"/>
    <n v="0.13333333333333333"/>
  </r>
  <r>
    <s v="Americas"/>
    <x v="15"/>
    <n v="1"/>
    <n v="8"/>
    <n v="0.125"/>
  </r>
  <r>
    <s v="Americas"/>
    <x v="14"/>
    <n v="1"/>
    <n v="8"/>
    <n v="0.125"/>
  </r>
  <r>
    <s v="Asia"/>
    <x v="13"/>
    <n v="2"/>
    <n v="16"/>
    <n v="0.125"/>
  </r>
  <r>
    <s v="Asia"/>
    <x v="4"/>
    <n v="1"/>
    <n v="8"/>
    <n v="0.125"/>
  </r>
  <r>
    <s v="Europe"/>
    <x v="11"/>
    <n v="2"/>
    <n v="16"/>
    <n v="0.125"/>
  </r>
  <r>
    <s v="Europe"/>
    <x v="4"/>
    <n v="1"/>
    <n v="8"/>
    <n v="0.125"/>
  </r>
  <r>
    <s v="Europe"/>
    <x v="15"/>
    <n v="1"/>
    <n v="8"/>
    <n v="0.125"/>
  </r>
  <r>
    <s v="Asia"/>
    <x v="14"/>
    <n v="2"/>
    <n v="17"/>
    <n v="0.11764705882352941"/>
  </r>
  <r>
    <s v="Asia"/>
    <x v="2"/>
    <n v="1"/>
    <n v="9"/>
    <n v="0.1111111111111111"/>
  </r>
  <r>
    <s v="Europe"/>
    <x v="8"/>
    <n v="1"/>
    <n v="9"/>
    <n v="0.1111111111111111"/>
  </r>
  <r>
    <s v="Asia"/>
    <x v="8"/>
    <n v="2"/>
    <n v="19"/>
    <n v="0.10526315789473684"/>
  </r>
  <r>
    <s v="Americas"/>
    <x v="12"/>
    <n v="1"/>
    <n v="10"/>
    <n v="0.1"/>
  </r>
  <r>
    <s v="Asia"/>
    <x v="7"/>
    <n v="1"/>
    <n v="10"/>
    <n v="0.1"/>
  </r>
  <r>
    <s v="Europe"/>
    <x v="5"/>
    <n v="1"/>
    <n v="10"/>
    <n v="0.1"/>
  </r>
  <r>
    <s v="Europe"/>
    <x v="1"/>
    <n v="1"/>
    <n v="10"/>
    <n v="0.1"/>
  </r>
  <r>
    <s v="Asia"/>
    <x v="15"/>
    <n v="1"/>
    <n v="11"/>
    <n v="9.0909090909090912E-2"/>
  </r>
  <r>
    <s v="Europe"/>
    <x v="2"/>
    <n v="1"/>
    <n v="11"/>
    <n v="9.0909090909090912E-2"/>
  </r>
  <r>
    <s v="Europe"/>
    <x v="13"/>
    <n v="1"/>
    <n v="13"/>
    <n v="7.6923076923076927E-2"/>
  </r>
  <r>
    <s v="Americas"/>
    <x v="10"/>
    <n v="1"/>
    <n v="15"/>
    <n v="6.6666666666666666E-2"/>
  </r>
  <r>
    <s v="Africa"/>
    <x v="7"/>
    <n v="0"/>
    <n v="4"/>
    <n v="0"/>
  </r>
  <r>
    <s v="Africa"/>
    <x v="15"/>
    <n v="0"/>
    <n v="3"/>
    <n v="0"/>
  </r>
  <r>
    <s v="Africa"/>
    <x v="3"/>
    <n v="0"/>
    <n v="9"/>
    <n v="0"/>
  </r>
  <r>
    <s v="Africa"/>
    <x v="14"/>
    <n v="0"/>
    <n v="8"/>
    <n v="0"/>
  </r>
  <r>
    <s v="Africa"/>
    <x v="12"/>
    <n v="0"/>
    <n v="14"/>
    <n v="0"/>
  </r>
  <r>
    <s v="Africa"/>
    <x v="10"/>
    <n v="0"/>
    <n v="13"/>
    <n v="0"/>
  </r>
  <r>
    <s v="Americas"/>
    <x v="11"/>
    <n v="0"/>
    <n v="5"/>
    <n v="0"/>
  </r>
  <r>
    <s v="Americas"/>
    <x v="3"/>
    <n v="0"/>
    <n v="12"/>
    <n v="0"/>
  </r>
  <r>
    <s v="Americas"/>
    <x v="8"/>
    <n v="0"/>
    <n v="10"/>
    <n v="0"/>
  </r>
  <r>
    <s v="Americas"/>
    <x v="13"/>
    <n v="0"/>
    <n v="9"/>
    <n v="0"/>
  </r>
  <r>
    <s v="Asia"/>
    <x v="0"/>
    <n v="0"/>
    <n v="2"/>
    <n v="0"/>
  </r>
  <r>
    <s v="Asia"/>
    <x v="1"/>
    <n v="0"/>
    <n v="10"/>
    <n v="0"/>
  </r>
  <r>
    <s v="Asia"/>
    <x v="5"/>
    <n v="0"/>
    <n v="10"/>
    <n v="0"/>
  </r>
  <r>
    <s v="Asia"/>
    <x v="11"/>
    <n v="0"/>
    <n v="8"/>
    <n v="0"/>
  </r>
  <r>
    <s v="Europe"/>
    <x v="0"/>
    <n v="0"/>
    <n v="1"/>
    <n v="0"/>
  </r>
  <r>
    <s v="Europe"/>
    <x v="3"/>
    <n v="0"/>
    <n v="8"/>
    <n v="0"/>
  </r>
  <r>
    <s v="Europe"/>
    <x v="10"/>
    <n v="0"/>
    <n v="11"/>
    <n v="0"/>
  </r>
  <r>
    <s v="Europe"/>
    <x v="9"/>
    <n v="0"/>
    <n v="1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3-107265"/>
    <x v="0"/>
    <x v="0"/>
    <s v="Q2 -2023"/>
    <d v="2023-05-14T00:00:00"/>
    <d v="2023-05-14T00:00:00"/>
    <n v="22"/>
    <n v="0"/>
    <s v="Asia"/>
    <s v="Japan"/>
    <s v="Nagoya"/>
    <s v="Asia&gt;Japan&gt;Nagoya"/>
    <s v="Enterprise"/>
    <s v="Retail"/>
    <s v="A. Patel"/>
    <s v="Accessories"/>
    <s v="ACC-7713"/>
    <n v="1209.22"/>
    <n v="1404.33"/>
    <n v="1404.33"/>
    <s v="Medium"/>
    <n v="0.10299999999999999"/>
    <n v="0.10299999999999999"/>
    <n v="11"/>
    <n v="13856.52411"/>
    <n v="13301.42"/>
    <n v="555.10411000000022"/>
    <n v="4.0060848275751328E-2"/>
    <d v="2023-03-03T00:00:00"/>
    <n v="1"/>
  </r>
  <r>
    <s v="ORD-2023-109927"/>
    <x v="1"/>
    <x v="1"/>
    <s v="Q3 -2023"/>
    <d v="2023-07-21T00:00:00"/>
    <d v="2023-07-28T00:00:00"/>
    <n v="6"/>
    <n v="1"/>
    <s v="Asia"/>
    <s v="India"/>
    <s v="Delhi"/>
    <s v="Asia&gt;India&gt;Delhi"/>
    <s v="Small Business"/>
    <s v="Distributor"/>
    <s v="E. Garcia"/>
    <s v="Printers"/>
    <s v="PRN-2301"/>
    <n v="946.99"/>
    <n v="2132.19"/>
    <n v="2132.19"/>
    <s v="High"/>
    <n v="0.16500000000000001"/>
    <n v="0.16500000000000001"/>
    <n v="7"/>
    <n v="12462.65055"/>
    <n v="6628.93"/>
    <n v="5833.72055"/>
    <n v="0.46809629513362228"/>
    <d v="2023-01-29T00:00:00"/>
    <n v="5"/>
  </r>
  <r>
    <s v="ORD-2023-112666"/>
    <x v="2"/>
    <x v="2"/>
    <s v="Q1 -2023"/>
    <d v="2023-01-13T00:00:00"/>
    <d v="2023-01-20T00:00:00"/>
    <n v="5"/>
    <n v="1"/>
    <s v="Africa"/>
    <s v="Nigeria"/>
    <s v="Abuja"/>
    <s v="Africa&gt;Nigeria&gt;Abuja"/>
    <s v="Education"/>
    <s v="Online"/>
    <s v="O. Wang"/>
    <s v="Printers"/>
    <s v="PRN-6276"/>
    <n v="28.38"/>
    <n v="47.22"/>
    <n v="47.22"/>
    <s v="Low"/>
    <n v="0.19400000000000001"/>
    <n v="0.19400000000000001"/>
    <n v="18"/>
    <n v="685.06776000000002"/>
    <n v="510.84"/>
    <n v="174.22776000000005"/>
    <n v="0.25432193743871417"/>
    <d v="2023-01-15T00:00:00"/>
    <n v="0"/>
  </r>
  <r>
    <s v="ORD-2023-125739"/>
    <x v="3"/>
    <x v="3"/>
    <s v="Q2 -2023"/>
    <d v="2023-05-18T00:00:00"/>
    <d v="2023-05-18T00:00:00"/>
    <n v="17"/>
    <n v="0"/>
    <s v="Africa"/>
    <s v="Nigeria"/>
    <s v="Port Harcourt"/>
    <s v="Africa&gt;Nigeria&gt;Port Harcourt"/>
    <s v="Corporate"/>
    <s v="Direct"/>
    <s v="F. Müller"/>
    <s v="Components"/>
    <s v="CMP-5633"/>
    <n v="327.97"/>
    <n v="299.94"/>
    <n v="299.94"/>
    <s v="Low"/>
    <n v="4.9000000000000002E-2"/>
    <n v="4.9000000000000002E-2"/>
    <n v="3"/>
    <n v="855.72881999999993"/>
    <n v="983.91000000000008"/>
    <n v="-128.18118000000015"/>
    <n v="-0.14979182306843442"/>
    <d v="2023-01-15T00:00:00"/>
    <n v="3"/>
  </r>
  <r>
    <s v="ORD-2023-126505"/>
    <x v="4"/>
    <x v="4"/>
    <s v="Q4 -2023"/>
    <d v="2024-01-01T00:00:00"/>
    <d v="2024-01-01T00:00:00"/>
    <n v="13"/>
    <n v="0"/>
    <s v="Americas"/>
    <s v="Canada"/>
    <s v="Toronto"/>
    <s v="Americas&gt;Canada&gt;Toronto"/>
    <s v="Enterprise"/>
    <s v="Retail"/>
    <s v="K. Singh"/>
    <s v="Monitors"/>
    <s v="MON-6065"/>
    <n v="856.1"/>
    <n v="901.48"/>
    <n v="901.48"/>
    <s v="Medium"/>
    <n v="5.6000000000000001E-2"/>
    <n v="5.6000000000000001E-2"/>
    <n v="17"/>
    <n v="14466.95104"/>
    <n v="14553.7"/>
    <n v="-86.748960000000807"/>
    <n v="-5.9963540182134192E-3"/>
    <d v="2023-01-02T00:00:00"/>
    <n v="11"/>
  </r>
  <r>
    <s v="ORD-2023-128295"/>
    <x v="5"/>
    <x v="5"/>
    <s v="Q2 -2023"/>
    <d v="2023-07-03T00:00:00"/>
    <d v="2023-07-03T00:00:00"/>
    <n v="10"/>
    <n v="0"/>
    <s v="Africa"/>
    <s v="Nigeria"/>
    <s v="Abuja"/>
    <s v="Africa&gt;Nigeria&gt;Abuja"/>
    <s v="Consumer"/>
    <s v="Online"/>
    <s v="J. Njeri"/>
    <s v="Printers"/>
    <s v="PRN-2542"/>
    <n v="337.75"/>
    <n v="548.89"/>
    <n v="548.89"/>
    <s v="Low"/>
    <n v="0"/>
    <n v="0"/>
    <n v="13"/>
    <n v="7135.57"/>
    <n v="4390.75"/>
    <n v="2744.8199999999997"/>
    <n v="0.38466723751571352"/>
    <d v="2023-01-15T00:00:00"/>
    <n v="5"/>
  </r>
  <r>
    <s v="ORD-2023-132101"/>
    <x v="6"/>
    <x v="6"/>
    <s v="Q3 -2023"/>
    <d v="2023-10-09T00:00:00"/>
    <d v="2023-10-09T00:00:00"/>
    <n v="14"/>
    <n v="0"/>
    <s v="Americas"/>
    <s v="USA"/>
    <s v="New York"/>
    <s v="Americas&gt;USA&gt;New York"/>
    <s v="Small Business"/>
    <s v="Marketplace"/>
    <s v="J. Njeri"/>
    <s v="Laptops"/>
    <s v="LAP-6750"/>
    <n v="1279.56"/>
    <n v="3083.8"/>
    <n v="3083.8"/>
    <s v="High"/>
    <n v="0.106"/>
    <n v="0.106"/>
    <n v="5"/>
    <n v="13784.586000000001"/>
    <n v="6397.7999999999993"/>
    <n v="7386.7860000000019"/>
    <n v="0.53587289455047848"/>
    <d v="2023-01-13T00:00:00"/>
    <n v="8"/>
  </r>
  <r>
    <s v="ORD-2023-133848"/>
    <x v="7"/>
    <x v="7"/>
    <s v="Q3 -2023"/>
    <d v="2023-09-07T00:00:00"/>
    <d v="2023-09-07T00:00:00"/>
    <n v="23"/>
    <n v="0"/>
    <s v="Americas"/>
    <s v="USA"/>
    <s v="New York"/>
    <s v="Americas&gt;USA&gt;New York"/>
    <s v="Enterprise"/>
    <s v="Online"/>
    <s v="K. Singh"/>
    <s v="Phones"/>
    <s v="PHN-2013"/>
    <n v="590.33000000000004"/>
    <n v="973.04"/>
    <n v="973.04"/>
    <s v="Medium"/>
    <n v="0"/>
    <n v="0"/>
    <n v="26"/>
    <n v="25299.040000000001"/>
    <n v="15348.580000000002"/>
    <n v="9950.4599999999991"/>
    <n v="0.39331373838691108"/>
    <d v="2023-01-13T00:00:00"/>
    <n v="7"/>
  </r>
  <r>
    <s v="ORD-2023-139236"/>
    <x v="8"/>
    <x v="8"/>
    <s v="Q1 -2023"/>
    <d v="2023-03-20T00:00:00"/>
    <d v="2023-03-20T00:00:00"/>
    <n v="17"/>
    <n v="0"/>
    <s v="Asia"/>
    <s v="Japan"/>
    <s v="Nagoya"/>
    <s v="Asia&gt;Japan&gt;Nagoya"/>
    <s v="Small Business"/>
    <s v="Online"/>
    <s v="D. Smith"/>
    <s v="Networking"/>
    <s v="NET-7349"/>
    <n v="1171.17"/>
    <n v="2030.64"/>
    <n v="2030.64"/>
    <s v="High"/>
    <n v="0.157"/>
    <n v="0.157"/>
    <n v="11"/>
    <n v="18830.12472"/>
    <n v="12882.87"/>
    <n v="5947.254719999999"/>
    <n v="0.31583724528830415"/>
    <d v="2023-03-03T00:00:00"/>
    <n v="0"/>
  </r>
  <r>
    <s v="ORD-2023-144816"/>
    <x v="9"/>
    <x v="9"/>
    <s v="Q2 -2023"/>
    <d v="2023-05-29T00:00:00"/>
    <d v="2023-05-29T00:00:00"/>
    <n v="22"/>
    <n v="0"/>
    <s v="Africa"/>
    <s v="South Africa"/>
    <s v="Durban"/>
    <s v="Africa&gt;South Africa&gt;Durban"/>
    <s v="Education"/>
    <s v="Distributor"/>
    <s v="K. Singh"/>
    <s v="Accessories"/>
    <s v="ACC-2364"/>
    <n v="653.86"/>
    <n v="931.84"/>
    <n v="931.84"/>
    <s v="Medium"/>
    <n v="0.121"/>
    <n v="0.121"/>
    <n v="12"/>
    <n v="9829.0483199999999"/>
    <n v="7846.32"/>
    <n v="1982.7283200000002"/>
    <n v="0.20172129136506273"/>
    <d v="2023-01-07T00:00:00"/>
    <n v="4"/>
  </r>
  <r>
    <s v="ORD-2023-156396"/>
    <x v="10"/>
    <x v="10"/>
    <s v="Q1 -2023"/>
    <d v="2023-03-12T00:00:00"/>
    <d v="2023-03-12T00:00:00"/>
    <n v="19"/>
    <n v="0"/>
    <s v="Africa"/>
    <s v="Kenya"/>
    <s v="Nakuru"/>
    <s v="Africa&gt;Kenya&gt;Nakuru"/>
    <s v="Corporate"/>
    <s v="Online"/>
    <s v="F. Müller"/>
    <s v="Networking"/>
    <s v="NET-2499"/>
    <n v="352.65"/>
    <n v="485.86"/>
    <n v="485.86"/>
    <s v="Low"/>
    <n v="4.1000000000000002E-2"/>
    <n v="4.1000000000000002E-2"/>
    <n v="6"/>
    <n v="2795.6384399999997"/>
    <n v="2115.8999999999996"/>
    <n v="679.73844000000008"/>
    <n v="0.24314247159943908"/>
    <d v="2023-01-20T00:00:00"/>
    <n v="1"/>
  </r>
  <r>
    <s v="ORD-2023-157993"/>
    <x v="11"/>
    <x v="11"/>
    <s v="Q2 -2023"/>
    <d v="2023-05-18T00:00:00"/>
    <d v="2023-05-18T00:00:00"/>
    <n v="30"/>
    <n v="0"/>
    <s v="Asia"/>
    <s v="China"/>
    <s v="Shenzhen"/>
    <s v="Asia&gt;China&gt;Shenzhen"/>
    <s v="Non-Profit"/>
    <s v="Retail"/>
    <s v="H. Kim"/>
    <s v="Laptops"/>
    <s v="LAP-1482"/>
    <n v="329.03"/>
    <n v="391.15"/>
    <n v="391.15"/>
    <s v="Low"/>
    <n v="0.19700000000000001"/>
    <n v="0.19700000000000001"/>
    <n v="46"/>
    <n v="14448.298699999998"/>
    <n v="15135.38"/>
    <n v="-687.08130000000165"/>
    <n v="-4.7554477815440081E-2"/>
    <d v="2023-01-12T00:00:00"/>
    <n v="3"/>
  </r>
  <r>
    <s v="ORD-2023-159379"/>
    <x v="12"/>
    <x v="12"/>
    <s v="Q1 -2023"/>
    <d v="2023-02-11T00:00:00"/>
    <d v="2023-02-11T00:00:00"/>
    <n v="3"/>
    <n v="1"/>
    <s v="Africa"/>
    <s v="South Africa"/>
    <s v="Cape Town"/>
    <s v="Africa&gt;South Africa&gt;Cape Town"/>
    <s v="Corporate"/>
    <s v="Direct"/>
    <s v="M. Rossi"/>
    <s v="Networking"/>
    <s v="NET-5018"/>
    <n v="1410.05"/>
    <n v="2763.95"/>
    <n v="2763.95"/>
    <s v="High"/>
    <n v="0.161"/>
    <n v="0.161"/>
    <n v="26"/>
    <n v="60292.805299999993"/>
    <n v="36661.299999999996"/>
    <n v="23631.505299999997"/>
    <n v="0.39194569206750779"/>
    <d v="2023-01-07T00:00:00"/>
    <n v="1"/>
  </r>
  <r>
    <s v="ORD-2023-159821"/>
    <x v="13"/>
    <x v="13"/>
    <s v="Q3 -2023"/>
    <d v="2023-07-08T00:00:00"/>
    <d v="2023-07-08T00:00:00"/>
    <n v="7"/>
    <n v="1"/>
    <s v="Africa"/>
    <s v="Nigeria"/>
    <s v="Port Harcourt"/>
    <s v="Africa&gt;Nigeria&gt;Port Harcourt"/>
    <s v="Corporate"/>
    <s v="Retail"/>
    <s v="A. Patel"/>
    <s v="Laptops"/>
    <s v="LAP-3904"/>
    <n v="834.26"/>
    <n v="1780.56"/>
    <n v="1780.56"/>
    <s v="High"/>
    <n v="1.4E-2"/>
    <n v="1.4E-2"/>
    <n v="47"/>
    <n v="82514.711519999997"/>
    <n v="39210.22"/>
    <n v="43304.491519999996"/>
    <n v="0.5248093427497933"/>
    <d v="2023-01-15T00:00:00"/>
    <n v="5"/>
  </r>
  <r>
    <s v="ORD-2023-163610"/>
    <x v="14"/>
    <x v="14"/>
    <s v="Q4 -2023"/>
    <d v="2023-11-16T00:00:00"/>
    <d v="2023-11-16T00:00:00"/>
    <n v="25"/>
    <n v="0"/>
    <s v="Americas"/>
    <s v="Canada"/>
    <s v="Toronto"/>
    <s v="Americas&gt;Canada&gt;Toronto"/>
    <s v="Small Business"/>
    <s v="Marketplace"/>
    <s v="I. Johnson"/>
    <s v="Laptops"/>
    <s v="LAP-9024"/>
    <n v="1373.31"/>
    <n v="3154.14"/>
    <n v="3154.14"/>
    <s v="High"/>
    <n v="0.2"/>
    <n v="0.2"/>
    <n v="11"/>
    <n v="27756.432000000001"/>
    <n v="15106.41"/>
    <n v="12650.022000000001"/>
    <n v="0.45575101295440279"/>
    <d v="2023-01-02T00:00:00"/>
    <n v="9"/>
  </r>
  <r>
    <s v="ORD-2023-166668"/>
    <x v="15"/>
    <x v="15"/>
    <s v="Q4 -2023"/>
    <d v="2023-10-31T00:00:00"/>
    <d v="2023-10-31T00:00:00"/>
    <n v="26"/>
    <n v="0"/>
    <s v="Asia"/>
    <s v="China"/>
    <s v="Shanghai"/>
    <s v="Asia&gt;China&gt;Shanghai"/>
    <s v="Consumer"/>
    <s v="Unspecified"/>
    <s v="J. Njeri"/>
    <s v="Printers"/>
    <s v="PRN-6520"/>
    <n v="649.91"/>
    <n v="1360.12"/>
    <n v="1360.12"/>
    <s v="Medium"/>
    <n v="0.19400000000000001"/>
    <n v="0.19400000000000001"/>
    <n v="9"/>
    <n v="9866.3104799999983"/>
    <n v="5849.19"/>
    <n v="4017.1204799999987"/>
    <n v="0.40715528749506769"/>
    <d v="2023-01-12T00:00:00"/>
    <n v="8"/>
  </r>
  <r>
    <s v="ORD-2023-172095"/>
    <x v="16"/>
    <x v="16"/>
    <s v="Q2 -2023"/>
    <d v="2023-06-21T00:00:00"/>
    <d v="2023-06-21T00:00:00"/>
    <n v="28"/>
    <n v="0"/>
    <s v="Americas"/>
    <s v="USA"/>
    <s v="Austin"/>
    <s v="Americas&gt;USA&gt;Austin"/>
    <s v="Small Business"/>
    <s v="Marketplace"/>
    <s v="G. Dubois"/>
    <s v="Monitors"/>
    <s v="MON-6882"/>
    <n v="813.97"/>
    <n v="1568.83"/>
    <n v="1568.83"/>
    <s v="Medium"/>
    <n v="1.7000000000000001E-2"/>
    <n v="1.7000000000000001E-2"/>
    <n v="15"/>
    <n v="23132.398349999996"/>
    <n v="12209.550000000001"/>
    <n v="10922.848349999995"/>
    <n v="0.4721883215364911"/>
    <d v="2023-01-13T00:00:00"/>
    <n v="4"/>
  </r>
  <r>
    <s v="ORD-2023-173313"/>
    <x v="17"/>
    <x v="17"/>
    <s v="Q2 -2023"/>
    <d v="2023-07-12T00:00:00"/>
    <d v="2023-07-12T00:00:00"/>
    <n v="27"/>
    <n v="0"/>
    <s v="Europe"/>
    <s v="United Kingdom"/>
    <s v="Manchester"/>
    <s v="Europe&gt;United Kingdom&gt;Manchester"/>
    <s v="Consumer"/>
    <s v="Direct"/>
    <s v="I. Johnson"/>
    <s v="Accessories"/>
    <s v="ACC-3833"/>
    <n v="751.28"/>
    <n v="1111.8800000000001"/>
    <n v="1111.8800000000001"/>
    <s v="Medium"/>
    <n v="0.13500000000000001"/>
    <n v="0.13500000000000001"/>
    <n v="7"/>
    <n v="6732.4334000000008"/>
    <n v="5258.96"/>
    <n v="1473.4734000000008"/>
    <n v="0.21886193482433863"/>
    <d v="2023-01-19T00:00:00"/>
    <n v="4"/>
  </r>
  <r>
    <s v="ORD-2023-177794"/>
    <x v="18"/>
    <x v="18"/>
    <s v="Q2 -2023"/>
    <d v="2023-05-26T00:00:00"/>
    <d v="2023-05-26T00:00:00"/>
    <n v="22"/>
    <n v="0"/>
    <s v="Americas"/>
    <s v="USA"/>
    <s v="San Francisco"/>
    <s v="Americas&gt;USA&gt;San Francisco"/>
    <s v="Enterprise"/>
    <s v="Online"/>
    <s v="J. Njeri"/>
    <s v="Networking"/>
    <s v="NET-5941"/>
    <n v="249.71"/>
    <n v="361.33"/>
    <n v="361.33"/>
    <s v="Low"/>
    <n v="9.4E-2"/>
    <n v="9.4E-2"/>
    <n v="12"/>
    <n v="3928.3797600000003"/>
    <n v="2996.52"/>
    <n v="931.85976000000028"/>
    <n v="0.23721223937881206"/>
    <d v="2023-01-13T00:00:00"/>
    <n v="3"/>
  </r>
  <r>
    <s v="ORD-2023-178249"/>
    <x v="19"/>
    <x v="19"/>
    <s v="Q4 -2023"/>
    <d v="2024-01-20T00:00:00"/>
    <d v="2024-01-20T00:00:00"/>
    <n v="22"/>
    <n v="0"/>
    <s v="Africa"/>
    <s v="Kenya"/>
    <s v="Kisumu"/>
    <s v="Africa&gt;Kenya&gt;Kisumu"/>
    <s v="Corporate"/>
    <s v="Direct"/>
    <s v="L. Okafor"/>
    <s v="Phones"/>
    <s v="PHN-7924"/>
    <n v="1395.49"/>
    <n v="1679.42"/>
    <n v="1679.42"/>
    <s v="High"/>
    <n v="0.20300000000000001"/>
    <n v="0.20300000000000001"/>
    <n v="12"/>
    <n v="16061.972879999999"/>
    <n v="16745.88"/>
    <n v="-683.90712000000167"/>
    <n v="-4.2579272490964493E-2"/>
    <d v="2023-01-20T00:00:00"/>
    <n v="11"/>
  </r>
  <r>
    <s v="ORD-2023-181257"/>
    <x v="20"/>
    <x v="20"/>
    <s v="Q4 -2023"/>
    <d v="2023-12-06T00:00:00"/>
    <d v="2023-12-06T00:00:00"/>
    <n v="21"/>
    <n v="0"/>
    <s v="Europe"/>
    <s v="United Kingdom"/>
    <s v="Manchester"/>
    <s v="Europe&gt;United Kingdom&gt;Manchester"/>
    <s v="Education"/>
    <s v="Direct"/>
    <s v="H. Kim"/>
    <s v="Accessories"/>
    <s v="ACC-1060"/>
    <n v="1184.99"/>
    <n v="1154.3399999999999"/>
    <n v="1154.3399999999999"/>
    <s v="Medium"/>
    <n v="2.8000000000000001E-2"/>
    <n v="2.8000000000000001E-2"/>
    <n v="5"/>
    <n v="5610.0923999999995"/>
    <n v="5924.95"/>
    <n v="-314.85760000000028"/>
    <n v="-5.6123424990290764E-2"/>
    <d v="2023-01-19T00:00:00"/>
    <n v="9"/>
  </r>
  <r>
    <s v="ORD-2023-184577"/>
    <x v="21"/>
    <x v="21"/>
    <s v="Q2 -2023"/>
    <d v="2023-06-03T00:00:00"/>
    <d v="2023-06-03T00:00:00"/>
    <n v="17"/>
    <n v="0"/>
    <s v="Asia"/>
    <s v="China"/>
    <s v="Beijing"/>
    <s v="Asia&gt;China&gt;Beijing"/>
    <s v="Non-Profit"/>
    <s v="Distributor"/>
    <s v="M. Rossi"/>
    <s v="Printers"/>
    <s v="PRN-1923"/>
    <n v="979.59"/>
    <n v="2210.94"/>
    <n v="2210.94"/>
    <s v="High"/>
    <n v="0.15"/>
    <n v="0.15"/>
    <n v="11"/>
    <n v="20672.289000000001"/>
    <n v="10775.49"/>
    <n v="9896.7990000000009"/>
    <n v="0.47874712858358359"/>
    <d v="2023-01-12T00:00:00"/>
    <n v="4"/>
  </r>
  <r>
    <s v="ORD-2023-191563"/>
    <x v="22"/>
    <x v="22"/>
    <s v="Q4 -2023"/>
    <d v="2023-12-10T00:00:00"/>
    <d v="2023-12-10T00:00:00"/>
    <n v="10"/>
    <n v="0"/>
    <s v="Europe"/>
    <s v="Germany"/>
    <s v="Munich"/>
    <s v="Europe&gt;Germany&gt;Munich"/>
    <s v="Small Business"/>
    <s v="Direct"/>
    <s v="F. Müller"/>
    <s v="Laptops"/>
    <s v="LAP-4899"/>
    <n v="174.74"/>
    <n v="415.96"/>
    <n v="415.96"/>
    <s v="Low"/>
    <n v="0.125"/>
    <n v="0.125"/>
    <n v="21"/>
    <n v="7643.2649999999994"/>
    <n v="3669.54"/>
    <n v="3973.7249999999995"/>
    <n v="0.51989889137691803"/>
    <d v="2023-01-22T00:00:00"/>
    <n v="10"/>
  </r>
  <r>
    <s v="ORD-2023-192324"/>
    <x v="23"/>
    <x v="23"/>
    <s v="Q3 -2023"/>
    <d v="2023-09-16T00:00:00"/>
    <d v="2023-09-16T00:00:00"/>
    <n v="2"/>
    <n v="1"/>
    <s v="Europe"/>
    <s v="France"/>
    <s v="Lyon"/>
    <s v="Europe&gt;France&gt;Lyon"/>
    <s v="Non-Profit"/>
    <s v="Direct"/>
    <s v="B. Chen"/>
    <s v="Printers"/>
    <s v="PRN-4432"/>
    <n v="376.83"/>
    <n v="732.88"/>
    <n v="732.88"/>
    <s v="Low"/>
    <n v="0.188"/>
    <n v="0.188"/>
    <n v="25"/>
    <n v="14877.464000000002"/>
    <n v="9420.75"/>
    <n v="5456.7140000000018"/>
    <n v="0.36677716040852132"/>
    <d v="2023-01-10T00:00:00"/>
    <n v="8"/>
  </r>
  <r>
    <s v="ORD-2023-195665"/>
    <x v="4"/>
    <x v="4"/>
    <s v="Q4 -2023"/>
    <d v="2023-12-20T00:00:00"/>
    <d v="2023-12-20T00:00:00"/>
    <n v="1"/>
    <n v="1"/>
    <s v="Americas"/>
    <s v="Brazil"/>
    <s v="Rio de Janeiro"/>
    <s v="Americas&gt;Brazil&gt;Rio de Janeiro"/>
    <s v="Consumer"/>
    <s v="Distributor"/>
    <s v="J. Njeri"/>
    <s v="Phones"/>
    <s v="PHN-7274"/>
    <n v="1080.43"/>
    <n v="2529.15"/>
    <n v="2529.15"/>
    <s v="High"/>
    <n v="0.14699999999999999"/>
    <n v="0.14699999999999999"/>
    <n v="10"/>
    <n v="21573.6495"/>
    <n v="10804.300000000001"/>
    <n v="10769.349499999998"/>
    <n v="0.49918997247081437"/>
    <d v="2023-01-29T00:00:00"/>
    <n v="10"/>
  </r>
  <r>
    <s v="ORD-2023-197661"/>
    <x v="24"/>
    <x v="24"/>
    <s v="Q3 -2023"/>
    <d v="2023-08-22T00:00:00"/>
    <d v="2023-08-22T00:00:00"/>
    <n v="14"/>
    <n v="0"/>
    <s v="Europe"/>
    <s v="United Kingdom"/>
    <s v="Birmingham"/>
    <s v="Europe&gt;United Kingdom&gt;Birmingham"/>
    <s v="Non-Profit"/>
    <s v="Direct"/>
    <s v="N. Brown"/>
    <s v="Monitors"/>
    <s v="MON-7511"/>
    <n v="446.69"/>
    <n v="967.25"/>
    <n v="967.25"/>
    <s v="Medium"/>
    <n v="9.4E-2"/>
    <n v="9.4E-2"/>
    <n v="10"/>
    <n v="8763.2849999999999"/>
    <n v="4466.8999999999996"/>
    <n v="4296.3850000000002"/>
    <n v="0.49027105702941309"/>
    <d v="2023-01-19T00:00:00"/>
    <n v="6"/>
  </r>
  <r>
    <s v="ORD-2023-208944"/>
    <x v="25"/>
    <x v="25"/>
    <s v="Q4 -2023"/>
    <d v="2024-01-06T00:00:00"/>
    <d v="2024-01-06T00:00:00"/>
    <n v="16"/>
    <n v="0"/>
    <s v="Africa"/>
    <s v="Nigeria"/>
    <s v="Unknown"/>
    <s v="Africa&gt;Nigeria&gt;Unknown"/>
    <s v="Corporate"/>
    <s v="Marketplace"/>
    <s v="K. Singh"/>
    <s v="Components"/>
    <s v="CMP-4792"/>
    <n v="932.61"/>
    <n v="1982.98"/>
    <n v="1982.98"/>
    <s v="High"/>
    <n v="0.14399999999999999"/>
    <n v="0.14399999999999999"/>
    <n v="16"/>
    <n v="27158.894079999998"/>
    <n v="14921.76"/>
    <n v="12237.134079999998"/>
    <n v="0.45057556629345635"/>
    <d v="2023-01-15T00:00:00"/>
    <n v="11"/>
  </r>
  <r>
    <s v="ORD-2023-211715"/>
    <x v="26"/>
    <x v="26"/>
    <s v="Q4 -2023"/>
    <d v="2023-11-14T00:00:00"/>
    <d v="2023-11-14T00:00:00"/>
    <n v="15"/>
    <n v="0"/>
    <s v="Asia"/>
    <s v="India"/>
    <s v="Bengaluru"/>
    <s v="Asia&gt;India&gt;Bengaluru"/>
    <s v="Corporate"/>
    <s v="Online"/>
    <s v="F. Müller"/>
    <s v="Laptops"/>
    <s v="LAP-2378"/>
    <n v="953.46"/>
    <n v="2066.75"/>
    <n v="2066.75"/>
    <s v="High"/>
    <n v="0.13800000000000001"/>
    <n v="0.13800000000000001"/>
    <n v="5"/>
    <n v="8907.6924999999992"/>
    <n v="4767.3"/>
    <n v="4140.392499999999"/>
    <n v="0.46481089238318446"/>
    <d v="2023-01-29T00:00:00"/>
    <n v="9"/>
  </r>
  <r>
    <s v="ORD-2023-212701"/>
    <x v="27"/>
    <x v="27"/>
    <s v="Q4 -2023"/>
    <d v="2023-12-16T00:00:00"/>
    <d v="2023-12-16T00:00:00"/>
    <n v="14"/>
    <n v="0"/>
    <s v="Europe"/>
    <s v="Germany"/>
    <s v="Frankfurt"/>
    <s v="Europe&gt;Germany&gt;Frankfurt"/>
    <s v="Education"/>
    <s v="Direct"/>
    <s v="N. Brown"/>
    <s v="Monitors"/>
    <s v="MON-4278"/>
    <n v="879.08"/>
    <n v="1093.3900000000001"/>
    <n v="1093.3900000000001"/>
    <s v="Medium"/>
    <n v="0.113"/>
    <n v="0.113"/>
    <n v="17"/>
    <n v="16487.22781"/>
    <n v="14944.36"/>
    <n v="1542.8678099999997"/>
    <n v="9.3579577341935186E-2"/>
    <d v="2023-01-22T00:00:00"/>
    <n v="10"/>
  </r>
  <r>
    <s v="ORD-2023-215819"/>
    <x v="13"/>
    <x v="13"/>
    <s v="Q3 -2023"/>
    <d v="2023-07-11T00:00:00"/>
    <d v="2023-07-11T00:00:00"/>
    <n v="10"/>
    <n v="0"/>
    <s v="Europe"/>
    <s v="France"/>
    <s v="Paris"/>
    <s v="Europe&gt;France&gt;Paris"/>
    <s v="Corporate"/>
    <s v="Direct"/>
    <s v="F. Müller"/>
    <s v="Networking"/>
    <s v="NET-6533"/>
    <n v="479.5"/>
    <n v="656.66"/>
    <n v="656.66"/>
    <s v="Low"/>
    <n v="0.14899999999999999"/>
    <n v="0.14899999999999999"/>
    <n v="14"/>
    <n v="7823.4472399999995"/>
    <n v="6713"/>
    <n v="1110.4472399999995"/>
    <n v="0.14193835606412289"/>
    <d v="2023-01-10T00:00:00"/>
    <n v="5"/>
  </r>
  <r>
    <s v="ORD-2023-235230"/>
    <x v="28"/>
    <x v="28"/>
    <s v="Q3 -2023"/>
    <d v="2023-09-01T00:00:00"/>
    <d v="2023-09-01T00:00:00"/>
    <n v="2"/>
    <n v="1"/>
    <s v="Europe"/>
    <s v="Germany"/>
    <s v="Munich"/>
    <s v="Europe&gt;Germany&gt;Munich"/>
    <s v="Corporate"/>
    <s v="Direct"/>
    <s v="N. Brown"/>
    <s v="Networking"/>
    <s v="NET-9989"/>
    <n v="44.42"/>
    <n v="41.9"/>
    <n v="41.9"/>
    <s v="Low"/>
    <n v="0.14399999999999999"/>
    <n v="0.14399999999999999"/>
    <n v="6"/>
    <n v="215.19839999999996"/>
    <n v="266.52"/>
    <n v="-51.321600000000018"/>
    <n v="-0.23848504449847224"/>
    <d v="2023-01-22T00:00:00"/>
    <n v="7"/>
  </r>
  <r>
    <s v="ORD-2023-239789"/>
    <x v="29"/>
    <x v="29"/>
    <s v="Q4 -2023"/>
    <d v="2023-12-26T00:00:00"/>
    <d v="2023-12-26T00:00:00"/>
    <n v="23"/>
    <n v="0"/>
    <s v="Americas"/>
    <s v="Brazil"/>
    <s v="Rio de Janeiro"/>
    <s v="Americas&gt;Brazil&gt;Rio de Janeiro"/>
    <s v="Education"/>
    <s v="Retail"/>
    <s v="O. Wang"/>
    <s v="Phones"/>
    <s v="PHN-4644"/>
    <n v="1303.1099999999999"/>
    <n v="1145.67"/>
    <n v="1145.67"/>
    <s v="Medium"/>
    <n v="0.184"/>
    <n v="0.184"/>
    <n v="13"/>
    <n v="12153.267360000002"/>
    <n v="16940.43"/>
    <n v="-4787.1626399999986"/>
    <n v="-0.39389922875851208"/>
    <d v="2023-01-29T00:00:00"/>
    <n v="10"/>
  </r>
  <r>
    <s v="ORD-2023-240507"/>
    <x v="30"/>
    <x v="30"/>
    <s v="Q1 -2023"/>
    <d v="2023-03-26T00:00:00"/>
    <d v="2023-03-26T00:00:00"/>
    <n v="1"/>
    <n v="1"/>
    <s v="Asia"/>
    <s v="Japan"/>
    <s v="Osaka"/>
    <s v="Asia&gt;Japan&gt;Osaka"/>
    <s v="Small Business"/>
    <s v="Distributor"/>
    <s v="I. Johnson"/>
    <s v="Monitors"/>
    <s v="MON-9227"/>
    <n v="135.12"/>
    <n v="301.7"/>
    <n v="301.7"/>
    <s v="Low"/>
    <n v="0.14000000000000001"/>
    <n v="0.14000000000000001"/>
    <n v="47"/>
    <n v="12194.714"/>
    <n v="6350.64"/>
    <n v="5844.0739999999996"/>
    <n v="0.47923009920527859"/>
    <d v="2023-03-03T00:00:00"/>
    <n v="0"/>
  </r>
  <r>
    <s v="ORD-2023-243704"/>
    <x v="31"/>
    <x v="31"/>
    <s v="Q3 -2023"/>
    <d v="2023-09-19T00:00:00"/>
    <d v="2023-09-19T00:00:00"/>
    <n v="21"/>
    <n v="0"/>
    <s v="Europe"/>
    <s v="France"/>
    <s v="Lyon"/>
    <s v="Europe&gt;France&gt;Lyon"/>
    <s v="Small Business"/>
    <s v="Direct"/>
    <s v="B. Chen"/>
    <s v="Printers"/>
    <s v="PRN-7079"/>
    <n v="784.46"/>
    <n v="1843.51"/>
    <n v="1843.51"/>
    <s v="High"/>
    <n v="0.13800000000000001"/>
    <n v="0.13800000000000001"/>
    <n v="23"/>
    <n v="36549.429260000004"/>
    <n v="18042.580000000002"/>
    <n v="18506.849260000003"/>
    <n v="0.50635125184441798"/>
    <d v="2023-01-10T00:00:00"/>
    <n v="7"/>
  </r>
  <r>
    <s v="ORD-2023-244375"/>
    <x v="32"/>
    <x v="32"/>
    <s v="Q2 -2023"/>
    <d v="2023-07-01T00:00:00"/>
    <d v="2023-07-01T00:00:00"/>
    <n v="28"/>
    <n v="0"/>
    <s v="Americas"/>
    <s v="Brazil"/>
    <s v="Brasília"/>
    <s v="Americas&gt;Brazil&gt;Brasília"/>
    <s v="Small Business"/>
    <s v="Marketplace"/>
    <s v="A. Patel"/>
    <s v="Components"/>
    <s v="CMP-1223"/>
    <n v="860.4"/>
    <n v="2066.6"/>
    <n v="2066.6"/>
    <s v="High"/>
    <n v="0.01"/>
    <n v="0.01"/>
    <n v="3"/>
    <n v="6137.8019999999988"/>
    <n v="2581.1999999999998"/>
    <n v="3556.601999999999"/>
    <n v="0.57945857491004105"/>
    <d v="2023-01-29T00:00:00"/>
    <n v="4"/>
  </r>
  <r>
    <s v="ORD-2023-249805"/>
    <x v="33"/>
    <x v="33"/>
    <s v="Q4 -2023"/>
    <d v="2024-01-16T00:00:00"/>
    <d v="2024-01-16T00:00:00"/>
    <n v="25"/>
    <n v="0"/>
    <s v="Asia"/>
    <s v="India"/>
    <s v="Hyderabad"/>
    <s v="Asia&gt;India&gt;Hyderabad"/>
    <s v="Small Business"/>
    <s v="Retail"/>
    <s v="A. Patel"/>
    <s v="Components"/>
    <s v="CMP-1555"/>
    <n v="1346.81"/>
    <n v="978.09"/>
    <n v="978.09"/>
    <s v="Medium"/>
    <n v="0.159"/>
    <n v="0.159"/>
    <n v="17"/>
    <n v="13983.752729999998"/>
    <n v="22895.77"/>
    <n v="-8912.0172700000021"/>
    <n v="-0.6373122753293996"/>
    <d v="2023-01-29T00:00:00"/>
    <n v="10"/>
  </r>
  <r>
    <s v="ORD-2023-251563"/>
    <x v="34"/>
    <x v="34"/>
    <s v="Q2 -2023"/>
    <d v="2023-06-07T00:00:00"/>
    <d v="2023-06-07T00:00:00"/>
    <n v="27"/>
    <n v="0"/>
    <s v="Africa"/>
    <s v="Kenya"/>
    <s v="Mombasa"/>
    <s v="Africa&gt;Kenya&gt;Mombasa"/>
    <s v="Corporate"/>
    <s v="Online"/>
    <s v="J. Njeri"/>
    <s v="Phones"/>
    <s v="PHN-8970"/>
    <n v="12.85"/>
    <n v="15.41"/>
    <n v="15.41"/>
    <s v="Low"/>
    <n v="0.13700000000000001"/>
    <n v="0.13700000000000001"/>
    <n v="39"/>
    <n v="518.65436999999997"/>
    <n v="501.15"/>
    <n v="17.504369999999994"/>
    <n v="3.3749585489851353E-2"/>
    <d v="2023-01-20T00:00:00"/>
    <n v="3"/>
  </r>
  <r>
    <s v="ORD-2023-253245"/>
    <x v="35"/>
    <x v="35"/>
    <s v="Q3 -2023"/>
    <d v="2023-08-14T00:00:00"/>
    <d v="2023-08-14T00:00:00"/>
    <n v="11"/>
    <n v="0"/>
    <s v="Americas"/>
    <s v="Brazil"/>
    <s v="Brasília"/>
    <s v="Americas&gt;Brazil&gt;Brasília"/>
    <s v="Corporate"/>
    <s v="Direct"/>
    <s v="J. Njeri"/>
    <s v="Accessories"/>
    <s v="ACC-3951"/>
    <n v="232.73"/>
    <n v="334.19"/>
    <n v="334.19"/>
    <s v="Low"/>
    <n v="0.13400000000000001"/>
    <n v="0.13400000000000001"/>
    <n v="25"/>
    <n v="7235.2134999999998"/>
    <n v="5818.25"/>
    <n v="1416.9634999999998"/>
    <n v="0.1958426658729559"/>
    <d v="2023-01-29T00:00:00"/>
    <n v="6"/>
  </r>
  <r>
    <s v="ORD-2023-256951"/>
    <x v="36"/>
    <x v="36"/>
    <s v="Q2 -2023"/>
    <d v="2023-05-07T00:00:00"/>
    <d v="2023-05-07T00:00:00"/>
    <n v="18"/>
    <n v="0"/>
    <s v="Europe"/>
    <s v="United Kingdom"/>
    <s v="London"/>
    <s v="Europe&gt;United Kingdom&gt;London"/>
    <s v="Non-Profit"/>
    <s v="Direct"/>
    <s v="H. Kim"/>
    <s v="Networking"/>
    <s v="NET-2439"/>
    <n v="516.96"/>
    <n v="745.38"/>
    <n v="745.38"/>
    <s v="Low"/>
    <n v="0.19700000000000001"/>
    <n v="0.19700000000000001"/>
    <n v="4"/>
    <n v="2394.1605599999998"/>
    <n v="2067.84"/>
    <n v="326.32055999999966"/>
    <n v="0.13629852794835101"/>
    <d v="2023-01-19T00:00:00"/>
    <n v="3"/>
  </r>
  <r>
    <s v="ORD-2023-258768"/>
    <x v="37"/>
    <x v="37"/>
    <s v="Q2 -2023"/>
    <d v="2023-07-02T00:00:00"/>
    <d v="2023-07-02T00:00:00"/>
    <n v="3"/>
    <n v="1"/>
    <s v="Asia"/>
    <s v="Japan"/>
    <s v="Nagoya"/>
    <s v="Asia&gt;Japan&gt;Nagoya"/>
    <s v="Education"/>
    <s v="Marketplace"/>
    <s v="F. Müller"/>
    <s v="Monitors"/>
    <s v="MON-2990"/>
    <n v="55.65"/>
    <n v="83.57"/>
    <n v="83.57"/>
    <s v="Low"/>
    <n v="6.6000000000000003E-2"/>
    <n v="6.6000000000000003E-2"/>
    <n v="8"/>
    <n v="624.43503999999996"/>
    <n v="445.2"/>
    <n v="179.23503999999997"/>
    <n v="0.2870355257449998"/>
    <d v="2023-03-03T00:00:00"/>
    <n v="3"/>
  </r>
  <r>
    <s v="ORD-2023-261081"/>
    <x v="38"/>
    <x v="38"/>
    <s v="Q3 -2023"/>
    <d v="2023-08-19T00:00:00"/>
    <d v="2023-08-19T00:00:00"/>
    <n v="26"/>
    <n v="0"/>
    <s v="Africa"/>
    <s v="Kenya"/>
    <s v="Nairobi"/>
    <s v="Africa&gt;Kenya&gt;Nairobi"/>
    <s v="Enterprise"/>
    <s v="Distributor"/>
    <s v="M. Rossi"/>
    <s v="Accessories"/>
    <s v="ACC-1238"/>
    <n v="661.45"/>
    <n v="1634.86"/>
    <n v="1634.86"/>
    <s v="High"/>
    <n v="0.56499999999999995"/>
    <n v="0.3"/>
    <n v="24"/>
    <n v="27465.647999999997"/>
    <n v="15874.800000000001"/>
    <n v="11590.847999999996"/>
    <n v="0.42201254454291404"/>
    <d v="2023-01-20T00:00:00"/>
    <n v="6"/>
  </r>
  <r>
    <s v="ORD-2023-271836"/>
    <x v="39"/>
    <x v="39"/>
    <s v="Q1 -2023"/>
    <d v="2023-02-12T00:00:00"/>
    <d v="2023-02-12T00:00:00"/>
    <n v="5"/>
    <n v="1"/>
    <s v="Americas"/>
    <s v="Brazil"/>
    <s v="São Paulo"/>
    <s v="Americas&gt;Brazil&gt;São Paulo"/>
    <s v="Education"/>
    <s v="Online"/>
    <s v="N. Brown"/>
    <s v="Components"/>
    <s v="CMP-2693"/>
    <n v="948.55"/>
    <n v="2089.16"/>
    <n v="2089.16"/>
    <s v="High"/>
    <n v="7.0000000000000001E-3"/>
    <n v="7.0000000000000001E-3"/>
    <n v="12"/>
    <n v="24894.430559999997"/>
    <n v="11382.599999999999"/>
    <n v="13511.830559999999"/>
    <n v="0.54276519912492427"/>
    <d v="2023-01-29T00:00:00"/>
    <n v="0"/>
  </r>
  <r>
    <s v="ORD-2023-271918"/>
    <x v="6"/>
    <x v="6"/>
    <s v="Q3 -2023"/>
    <d v="2023-10-02T00:00:00"/>
    <d v="2023-10-02T00:00:00"/>
    <n v="7"/>
    <n v="1"/>
    <s v="Americas"/>
    <s v="USA"/>
    <s v="New York"/>
    <s v="Americas&gt;USA&gt;New York"/>
    <s v="Education"/>
    <s v="Marketplace"/>
    <s v="I. Johnson"/>
    <s v="Accessories"/>
    <s v="ACC-3551"/>
    <n v="145.58000000000001"/>
    <n v="228.15"/>
    <n v="228.15"/>
    <s v="Low"/>
    <n v="0.20399999999999999"/>
    <n v="0.20399999999999999"/>
    <n v="5"/>
    <n v="908.03700000000003"/>
    <n v="727.90000000000009"/>
    <n v="180.13699999999994"/>
    <n v="0.19838068272548359"/>
    <d v="2023-01-13T00:00:00"/>
    <n v="8"/>
  </r>
  <r>
    <s v="ORD-2023-274037"/>
    <x v="7"/>
    <x v="7"/>
    <s v="Q3 -2023"/>
    <d v="2023-08-25T00:00:00"/>
    <d v="2023-08-25T00:00:00"/>
    <n v="10"/>
    <n v="0"/>
    <s v="Africa"/>
    <s v="Kenya"/>
    <s v="Nairobi"/>
    <s v="Africa&gt;Kenya&gt;Nairobi"/>
    <s v="Small Business"/>
    <s v="Retail"/>
    <s v="N. Brown"/>
    <s v="Phones"/>
    <s v="PHN-1234"/>
    <n v="91.85"/>
    <n v="111.29"/>
    <n v="111.29"/>
    <s v="Low"/>
    <n v="0"/>
    <n v="0"/>
    <n v="6"/>
    <n v="667.74"/>
    <n v="551.09999999999991"/>
    <n v="116.6400000000001"/>
    <n v="0.17467876718483258"/>
    <d v="2023-01-20T00:00:00"/>
    <n v="6"/>
  </r>
  <r>
    <s v="ORD-2023-276806"/>
    <x v="40"/>
    <x v="40"/>
    <s v="Q1 -2023"/>
    <d v="2023-03-24T00:00:00"/>
    <d v="2023-03-24T00:00:00"/>
    <n v="20"/>
    <n v="0"/>
    <s v="Americas"/>
    <s v="Canada"/>
    <s v="Montreal"/>
    <s v="Americas&gt;Canada&gt;Montreal"/>
    <s v="Consumer"/>
    <s v="Distributor"/>
    <s v="I. Johnson"/>
    <s v="Laptops"/>
    <s v="LAP-6160"/>
    <n v="481.71"/>
    <n v="912.45"/>
    <n v="912.45"/>
    <s v="Medium"/>
    <n v="0.20300000000000001"/>
    <n v="0.20300000000000001"/>
    <n v="24"/>
    <n v="17453.3436"/>
    <n v="11561.039999999999"/>
    <n v="5892.3036000000011"/>
    <n v="0.33760313983619739"/>
    <d v="2023-01-02T00:00:00"/>
    <n v="2"/>
  </r>
  <r>
    <s v="ORD-2023-281890"/>
    <x v="41"/>
    <x v="41"/>
    <s v="Q1 -2023"/>
    <d v="2023-04-04T00:00:00"/>
    <d v="2023-04-04T00:00:00"/>
    <n v="22"/>
    <n v="0"/>
    <s v="Africa"/>
    <s v="South Africa"/>
    <s v="Durban"/>
    <s v="Africa&gt;South Africa&gt;Durban"/>
    <s v="Small Business"/>
    <s v="Retail"/>
    <s v="A. Patel"/>
    <s v="Components"/>
    <s v="CMP-2574"/>
    <n v="1113.7"/>
    <n v="1620.6"/>
    <n v="1620.6"/>
    <s v="High"/>
    <n v="0.13900000000000001"/>
    <n v="0.13900000000000001"/>
    <n v="11"/>
    <n v="15348.702599999999"/>
    <n v="12250.7"/>
    <n v="3098.002599999998"/>
    <n v="0.20184133348182787"/>
    <d v="2023-01-07T00:00:00"/>
    <n v="2"/>
  </r>
  <r>
    <s v="ORD-2023-286720"/>
    <x v="42"/>
    <x v="42"/>
    <s v="Q3 -2023"/>
    <d v="2023-07-09T00:00:00"/>
    <d v="2023-07-09T00:00:00"/>
    <n v="1"/>
    <n v="1"/>
    <s v="Africa"/>
    <s v="Kenya"/>
    <s v="Nairobi"/>
    <s v="Africa&gt;Kenya&gt;Nairobi"/>
    <s v="Consumer"/>
    <s v="Online"/>
    <s v="D. Smith"/>
    <s v="Laptops"/>
    <s v="LAP-1989"/>
    <n v="1258.72"/>
    <n v="2797.41"/>
    <n v="2797.41"/>
    <s v="High"/>
    <n v="0"/>
    <n v="0"/>
    <n v="7"/>
    <n v="19581.87"/>
    <n v="8811.0400000000009"/>
    <n v="10770.829999999998"/>
    <n v="0.55004093071805704"/>
    <d v="2023-01-20T00:00:00"/>
    <n v="5"/>
  </r>
  <r>
    <s v="ORD-2023-286994"/>
    <x v="43"/>
    <x v="43"/>
    <s v="Q1 -2023"/>
    <d v="2023-03-09T00:00:00"/>
    <d v="2023-03-09T00:00:00"/>
    <n v="13"/>
    <n v="0"/>
    <s v="Americas"/>
    <s v="USA"/>
    <s v="New York"/>
    <s v="Americas&gt;USA&gt;New York"/>
    <s v="Enterprise"/>
    <s v="Online"/>
    <s v="M. Rossi"/>
    <s v="Components"/>
    <s v="CMP-1632"/>
    <n v="6.85"/>
    <n v="10.18"/>
    <n v="10.18"/>
    <s v="Low"/>
    <n v="4.7E-2"/>
    <n v="4.7E-2"/>
    <n v="10"/>
    <n v="97.0154"/>
    <n v="68.5"/>
    <n v="28.5154"/>
    <n v="0.2939265312517394"/>
    <d v="2023-01-13T00:00:00"/>
    <n v="1"/>
  </r>
  <r>
    <s v="ORD-2023-290237"/>
    <x v="44"/>
    <x v="44"/>
    <s v="Q3 -2023"/>
    <d v="2023-08-07T00:00:00"/>
    <d v="2023-08-07T00:00:00"/>
    <n v="8"/>
    <n v="0"/>
    <s v="Asia"/>
    <s v="Japan"/>
    <s v="Nagoya"/>
    <s v="Asia&gt;Japan&gt;Nagoya"/>
    <s v="Education"/>
    <s v="Marketplace"/>
    <s v="A. Patel"/>
    <s v="Networking"/>
    <s v="NET-1645"/>
    <n v="1352.44"/>
    <n v="2698.01"/>
    <n v="2698.01"/>
    <s v="High"/>
    <n v="0.13100000000000001"/>
    <n v="0.13100000000000001"/>
    <n v="13"/>
    <n v="30479.418970000002"/>
    <n v="17581.72"/>
    <n v="12897.698970000001"/>
    <n v="0.42316091992090887"/>
    <d v="2023-03-03T00:00:00"/>
    <n v="4"/>
  </r>
  <r>
    <s v="ORD-2023-290279"/>
    <x v="45"/>
    <x v="45"/>
    <s v="Q2 -2023"/>
    <d v="2023-06-16T00:00:00"/>
    <d v="2023-06-16T00:00:00"/>
    <n v="2"/>
    <n v="1"/>
    <s v="Europe"/>
    <s v="United Kingdom"/>
    <s v="Manchester"/>
    <s v="Europe&gt;United Kingdom&gt;Manchester"/>
    <s v="Non-Profit"/>
    <s v="Direct"/>
    <s v="K. Singh"/>
    <s v="Components"/>
    <s v="CMP-5820"/>
    <n v="357.36"/>
    <n v="703.62"/>
    <n v="703.62"/>
    <s v="Low"/>
    <n v="0.25700000000000001"/>
    <n v="0.25700000000000001"/>
    <n v="20"/>
    <n v="10455.7932"/>
    <n v="7147.2000000000007"/>
    <n v="3308.5931999999993"/>
    <n v="0.31643636563125593"/>
    <d v="2023-01-19T00:00:00"/>
    <n v="4"/>
  </r>
  <r>
    <s v="ORD-2023-292714"/>
    <x v="46"/>
    <x v="46"/>
    <s v="Q3 -2023"/>
    <d v="2023-08-01T00:00:00"/>
    <d v="2023-08-01T00:00:00"/>
    <n v="22"/>
    <n v="0"/>
    <s v="Europe"/>
    <s v="France"/>
    <s v="Marseille"/>
    <s v="Europe&gt;France&gt;Marseille"/>
    <s v="Consumer"/>
    <s v="Marketplace"/>
    <s v="B. Chen"/>
    <s v="Printers"/>
    <s v="PRN-1504"/>
    <n v="1303.56"/>
    <n v="1791.37"/>
    <n v="1791.37"/>
    <s v="High"/>
    <n v="0.126"/>
    <n v="0.126"/>
    <n v="22"/>
    <n v="34444.462359999998"/>
    <n v="28678.32"/>
    <n v="5766.142359999998"/>
    <n v="0.16740404596055358"/>
    <d v="2023-01-10T00:00:00"/>
    <n v="6"/>
  </r>
  <r>
    <s v="ORD-2023-294716"/>
    <x v="47"/>
    <x v="47"/>
    <s v="Q2 -2023"/>
    <d v="2023-04-25T00:00:00"/>
    <d v="2023-04-25T00:00:00"/>
    <n v="15"/>
    <n v="0"/>
    <s v="Europe"/>
    <s v="United Kingdom"/>
    <s v="London"/>
    <s v="Europe&gt;United Kingdom&gt;London"/>
    <s v="Small Business"/>
    <s v="Retail"/>
    <s v="D. Smith"/>
    <s v="Printers"/>
    <s v="PRN-5067"/>
    <n v="405.66"/>
    <n v="962.51"/>
    <n v="962.51"/>
    <s v="Medium"/>
    <n v="0.19"/>
    <n v="0.19"/>
    <n v="7"/>
    <n v="5457.4317000000001"/>
    <n v="2839.6200000000003"/>
    <n v="2617.8116999999997"/>
    <n v="0.47967832561239376"/>
    <d v="2023-01-19T00:00:00"/>
    <n v="2"/>
  </r>
  <r>
    <s v="ORD-2023-302041"/>
    <x v="48"/>
    <x v="48"/>
    <s v="Q4 -2023"/>
    <d v="2023-10-29T00:00:00"/>
    <d v="2023-10-29T00:00:00"/>
    <n v="25"/>
    <n v="0"/>
    <s v="Americas"/>
    <s v="USA"/>
    <s v="San Francisco"/>
    <s v="Americas&gt;USA&gt;San Francisco"/>
    <s v="Small Business"/>
    <s v="Distributor"/>
    <s v="O. Wang"/>
    <s v="Accessories"/>
    <s v="ACC-5079"/>
    <n v="1239.8399999999999"/>
    <n v="1482.75"/>
    <n v="1482.75"/>
    <s v="Medium"/>
    <n v="6.7000000000000004E-2"/>
    <n v="6.7000000000000004E-2"/>
    <n v="4"/>
    <n v="5533.6230000000005"/>
    <n v="4959.3599999999997"/>
    <n v="574.26300000000083"/>
    <n v="0.10377703721413634"/>
    <d v="2023-01-13T00:00:00"/>
    <n v="8"/>
  </r>
  <r>
    <s v="ORD-2023-304451"/>
    <x v="49"/>
    <x v="49"/>
    <s v="Q4 -2023"/>
    <d v="2023-10-23T00:00:00"/>
    <d v="2023-10-23T00:00:00"/>
    <n v="16"/>
    <n v="0"/>
    <s v="Asia"/>
    <s v="India"/>
    <s v="Hyderabad"/>
    <s v="Asia&gt;India&gt;Hyderabad"/>
    <s v="Consumer"/>
    <s v="Retail"/>
    <s v="G. Dubois"/>
    <s v="Monitors"/>
    <s v="MON-7602"/>
    <n v="906.81"/>
    <n v="1395.56"/>
    <n v="1395.56"/>
    <s v="Medium"/>
    <n v="0.185"/>
    <n v="0.185"/>
    <n v="6"/>
    <n v="6824.2884000000004"/>
    <n v="5440.86"/>
    <n v="1383.4284000000007"/>
    <n v="0.20272126834498974"/>
    <d v="2023-01-29T00:00:00"/>
    <n v="8"/>
  </r>
  <r>
    <s v="ORD-2023-308124"/>
    <x v="36"/>
    <x v="36"/>
    <s v="Q2 -2023"/>
    <d v="2023-04-30T00:00:00"/>
    <d v="2023-04-30T00:00:00"/>
    <n v="11"/>
    <n v="0"/>
    <s v="Asia"/>
    <s v="India"/>
    <s v="Delhi"/>
    <s v="Asia&gt;India&gt;Delhi"/>
    <s v="Small Business"/>
    <s v="Retail"/>
    <s v="A. Patel"/>
    <s v="Networking"/>
    <s v="NET-2062"/>
    <n v="826.55"/>
    <n v="1397.05"/>
    <n v="1397.05"/>
    <s v="Medium"/>
    <n v="0.16900000000000001"/>
    <n v="0.16900000000000001"/>
    <n v="28"/>
    <n v="32506.559399999998"/>
    <n v="23143.399999999998"/>
    <n v="9363.1594000000005"/>
    <n v="0.28803907804527601"/>
    <d v="2023-01-29T00:00:00"/>
    <n v="2"/>
  </r>
  <r>
    <s v="ORD-2023-309373"/>
    <x v="50"/>
    <x v="50"/>
    <s v="Q3 -2023"/>
    <d v="2023-07-14T00:00:00"/>
    <d v="2023-07-14T00:00:00"/>
    <n v="9"/>
    <n v="0"/>
    <s v="Americas"/>
    <s v="Brazil"/>
    <s v="Brasília"/>
    <s v="Americas&gt;Brazil&gt;Brasília"/>
    <s v="Enterprise"/>
    <s v="Direct"/>
    <s v="B. Chen"/>
    <s v="Networking"/>
    <s v="NET-2394"/>
    <n v="578.85"/>
    <n v="998.76"/>
    <n v="998.76"/>
    <s v="Medium"/>
    <n v="8.2000000000000003E-2"/>
    <n v="8.2000000000000003E-2"/>
    <n v="28"/>
    <n v="25672.127039999999"/>
    <n v="16207.800000000001"/>
    <n v="9464.3270399999983"/>
    <n v="0.36866158480960831"/>
    <d v="2023-01-29T00:00:00"/>
    <n v="5"/>
  </r>
  <r>
    <s v="ORD-2023-334213"/>
    <x v="51"/>
    <x v="51"/>
    <s v="Q3 -2023"/>
    <d v="2023-08-23T00:00:00"/>
    <d v="2023-08-23T00:00:00"/>
    <n v="4"/>
    <n v="1"/>
    <s v="Africa"/>
    <s v="Nigeria"/>
    <s v="Abuja"/>
    <s v="Africa&gt;Nigeria&gt;Abuja"/>
    <s v="Small Business"/>
    <s v="Online"/>
    <s v="J. Njeri"/>
    <s v="Monitors"/>
    <s v="MON-5517"/>
    <n v="790.63"/>
    <n v="1382.31"/>
    <n v="1382.31"/>
    <s v="Medium"/>
    <n v="0.10100000000000001"/>
    <n v="0.10100000000000001"/>
    <n v="7"/>
    <n v="8698.8768300000011"/>
    <n v="5534.41"/>
    <n v="3164.4668300000012"/>
    <n v="0.36377878338116448"/>
    <d v="2023-01-15T00:00:00"/>
    <n v="7"/>
  </r>
  <r>
    <s v="ORD-2023-340056"/>
    <x v="52"/>
    <x v="52"/>
    <s v="Q2 -2023"/>
    <d v="2023-04-26T00:00:00"/>
    <d v="2023-04-26T00:00:00"/>
    <n v="0"/>
    <n v="1"/>
    <s v="Europe"/>
    <s v="France"/>
    <s v="Marseille"/>
    <s v="Europe&gt;France&gt;Marseille"/>
    <s v="Consumer"/>
    <s v="Direct"/>
    <s v="M. Rossi"/>
    <s v="Components"/>
    <s v="CMP-4945"/>
    <n v="81.489999999999995"/>
    <n v="113.08"/>
    <n v="113.08"/>
    <s v="Low"/>
    <n v="0.121"/>
    <n v="0.121"/>
    <n v="5"/>
    <n v="496.98660000000001"/>
    <n v="407.45"/>
    <n v="89.536600000000021"/>
    <n v="0.18015898215364362"/>
    <d v="2023-01-10T00:00:00"/>
    <n v="3"/>
  </r>
  <r>
    <s v="ORD-2023-343322"/>
    <x v="51"/>
    <x v="51"/>
    <s v="Q3 -2023"/>
    <d v="2023-09-12T00:00:00"/>
    <d v="2023-09-12T00:00:00"/>
    <n v="24"/>
    <n v="0"/>
    <s v="Americas"/>
    <s v="Canada"/>
    <s v="Vancouver"/>
    <s v="Americas&gt;Canada&gt;Vancouver"/>
    <s v="Enterprise"/>
    <s v="Retail"/>
    <s v="I. Johnson"/>
    <s v="Printers"/>
    <s v="PRN-9669"/>
    <n v="1183.95"/>
    <n v="1503.53"/>
    <n v="1503.53"/>
    <s v="Medium"/>
    <n v="0.24099999999999999"/>
    <n v="0.24099999999999999"/>
    <n v="16"/>
    <n v="18258.868320000001"/>
    <n v="18943.2"/>
    <n v="-684.33167999999932"/>
    <n v="-3.7479413729623705E-2"/>
    <d v="2023-01-02T00:00:00"/>
    <n v="7"/>
  </r>
  <r>
    <s v="ORD-2023-349264"/>
    <x v="53"/>
    <x v="53"/>
    <s v="Q2 -2023"/>
    <d v="2023-06-08T00:00:00"/>
    <d v="2023-06-08T00:00:00"/>
    <n v="7"/>
    <n v="1"/>
    <s v="Europe"/>
    <s v="Germany"/>
    <s v="Frankfurt"/>
    <s v="Europe&gt;Germany&gt;Frankfurt"/>
    <s v="Consumer"/>
    <s v="Online"/>
    <s v="A. Patel"/>
    <s v="Phones"/>
    <s v="PHN-1924"/>
    <n v="804.17"/>
    <n v="1072.29"/>
    <n v="1072.29"/>
    <s v="Medium"/>
    <n v="3.2000000000000001E-2"/>
    <n v="3.2000000000000001E-2"/>
    <n v="5"/>
    <n v="5189.8836000000001"/>
    <n v="4020.85"/>
    <n v="1169.0336000000002"/>
    <n v="0.2252523736755869"/>
    <d v="2023-01-22T00:00:00"/>
    <n v="4"/>
  </r>
  <r>
    <s v="ORD-2023-356427"/>
    <x v="54"/>
    <x v="54"/>
    <s v="Q2 -2023"/>
    <d v="2023-05-02T00:00:00"/>
    <d v="2023-05-02T00:00:00"/>
    <n v="19"/>
    <n v="0"/>
    <s v="Americas"/>
    <s v="Canada"/>
    <s v="Montreal"/>
    <s v="Americas&gt;Canada&gt;Montreal"/>
    <s v="Consumer"/>
    <s v="Distributor"/>
    <s v="E. Garcia"/>
    <s v="Monitors"/>
    <s v="MON-6053"/>
    <n v="671.05"/>
    <n v="1645.48"/>
    <n v="1645.48"/>
    <s v="High"/>
    <n v="0.13700000000000001"/>
    <n v="0.13700000000000001"/>
    <n v="6"/>
    <n v="8520.2954399999999"/>
    <n v="4026.2999999999997"/>
    <n v="4493.9954400000006"/>
    <n v="0.52744596377517172"/>
    <d v="2023-01-02T00:00:00"/>
    <n v="3"/>
  </r>
  <r>
    <s v="ORD-2023-363031"/>
    <x v="55"/>
    <x v="55"/>
    <s v="Q2 -2023"/>
    <d v="2023-05-14T00:00:00"/>
    <d v="2023-05-14T00:00:00"/>
    <n v="8"/>
    <n v="0"/>
    <s v="Asia"/>
    <s v="Japan"/>
    <s v="Osaka"/>
    <s v="Asia&gt;Japan&gt;Osaka"/>
    <s v="Enterprise"/>
    <s v="Marketplace"/>
    <s v="B. Chen"/>
    <s v="Phones"/>
    <s v="PHN-6131"/>
    <n v="291.18"/>
    <n v="479.54"/>
    <n v="479.54"/>
    <s v="Low"/>
    <n v="0.14099999999999999"/>
    <n v="0.14099999999999999"/>
    <n v="22"/>
    <n v="9062.34692"/>
    <n v="6405.96"/>
    <n v="2656.3869199999999"/>
    <n v="0.29312350801066001"/>
    <d v="2023-03-03T00:00:00"/>
    <n v="2"/>
  </r>
  <r>
    <s v="ORD-2023-368449"/>
    <x v="56"/>
    <x v="56"/>
    <s v="Q4 -2023"/>
    <d v="2023-10-26T00:00:00"/>
    <d v="2023-10-26T00:00:00"/>
    <n v="17"/>
    <n v="0"/>
    <s v="Asia"/>
    <s v="China"/>
    <s v="Shanghai"/>
    <s v="Asia&gt;China&gt;Shanghai"/>
    <s v="Consumer"/>
    <s v="Marketplace"/>
    <s v="C. Otieno"/>
    <s v="Components"/>
    <s v="CMP-2096"/>
    <n v="1132.03"/>
    <n v="2137.21"/>
    <n v="2137.21"/>
    <s v="High"/>
    <n v="0.35699999999999998"/>
    <n v="0.3"/>
    <n v="35"/>
    <n v="52361.645000000004"/>
    <n v="39621.049999999996"/>
    <n v="12740.595000000008"/>
    <n v="0.24331922727026639"/>
    <d v="2023-01-12T00:00:00"/>
    <n v="8"/>
  </r>
  <r>
    <s v="ORD-2023-369150"/>
    <x v="57"/>
    <x v="57"/>
    <s v="Q3 -2023"/>
    <d v="2023-08-10T00:00:00"/>
    <d v="2023-08-10T00:00:00"/>
    <n v="23"/>
    <n v="0"/>
    <s v="Africa"/>
    <s v="South Africa"/>
    <s v="Johannesburg"/>
    <s v="Africa&gt;South Africa&gt;Johannesburg"/>
    <s v="Small Business"/>
    <s v="Retail"/>
    <s v="L. Okafor"/>
    <s v="Components"/>
    <s v="CMP-8659"/>
    <n v="1271.56"/>
    <n v="995.47"/>
    <n v="995.47"/>
    <s v="Medium"/>
    <n v="0.192"/>
    <n v="0.192"/>
    <n v="13"/>
    <n v="10456.416880000001"/>
    <n v="16530.28"/>
    <n v="-6073.8631199999982"/>
    <n v="-0.58087423155607754"/>
    <d v="2023-01-07T00:00:00"/>
    <n v="6"/>
  </r>
  <r>
    <s v="ORD-2023-369160"/>
    <x v="38"/>
    <x v="38"/>
    <s v="Q3 -2023"/>
    <d v="2023-08-13T00:00:00"/>
    <d v="2023-08-13T00:00:00"/>
    <n v="20"/>
    <n v="0"/>
    <s v="Americas"/>
    <s v="Canada"/>
    <s v="Montreal"/>
    <s v="Americas&gt;Canada&gt;Montreal"/>
    <s v="Education"/>
    <s v="Direct"/>
    <s v="C. Otieno"/>
    <s v="Monitors"/>
    <s v="MON-3307"/>
    <n v="1082.3800000000001"/>
    <n v="1766.55"/>
    <n v="1766.55"/>
    <s v="High"/>
    <n v="0.16400000000000001"/>
    <n v="0.16400000000000001"/>
    <n v="20"/>
    <n v="29536.716"/>
    <n v="21647.600000000002"/>
    <n v="7889.1159999999982"/>
    <n v="0.26709523157550752"/>
    <d v="2023-01-02T00:00:00"/>
    <n v="6"/>
  </r>
  <r>
    <s v="ORD-2023-373538"/>
    <x v="58"/>
    <x v="58"/>
    <s v="Q1 -2023"/>
    <d v="2023-03-25T00:00:00"/>
    <d v="2023-03-25T00:00:00"/>
    <n v="25"/>
    <n v="0"/>
    <s v="Africa"/>
    <s v="Kenya"/>
    <s v="Nairobi"/>
    <s v="Africa&gt;Kenya&gt;Nairobi"/>
    <s v="Corporate"/>
    <s v="Retail"/>
    <s v="I. Johnson"/>
    <s v="Networking"/>
    <s v="NET-9666"/>
    <n v="1460.76"/>
    <n v="-30.66"/>
    <n v="30.66"/>
    <s v="Low"/>
    <n v="0.13100000000000001"/>
    <n v="0.13100000000000001"/>
    <n v="12"/>
    <n v="319.72248000000002"/>
    <n v="17529.12"/>
    <n v="-17209.397519999999"/>
    <n v="-53.826047890032626"/>
    <d v="2023-01-20T00:00:00"/>
    <n v="1"/>
  </r>
  <r>
    <s v="ORD-2023-374486"/>
    <x v="59"/>
    <x v="59"/>
    <s v="Q2 -2023"/>
    <d v="2023-06-23T00:00:00"/>
    <d v="2023-06-30T00:00:00"/>
    <n v="6"/>
    <n v="1"/>
    <s v="Americas"/>
    <s v="Brazil"/>
    <s v="Rio de Janeiro"/>
    <s v="Americas&gt;Brazil&gt;Rio de Janeiro"/>
    <s v="Non-Profit"/>
    <s v="Retail"/>
    <s v="E. Garcia"/>
    <s v="Printers"/>
    <s v="PRN-6490"/>
    <n v="804.01"/>
    <n v="1405.07"/>
    <n v="1405.07"/>
    <s v="Medium"/>
    <n v="9.6000000000000002E-2"/>
    <n v="9.6000000000000002E-2"/>
    <n v="8"/>
    <n v="10161.46624"/>
    <n v="6432.08"/>
    <n v="3729.3862399999998"/>
    <n v="0.36701260939287439"/>
    <d v="2023-01-29T00:00:00"/>
    <n v="4"/>
  </r>
  <r>
    <s v="ORD-2023-375011"/>
    <x v="60"/>
    <x v="60"/>
    <s v="Q3 -2023"/>
    <d v="2023-09-22T00:00:00"/>
    <d v="2023-09-22T00:00:00"/>
    <n v="30"/>
    <n v="0"/>
    <s v="Europe"/>
    <s v="United Kingdom"/>
    <s v="London"/>
    <s v="Europe&gt;United Kingdom&gt;London"/>
    <s v="Consumer"/>
    <s v="Distributor"/>
    <s v="O. Wang"/>
    <s v="Accessories"/>
    <s v="ACC-1492"/>
    <n v="209.81"/>
    <n v="523"/>
    <n v="523"/>
    <s v="Low"/>
    <n v="5.8999999999999997E-2"/>
    <n v="5.8999999999999997E-2"/>
    <n v="15"/>
    <n v="7382.1450000000004"/>
    <n v="3147.15"/>
    <n v="4234.9950000000008"/>
    <n v="0.57368082041195356"/>
    <d v="2023-01-19T00:00:00"/>
    <n v="7"/>
  </r>
  <r>
    <s v="ORD-2023-378104"/>
    <x v="61"/>
    <x v="61"/>
    <s v="Q4 -2023"/>
    <d v="2023-10-20T00:00:00"/>
    <d v="2023-10-20T00:00:00"/>
    <n v="2"/>
    <n v="1"/>
    <s v="Africa"/>
    <s v="Kenya"/>
    <s v="Kisumu"/>
    <s v="Africa&gt;Kenya&gt;Kisumu"/>
    <s v="Consumer"/>
    <s v="Retail"/>
    <s v="J. Njeri"/>
    <s v="Phones"/>
    <s v="PHN-8891"/>
    <n v="774.12"/>
    <n v="908.3"/>
    <n v="908.3"/>
    <s v="Medium"/>
    <n v="0"/>
    <n v="0"/>
    <n v="30"/>
    <n v="27249"/>
    <n v="23223.599999999999"/>
    <n v="4025.4000000000015"/>
    <n v="0.14772652207420461"/>
    <d v="2023-01-20T00:00:00"/>
    <n v="8"/>
  </r>
  <r>
    <s v="ORD-2023-378676"/>
    <x v="62"/>
    <x v="62"/>
    <s v="Q2 -2023"/>
    <d v="2023-05-16T00:00:00"/>
    <d v="2023-05-16T00:00:00"/>
    <n v="13"/>
    <n v="0"/>
    <s v="Americas"/>
    <s v="USA"/>
    <s v="New York"/>
    <s v="Americas&gt;USA&gt;New York"/>
    <s v="Corporate"/>
    <s v="Marketplace"/>
    <s v="L. Okafor"/>
    <s v="Phones"/>
    <s v="PHN-5366"/>
    <n v="64.5"/>
    <n v="123.62"/>
    <n v="123.62"/>
    <s v="Low"/>
    <n v="0"/>
    <n v="0"/>
    <n v="3"/>
    <n v="370.86"/>
    <n v="193.5"/>
    <n v="177.36"/>
    <n v="0.47823976702798904"/>
    <d v="2023-01-13T00:00:00"/>
    <n v="3"/>
  </r>
  <r>
    <s v="ORD-2023-382017"/>
    <x v="63"/>
    <x v="63"/>
    <s v="Q1 -2023"/>
    <d v="2023-01-19T00:00:00"/>
    <d v="2023-01-19T00:00:00"/>
    <n v="6"/>
    <n v="1"/>
    <s v="Americas"/>
    <s v="USA"/>
    <s v="Chicago"/>
    <s v="Americas&gt;USA&gt;Chicago"/>
    <s v="Corporate"/>
    <s v="Direct"/>
    <s v="H. Kim"/>
    <s v="Phones"/>
    <s v="PHN-3159"/>
    <n v="833.57"/>
    <n v="881.57"/>
    <n v="881.57"/>
    <s v="Medium"/>
    <n v="5.7000000000000002E-2"/>
    <n v="5.7000000000000002E-2"/>
    <n v="18"/>
    <n v="14963.769179999999"/>
    <n v="15004.26"/>
    <n v="-40.490820000000895"/>
    <n v="-2.7059238560107821E-3"/>
    <d v="2023-01-13T00:00:00"/>
    <n v="0"/>
  </r>
  <r>
    <s v="ORD-2023-382272"/>
    <x v="64"/>
    <x v="64"/>
    <s v="Q2 -2023"/>
    <d v="2023-05-18T00:00:00"/>
    <d v="2023-05-25T00:00:00"/>
    <n v="5"/>
    <n v="1"/>
    <s v="Africa"/>
    <s v="South Africa"/>
    <s v="Durban"/>
    <s v="Africa&gt;South Africa&gt;Durban"/>
    <s v="Corporate"/>
    <s v="Distributor"/>
    <s v="A. Patel"/>
    <s v="Components"/>
    <s v="CMP-5208"/>
    <n v="917.88"/>
    <n v="1347.92"/>
    <n v="1347.92"/>
    <s v="Medium"/>
    <n v="0.34300000000000003"/>
    <n v="0.3"/>
    <n v="5"/>
    <n v="4717.72"/>
    <n v="4589.3999999999996"/>
    <n v="128.32000000000062"/>
    <n v="2.7199579457873848E-2"/>
    <d v="2023-01-07T00:00:00"/>
    <n v="4"/>
  </r>
  <r>
    <s v="ORD-2023-386663"/>
    <x v="65"/>
    <x v="65"/>
    <s v="Q2 -2023"/>
    <d v="2023-06-28T00:00:00"/>
    <d v="2023-06-28T00:00:00"/>
    <n v="23"/>
    <n v="0"/>
    <s v="Europe"/>
    <s v="United Kingdom"/>
    <s v="Birmingham"/>
    <s v="Europe&gt;United Kingdom&gt;Birmingham"/>
    <s v="Corporate"/>
    <s v="Direct"/>
    <s v="K. Singh"/>
    <s v="Printers"/>
    <s v="PRN-3690"/>
    <n v="605.82000000000005"/>
    <n v="771.12"/>
    <n v="771.12"/>
    <s v="Low"/>
    <n v="0.13200000000000001"/>
    <n v="0.13200000000000001"/>
    <n v="19"/>
    <n v="12717.311040000001"/>
    <n v="11510.580000000002"/>
    <n v="1206.7310399999988"/>
    <n v="9.4888851597986767E-2"/>
    <d v="2023-01-19T00:00:00"/>
    <n v="4"/>
  </r>
  <r>
    <s v="ORD-2023-390998"/>
    <x v="36"/>
    <x v="36"/>
    <s v="Q2 -2023"/>
    <d v="2023-04-28T00:00:00"/>
    <d v="2023-04-28T00:00:00"/>
    <n v="9"/>
    <n v="0"/>
    <s v="Europe"/>
    <s v="Germany"/>
    <s v="Berlin"/>
    <s v="Europe&gt;Germany&gt;Berlin"/>
    <s v="Education"/>
    <s v="Online"/>
    <s v="E. Garcia"/>
    <s v="Monitors"/>
    <s v="MON-1663"/>
    <n v="1178.42"/>
    <n v="2446.56"/>
    <n v="2446.56"/>
    <s v="High"/>
    <n v="2.9000000000000001E-2"/>
    <n v="2.9000000000000001E-2"/>
    <n v="11"/>
    <n v="26131.70736"/>
    <n v="12962.62"/>
    <n v="13169.08736"/>
    <n v="0.5039505141618883"/>
    <d v="2023-01-22T00:00:00"/>
    <n v="2"/>
  </r>
  <r>
    <s v="ORD-2023-399631"/>
    <x v="66"/>
    <x v="66"/>
    <s v="Q2 -2023"/>
    <d v="2023-07-21T00:00:00"/>
    <d v="2023-07-21T00:00:00"/>
    <n v="29"/>
    <n v="0"/>
    <s v="Europe"/>
    <s v="France"/>
    <s v="Lyon"/>
    <s v="Europe&gt;France&gt;Lyon"/>
    <s v="Corporate"/>
    <s v="Retail"/>
    <s v="J. Njeri"/>
    <s v="Accessories"/>
    <s v="ACC-3385"/>
    <n v="734.34"/>
    <n v="887.9"/>
    <n v="887.9"/>
    <s v="Medium"/>
    <n v="2.5000000000000001E-2"/>
    <n v="2.5000000000000001E-2"/>
    <n v="12"/>
    <n v="10388.429999999998"/>
    <n v="8812.08"/>
    <n v="1576.3499999999985"/>
    <n v="0.15174092716608753"/>
    <d v="2023-01-10T00:00:00"/>
    <n v="5"/>
  </r>
  <r>
    <s v="ORD-2023-406606"/>
    <x v="67"/>
    <x v="67"/>
    <s v="Q4 -2023"/>
    <d v="2023-10-28T00:00:00"/>
    <d v="2023-10-28T00:00:00"/>
    <n v="3"/>
    <n v="1"/>
    <s v="Americas"/>
    <s v="Brazil"/>
    <s v="Brasília"/>
    <s v="Americas&gt;Brazil&gt;Brasília"/>
    <s v="Corporate"/>
    <s v="Distributor"/>
    <s v="L. Okafor"/>
    <s v="Accessories"/>
    <s v="ACC-2867"/>
    <n v="509.31"/>
    <n v="1145.9000000000001"/>
    <n v="1145.9000000000001"/>
    <s v="Medium"/>
    <n v="5.7000000000000002E-2"/>
    <n v="5.7000000000000002E-2"/>
    <n v="8"/>
    <n v="8644.6696000000011"/>
    <n v="4074.48"/>
    <n v="4570.1896000000015"/>
    <n v="0.52867140231709964"/>
    <d v="2023-01-29T00:00:00"/>
    <n v="8"/>
  </r>
  <r>
    <s v="ORD-2023-419187"/>
    <x v="68"/>
    <x v="68"/>
    <s v="Q1 -2023"/>
    <d v="2023-04-05T00:00:00"/>
    <d v="2023-04-05T00:00:00"/>
    <n v="5"/>
    <n v="1"/>
    <s v="Africa"/>
    <s v="Kenya"/>
    <s v="Nakuru"/>
    <s v="Africa&gt;Kenya&gt;Nakuru"/>
    <s v="Education"/>
    <s v="Marketplace"/>
    <s v="B. Chen"/>
    <s v="Laptops"/>
    <s v="LAP-7819"/>
    <n v="533.26"/>
    <n v="385.72"/>
    <n v="385.72"/>
    <s v="Low"/>
    <n v="0"/>
    <n v="0"/>
    <n v="15"/>
    <n v="5785.8"/>
    <n v="7998.9"/>
    <n v="-2213.0999999999995"/>
    <n v="-0.38250544436378708"/>
    <d v="2023-01-20T00:00:00"/>
    <n v="2"/>
  </r>
  <r>
    <s v="ORD-2023-422918"/>
    <x v="58"/>
    <x v="58"/>
    <s v="Q1 -2023"/>
    <d v="2023-03-20T00:00:00"/>
    <d v="2023-03-20T00:00:00"/>
    <n v="20"/>
    <n v="0"/>
    <s v="Europe"/>
    <s v="Germany"/>
    <s v="Berlin"/>
    <s v="Europe&gt;Germany&gt;Berlin"/>
    <s v="Small Business"/>
    <s v="Direct"/>
    <s v="H. Kim"/>
    <s v="Laptops"/>
    <s v="LAP-3679"/>
    <n v="1200.78"/>
    <n v="2001.17"/>
    <n v="2001.17"/>
    <s v="High"/>
    <n v="0.29199999999999998"/>
    <n v="0.29199999999999998"/>
    <n v="18"/>
    <n v="25502.910479999999"/>
    <n v="21614.04"/>
    <n v="3888.8704799999978"/>
    <n v="0.15248732034132906"/>
    <d v="2023-01-22T00:00:00"/>
    <n v="1"/>
  </r>
  <r>
    <s v="ORD-2023-427304"/>
    <x v="69"/>
    <x v="69"/>
    <s v="Q2 -2023"/>
    <d v="2023-06-19T00:00:00"/>
    <d v="2023-06-19T00:00:00"/>
    <n v="10"/>
    <n v="0"/>
    <s v="Asia"/>
    <s v="China"/>
    <s v="Beijing"/>
    <s v="Asia&gt;China&gt;Beijing"/>
    <s v="Enterprise"/>
    <s v="Retail"/>
    <s v="F. Müller"/>
    <s v="Monitors"/>
    <s v="MON-9194"/>
    <n v="339.61"/>
    <n v="621.02"/>
    <n v="621.02"/>
    <s v="Low"/>
    <n v="7.0999999999999994E-2"/>
    <n v="7.0999999999999994E-2"/>
    <n v="10"/>
    <n v="5769.2758000000003"/>
    <n v="3396.1000000000004"/>
    <n v="2373.1758"/>
    <n v="0.41134726129750981"/>
    <d v="2023-01-12T00:00:00"/>
    <n v="4"/>
  </r>
  <r>
    <s v="ORD-2023-430904"/>
    <x v="70"/>
    <x v="70"/>
    <s v="Q1 -2023"/>
    <d v="2023-01-31T00:00:00"/>
    <d v="2023-01-31T00:00:00"/>
    <n v="4"/>
    <n v="1"/>
    <s v="Europe"/>
    <s v="United Kingdom"/>
    <s v="Manchester"/>
    <s v="Europe&gt;United Kingdom&gt;Manchester"/>
    <s v="Enterprise"/>
    <s v="Online"/>
    <s v="N. Brown"/>
    <s v="Laptops"/>
    <s v="LAP-9782"/>
    <n v="941.2"/>
    <n v="668.02"/>
    <n v="668.02"/>
    <s v="Low"/>
    <n v="0.22"/>
    <n v="0.22"/>
    <n v="16"/>
    <n v="8336.8896000000004"/>
    <n v="15059.2"/>
    <n v="-6722.3104000000003"/>
    <n v="-0.80633314371825193"/>
    <d v="2023-01-19T00:00:00"/>
    <n v="0"/>
  </r>
  <r>
    <s v="ORD-2023-431328"/>
    <x v="71"/>
    <x v="71"/>
    <s v="Q4 -2023"/>
    <d v="2024-01-14T00:00:00"/>
    <d v="2024-01-14T00:00:00"/>
    <n v="25"/>
    <n v="0"/>
    <s v="Asia"/>
    <s v="India"/>
    <s v="Mumbai"/>
    <s v="Asia&gt;India&gt;Mumbai"/>
    <s v="Non-Profit"/>
    <s v="Marketplace"/>
    <s v="L. Okafor"/>
    <s v="Monitors"/>
    <s v="MON-1572"/>
    <n v="1085.6099999999999"/>
    <n v="1246.4100000000001"/>
    <n v="1246.4100000000001"/>
    <s v="Medium"/>
    <n v="0.113"/>
    <n v="0.113"/>
    <n v="7"/>
    <n v="7738.9596900000006"/>
    <n v="7599.2699999999995"/>
    <n v="139.68969000000106"/>
    <n v="1.8050189637310417E-2"/>
    <d v="2023-01-29T00:00:00"/>
    <n v="10"/>
  </r>
  <r>
    <s v="ORD-2023-434071"/>
    <x v="72"/>
    <x v="72"/>
    <s v="Q2 -2023"/>
    <d v="2023-07-04T00:00:00"/>
    <d v="2023-07-04T00:00:00"/>
    <n v="14"/>
    <n v="0"/>
    <s v="Americas"/>
    <s v="Brazil"/>
    <s v="Brasília"/>
    <s v="Americas&gt;Brazil&gt;Brasília"/>
    <s v="Non-Profit"/>
    <s v="Direct"/>
    <s v="C. Otieno"/>
    <s v="Networking"/>
    <s v="NET-1228"/>
    <n v="1292.8599999999999"/>
    <n v="2981.01"/>
    <n v="2981.01"/>
    <s v="High"/>
    <n v="0.14199999999999999"/>
    <n v="0.14199999999999999"/>
    <n v="12"/>
    <n v="30692.47896"/>
    <n v="15514.32"/>
    <n v="15178.158960000001"/>
    <n v="0.49452372288927687"/>
    <d v="2023-01-29T00:00:00"/>
    <n v="4"/>
  </r>
  <r>
    <s v="ORD-2023-450877"/>
    <x v="73"/>
    <x v="73"/>
    <s v="Q3 -2023"/>
    <d v="2023-10-10T00:00:00"/>
    <d v="2023-10-10T00:00:00"/>
    <n v="19"/>
    <n v="0"/>
    <s v="Asia"/>
    <s v="Japan"/>
    <s v="Tokyo"/>
    <s v="Asia&gt;Japan&gt;Tokyo"/>
    <s v="Education"/>
    <s v="Online"/>
    <s v="D. Smith"/>
    <s v="Components"/>
    <s v="CMP-5211"/>
    <n v="845.63"/>
    <n v="2062.12"/>
    <n v="2062.12"/>
    <s v="High"/>
    <n v="0.13400000000000001"/>
    <n v="0.13400000000000001"/>
    <n v="5"/>
    <n v="8928.9795999999988"/>
    <n v="4228.1499999999996"/>
    <n v="4700.8295999999991"/>
    <n v="0.52646884757133949"/>
    <d v="2023-03-03T00:00:00"/>
    <n v="6"/>
  </r>
  <r>
    <s v="ORD-2023-451931"/>
    <x v="44"/>
    <x v="44"/>
    <s v="Q3 -2023"/>
    <d v="2023-08-19T00:00:00"/>
    <d v="2023-08-19T00:00:00"/>
    <n v="20"/>
    <n v="0"/>
    <s v="Europe"/>
    <s v="France"/>
    <s v="Paris"/>
    <s v="Europe&gt;France&gt;Paris"/>
    <s v="Enterprise"/>
    <s v="Marketplace"/>
    <s v="G. Dubois"/>
    <s v="Networking"/>
    <s v="NET-5423"/>
    <n v="1418.51"/>
    <n v="2789.61"/>
    <n v="2789.61"/>
    <s v="High"/>
    <n v="0.17100000000000001"/>
    <n v="0.17100000000000001"/>
    <n v="8"/>
    <n v="18500.693520000001"/>
    <n v="11348.08"/>
    <n v="7152.6135200000008"/>
    <n v="0.38661326464695689"/>
    <d v="2023-01-10T00:00:00"/>
    <n v="6"/>
  </r>
  <r>
    <s v="ORD-2023-453699"/>
    <x v="13"/>
    <x v="13"/>
    <s v="Q3 -2023"/>
    <d v="2023-07-08T00:00:00"/>
    <d v="2023-07-08T00:00:00"/>
    <n v="7"/>
    <n v="1"/>
    <s v="Europe"/>
    <s v="Germany"/>
    <s v="Frankfurt"/>
    <s v="Europe&gt;Germany&gt;Frankfurt"/>
    <s v="Small Business"/>
    <s v="Distributor"/>
    <s v="N. Brown"/>
    <s v="Laptops"/>
    <s v="LAP-4666"/>
    <n v="460.21"/>
    <n v="1139.1500000000001"/>
    <n v="1139.1500000000001"/>
    <s v="Medium"/>
    <n v="0.115"/>
    <n v="0.115"/>
    <n v="14"/>
    <n v="14114.068500000001"/>
    <n v="6442.94"/>
    <n v="7671.1285000000016"/>
    <n v="0.54350937151821255"/>
    <d v="2023-01-22T00:00:00"/>
    <n v="5"/>
  </r>
  <r>
    <s v="ORD-2023-455933"/>
    <x v="74"/>
    <x v="74"/>
    <s v="Q4 -2023"/>
    <d v="2023-12-19T00:00:00"/>
    <d v="2023-12-19T00:00:00"/>
    <n v="30"/>
    <n v="0"/>
    <s v="Asia"/>
    <s v="Japan"/>
    <s v="Nagoya"/>
    <s v="Asia&gt;Japan&gt;Nagoya"/>
    <s v="Consumer"/>
    <s v="Retail"/>
    <s v="Unassigned"/>
    <s v="Phones"/>
    <s v="PHN-9184"/>
    <n v="807.11"/>
    <n v="1853.86"/>
    <n v="1853.86"/>
    <s v="High"/>
    <n v="0.13900000000000001"/>
    <n v="0.13900000000000001"/>
    <n v="8"/>
    <n v="12769.38768"/>
    <n v="6456.88"/>
    <n v="6312.5076799999997"/>
    <n v="0.49434693645388639"/>
    <d v="2023-03-03T00:00:00"/>
    <n v="8"/>
  </r>
  <r>
    <s v="ORD-2023-472050"/>
    <x v="75"/>
    <x v="75"/>
    <s v="Q2 -2023"/>
    <d v="2023-05-27T00:00:00"/>
    <d v="2023-05-27T00:00:00"/>
    <n v="17"/>
    <n v="0"/>
    <s v="Asia"/>
    <s v="India"/>
    <s v="Mumbai"/>
    <s v="Asia&gt;India&gt;Mumbai"/>
    <s v="Consumer"/>
    <s v="Retail"/>
    <s v="M. Rossi"/>
    <s v="Laptops"/>
    <s v="LAP-6499"/>
    <n v="1286.1600000000001"/>
    <n v="3101.11"/>
    <n v="3101.11"/>
    <s v="High"/>
    <n v="0.1"/>
    <n v="0.1"/>
    <n v="23"/>
    <n v="64192.976999999999"/>
    <n v="29581.68"/>
    <n v="34611.296999999999"/>
    <n v="0.53917575749758417"/>
    <d v="2023-01-29T00:00:00"/>
    <n v="3"/>
  </r>
  <r>
    <s v="ORD-2023-472078"/>
    <x v="58"/>
    <x v="58"/>
    <s v="Q1 -2023"/>
    <d v="2023-03-06T00:00:00"/>
    <d v="2023-03-06T00:00:00"/>
    <n v="6"/>
    <n v="1"/>
    <s v="Europe"/>
    <s v="Germany"/>
    <s v="Frankfurt"/>
    <s v="Europe&gt;Germany&gt;Frankfurt"/>
    <s v="Small Business"/>
    <s v="Marketplace"/>
    <s v="D. Smith"/>
    <s v="Printers"/>
    <s v="PRN-9624"/>
    <n v="880.02"/>
    <n v="1251.21"/>
    <n v="1251.21"/>
    <s v="Medium"/>
    <n v="0.123"/>
    <n v="0.123"/>
    <n v="29"/>
    <n v="31822.023930000003"/>
    <n v="25520.579999999998"/>
    <n v="6301.4439300000049"/>
    <n v="0.19802146915172672"/>
    <d v="2023-01-22T00:00:00"/>
    <n v="1"/>
  </r>
  <r>
    <s v="ORD-2023-474313"/>
    <x v="15"/>
    <x v="15"/>
    <s v="Q4 -2023"/>
    <d v="2023-10-06T00:00:00"/>
    <d v="2023-10-06T00:00:00"/>
    <n v="1"/>
    <n v="1"/>
    <s v="Asia"/>
    <s v="India"/>
    <s v="Bengaluru"/>
    <s v="Asia&gt;India&gt;Bengaluru"/>
    <s v="Non-Profit"/>
    <s v="Online"/>
    <s v="I. Johnson"/>
    <s v="Components"/>
    <s v="CMP-4807"/>
    <n v="1470.26"/>
    <n v="2562.5500000000002"/>
    <n v="2562.5500000000002"/>
    <s v="High"/>
    <n v="0.17299999999999999"/>
    <n v="0.17299999999999999"/>
    <n v="9"/>
    <n v="19073.059649999999"/>
    <n v="13232.34"/>
    <n v="5840.7196499999991"/>
    <n v="0.30622877279157462"/>
    <d v="2023-01-29T00:00:00"/>
    <n v="8"/>
  </r>
  <r>
    <s v="ORD-2023-479747"/>
    <x v="76"/>
    <x v="76"/>
    <s v="Q3 -2023"/>
    <d v="2023-07-14T00:00:00"/>
    <d v="2023-07-14T00:00:00"/>
    <n v="0"/>
    <n v="1"/>
    <s v="Africa"/>
    <s v="Nigeria"/>
    <s v="Lagos"/>
    <s v="Africa&gt;Nigeria&gt;Lagos"/>
    <s v="Education"/>
    <s v="Retail"/>
    <s v="I. Johnson"/>
    <s v="Accessories"/>
    <s v="ACC-5334"/>
    <n v="956.38"/>
    <n v="1454.22"/>
    <n v="1454.22"/>
    <s v="Medium"/>
    <n v="3.9E-2"/>
    <n v="3.9E-2"/>
    <n v="19"/>
    <n v="26552.60298"/>
    <n v="18171.22"/>
    <n v="8381.3829799999985"/>
    <n v="0.31565202802576603"/>
    <d v="2023-01-15T00:00:00"/>
    <n v="5"/>
  </r>
  <r>
    <s v="ORD-2023-480975"/>
    <x v="77"/>
    <x v="77"/>
    <s v="Q1 -2023"/>
    <d v="2023-02-26T00:00:00"/>
    <d v="2023-02-26T00:00:00"/>
    <n v="11"/>
    <n v="0"/>
    <s v="Africa"/>
    <s v="South Africa"/>
    <s v="Johannesburg"/>
    <s v="Africa&gt;South Africa&gt;Johannesburg"/>
    <s v="Non-Profit"/>
    <s v="Retail"/>
    <s v="K. Singh"/>
    <s v="Laptops"/>
    <s v="LAP-3393"/>
    <n v="498.5"/>
    <n v="755.87"/>
    <n v="755.87"/>
    <s v="Low"/>
    <n v="0.13"/>
    <n v="0.13"/>
    <n v="40"/>
    <n v="26304.275999999998"/>
    <n v="19940"/>
    <n v="6364.275999999998"/>
    <n v="0.24194834330357537"/>
    <d v="2023-01-07T00:00:00"/>
    <n v="1"/>
  </r>
  <r>
    <s v="ORD-2023-488227"/>
    <x v="78"/>
    <x v="78"/>
    <s v="Q3 -2023"/>
    <d v="2023-10-02T00:00:00"/>
    <d v="2023-10-02T00:00:00"/>
    <n v="24"/>
    <n v="0"/>
    <s v="Americas"/>
    <s v="Canada"/>
    <s v="Toronto"/>
    <s v="Americas&gt;Canada&gt;Toronto"/>
    <s v="Education"/>
    <s v="Direct"/>
    <s v="A. Patel"/>
    <s v="Accessories"/>
    <s v="ACC-3415"/>
    <n v="1299.03"/>
    <n v="2451.2199999999998"/>
    <n v="2451.2199999999998"/>
    <s v="High"/>
    <n v="0.20799999999999999"/>
    <n v="0.20799999999999999"/>
    <n v="8"/>
    <n v="15530.929919999999"/>
    <n v="10392.24"/>
    <n v="5138.6899199999989"/>
    <n v="0.3308681416032041"/>
    <d v="2023-01-02T00:00:00"/>
    <n v="8"/>
  </r>
  <r>
    <s v="ORD-2023-497686"/>
    <x v="79"/>
    <x v="79"/>
    <s v="Q3 -2023"/>
    <d v="2023-07-23T00:00:00"/>
    <d v="2023-07-23T00:00:00"/>
    <n v="20"/>
    <n v="0"/>
    <s v="Africa"/>
    <s v="South Africa"/>
    <s v="Johannesburg"/>
    <s v="Africa&gt;South Africa&gt;Johannesburg"/>
    <s v="Small Business"/>
    <s v="Distributor"/>
    <s v="F. Müller"/>
    <s v="Laptops"/>
    <s v="LAP-6342"/>
    <n v="1001.96"/>
    <n v="1254.95"/>
    <n v="1254.95"/>
    <s v="Medium"/>
    <n v="4.4999999999999998E-2"/>
    <n v="4.4999999999999998E-2"/>
    <n v="18"/>
    <n v="21572.590500000002"/>
    <n v="18035.28"/>
    <n v="3537.3105000000032"/>
    <n v="0.16397244920585699"/>
    <d v="2023-01-07T00:00:00"/>
    <n v="5"/>
  </r>
  <r>
    <s v="ORD-2023-501220"/>
    <x v="36"/>
    <x v="36"/>
    <s v="Q2 -2023"/>
    <d v="2023-05-07T00:00:00"/>
    <d v="2023-05-07T00:00:00"/>
    <n v="18"/>
    <n v="0"/>
    <s v="Europe"/>
    <s v="United Kingdom"/>
    <s v="Birmingham"/>
    <s v="Europe&gt;United Kingdom&gt;Birmingham"/>
    <s v="Enterprise"/>
    <s v="Retail"/>
    <s v="N. Brown"/>
    <s v="Laptops"/>
    <s v="LAP-9766"/>
    <n v="1089.1500000000001"/>
    <n v="1088.2"/>
    <n v="1088.2"/>
    <s v="Medium"/>
    <n v="5.0999999999999997E-2"/>
    <n v="5.0999999999999997E-2"/>
    <n v="15"/>
    <n v="15490.527"/>
    <n v="16337.250000000002"/>
    <n v="-846.72300000000178"/>
    <n v="-5.4660696824582002E-2"/>
    <d v="2023-01-19T00:00:00"/>
    <n v="3"/>
  </r>
  <r>
    <s v="ORD-2023-502205"/>
    <x v="56"/>
    <x v="56"/>
    <s v="Q4 -2023"/>
    <d v="2023-10-11T00:00:00"/>
    <d v="2023-10-11T00:00:00"/>
    <n v="2"/>
    <n v="1"/>
    <s v="Africa"/>
    <s v="Nigeria"/>
    <s v="Port Harcourt"/>
    <s v="Africa&gt;Nigeria&gt;Port Harcourt"/>
    <s v="Education"/>
    <s v="Marketplace"/>
    <s v="K. Singh"/>
    <s v="Networking"/>
    <s v="NET-8856"/>
    <n v="391.16"/>
    <n v="902.47"/>
    <n v="902.47"/>
    <s v="Medium"/>
    <n v="4.0000000000000001E-3"/>
    <n v="4.0000000000000001E-3"/>
    <n v="12"/>
    <n v="10786.32144"/>
    <n v="4693.92"/>
    <n v="6092.4014399999996"/>
    <n v="0.56482661618139207"/>
    <d v="2023-01-15T00:00:00"/>
    <n v="8"/>
  </r>
  <r>
    <s v="ORD-2023-517216"/>
    <x v="80"/>
    <x v="80"/>
    <s v="Q3 -2023"/>
    <d v="2023-10-08T00:00:00"/>
    <d v="2023-10-08T00:00:00"/>
    <n v="19"/>
    <n v="0"/>
    <s v="Asia"/>
    <s v="India"/>
    <s v="Bengaluru"/>
    <s v="Asia&gt;India&gt;Bengaluru"/>
    <s v="Education"/>
    <s v="Direct"/>
    <s v="J. Njeri"/>
    <s v="Printers"/>
    <s v="PRN-5005"/>
    <n v="385.32"/>
    <n v="606.76"/>
    <n v="606.76"/>
    <s v="Low"/>
    <n v="8.5999999999999993E-2"/>
    <n v="8.5999999999999993E-2"/>
    <n v="8"/>
    <n v="4436.6291200000005"/>
    <n v="3082.56"/>
    <n v="1354.0691200000006"/>
    <n v="0.30520223425842735"/>
    <d v="2023-01-29T00:00:00"/>
    <n v="7"/>
  </r>
  <r>
    <s v="ORD-2023-521280"/>
    <x v="81"/>
    <x v="81"/>
    <s v="Q2 -2023"/>
    <d v="2023-06-19T00:00:00"/>
    <d v="2023-06-19T00:00:00"/>
    <n v="23"/>
    <n v="0"/>
    <s v="Europe"/>
    <s v="Germany"/>
    <s v="Berlin"/>
    <s v="Europe&gt;Germany&gt;Berlin"/>
    <s v="Education"/>
    <s v="Retail"/>
    <s v="O. Wang"/>
    <s v="Accessories"/>
    <s v="ACC-1882"/>
    <n v="1471.58"/>
    <n v="2576.65"/>
    <n v="2576.65"/>
    <s v="High"/>
    <n v="4.0000000000000001E-3"/>
    <n v="4.0000000000000001E-3"/>
    <n v="7"/>
    <n v="17964.4038"/>
    <n v="10301.06"/>
    <n v="7663.3438000000006"/>
    <n v="0.4265849223451546"/>
    <d v="2023-01-22T00:00:00"/>
    <n v="4"/>
  </r>
  <r>
    <s v="ORD-2023-521818"/>
    <x v="82"/>
    <x v="82"/>
    <s v="Q1 -2023"/>
    <d v="2023-01-30T00:00:00"/>
    <d v="2023-01-30T00:00:00"/>
    <n v="8"/>
    <n v="0"/>
    <s v="Americas"/>
    <s v="USA"/>
    <s v="San Francisco"/>
    <s v="Americas&gt;USA&gt;San Francisco"/>
    <s v="Small Business"/>
    <s v="Online"/>
    <s v="A. Patel"/>
    <s v="Networking"/>
    <s v="NET-4155"/>
    <n v="413.52"/>
    <n v="1004.34"/>
    <n v="1004.34"/>
    <s v="Medium"/>
    <n v="0.111"/>
    <n v="0.111"/>
    <n v="18"/>
    <n v="16071.44868"/>
    <n v="7443.36"/>
    <n v="8628.0886800000007"/>
    <n v="0.53685817948304593"/>
    <d v="2023-01-13T00:00:00"/>
    <n v="0"/>
  </r>
  <r>
    <s v="ORD-2023-521818"/>
    <x v="83"/>
    <x v="83"/>
    <s v="Q1 -2023"/>
    <d v="2023-02-28T00:00:00"/>
    <d v="2023-02-28T00:00:00"/>
    <n v="30"/>
    <n v="0"/>
    <s v="Asia"/>
    <s v="India"/>
    <s v="Bengaluru"/>
    <s v="Asia&gt;India&gt;Bengaluru"/>
    <s v="Non-Profit"/>
    <s v="Retail"/>
    <s v="B. Chen"/>
    <s v="Accessories"/>
    <s v="ACC-4631"/>
    <n v="1262.0999999999999"/>
    <n v="1395.53"/>
    <n v="1395.53"/>
    <s v="Medium"/>
    <n v="0.23300000000000001"/>
    <n v="0.23300000000000001"/>
    <n v="25"/>
    <n v="26759.28775"/>
    <n v="31552.499999999996"/>
    <n v="-4793.2122499999969"/>
    <n v="-0.17912331205452198"/>
    <d v="2023-01-29T00:00:00"/>
    <n v="0"/>
  </r>
  <r>
    <s v="ORD-2023-525643"/>
    <x v="84"/>
    <x v="84"/>
    <s v="Q3 -2023"/>
    <d v="2023-09-03T00:00:00"/>
    <d v="2023-09-03T00:00:00"/>
    <n v="17"/>
    <n v="0"/>
    <s v="Africa"/>
    <s v="South Africa"/>
    <s v="Durban"/>
    <s v="Africa&gt;South Africa&gt;Durban"/>
    <s v="Enterprise"/>
    <s v="Retail"/>
    <s v="A. Patel"/>
    <s v="Phones"/>
    <s v="PHN-8072"/>
    <n v="676.37"/>
    <n v="1276.67"/>
    <n v="1276.67"/>
    <s v="Medium"/>
    <n v="6.6000000000000003E-2"/>
    <n v="6.6000000000000003E-2"/>
    <n v="10"/>
    <n v="11924.0978"/>
    <n v="6763.7"/>
    <n v="5160.3977999999997"/>
    <n v="0.4327705027712872"/>
    <d v="2023-01-07T00:00:00"/>
    <n v="7"/>
  </r>
  <r>
    <s v="ORD-2023-536542"/>
    <x v="85"/>
    <x v="85"/>
    <s v="Q2 -2023"/>
    <d v="2023-06-18T00:00:00"/>
    <d v="2023-06-18T00:00:00"/>
    <n v="8"/>
    <n v="0"/>
    <s v="Africa"/>
    <s v="Kenya"/>
    <s v="Nakuru"/>
    <s v="Africa&gt;Kenya&gt;Nakuru"/>
    <s v="Enterprise"/>
    <s v="Direct"/>
    <s v="H. Kim"/>
    <s v="Phones"/>
    <s v="PHN-2337"/>
    <n v="894.23"/>
    <n v="1421.55"/>
    <n v="1421.55"/>
    <s v="Medium"/>
    <n v="0.109"/>
    <n v="0.109"/>
    <n v="3"/>
    <n v="3799.8031499999997"/>
    <n v="2682.69"/>
    <n v="1117.1131499999997"/>
    <n v="0.29399237431549574"/>
    <d v="2023-01-20T00:00:00"/>
    <n v="4"/>
  </r>
  <r>
    <s v="ORD-2023-539967"/>
    <x v="86"/>
    <x v="86"/>
    <s v="Q3 -2023"/>
    <d v="2023-07-19T00:00:00"/>
    <d v="2023-07-19T00:00:00"/>
    <n v="10"/>
    <n v="0"/>
    <s v="Asia"/>
    <s v="Japan"/>
    <s v="Tokyo"/>
    <s v="Asia&gt;Japan&gt;Tokyo"/>
    <s v="Enterprise"/>
    <s v="Distributor"/>
    <s v="N. Brown"/>
    <s v="Components"/>
    <s v="CMP-6649"/>
    <n v="141.26"/>
    <n v="206.88"/>
    <n v="206.88"/>
    <s v="Low"/>
    <n v="0.107"/>
    <n v="0.107"/>
    <n v="9"/>
    <n v="1662.6945600000001"/>
    <n v="1271.3399999999999"/>
    <n v="391.35456000000022"/>
    <n v="0.23537369365062469"/>
    <d v="2023-03-03T00:00:00"/>
    <n v="4"/>
  </r>
  <r>
    <s v="ORD-2023-545150"/>
    <x v="87"/>
    <x v="87"/>
    <s v="Q2 -2023"/>
    <d v="2023-04-08T00:00:00"/>
    <d v="2023-04-08T00:00:00"/>
    <n v="2"/>
    <n v="1"/>
    <s v="Africa"/>
    <s v="Nigeria"/>
    <s v="Abuja"/>
    <s v="Africa&gt;Nigeria&gt;Abuja"/>
    <s v="Small Business"/>
    <s v="Marketplace"/>
    <s v="K. Singh"/>
    <s v="Monitors"/>
    <s v="MON-4373"/>
    <n v="720.35"/>
    <n v="1571.66"/>
    <n v="1571.66"/>
    <s v="Medium"/>
    <n v="0.107"/>
    <n v="0.107"/>
    <n v="23"/>
    <n v="32280.32474"/>
    <n v="16568.05"/>
    <n v="15712.274740000001"/>
    <n v="0.4867446305622265"/>
    <d v="2023-01-15T00:00:00"/>
    <n v="2"/>
  </r>
  <r>
    <s v="ORD-2023-548874"/>
    <x v="88"/>
    <x v="88"/>
    <s v="Q1 -2023"/>
    <d v="2023-04-09T00:00:00"/>
    <d v="2023-04-09T00:00:00"/>
    <n v="21"/>
    <n v="0"/>
    <s v="Europe"/>
    <s v="United Kingdom"/>
    <s v="Manchester"/>
    <s v="Europe&gt;United Kingdom&gt;Manchester"/>
    <s v="Consumer"/>
    <s v="Retail"/>
    <s v="L. Okafor"/>
    <s v="Accessories"/>
    <s v="ACC-9150"/>
    <n v="1082.17"/>
    <n v="1234.0999999999999"/>
    <n v="1234.0999999999999"/>
    <s v="Medium"/>
    <n v="0.189"/>
    <n v="0.189"/>
    <n v="16"/>
    <n v="16013.681599999998"/>
    <n v="17314.72"/>
    <n v="-1301.0384000000031"/>
    <n v="-8.124542703534228E-2"/>
    <d v="2023-01-19T00:00:00"/>
    <n v="2"/>
  </r>
  <r>
    <s v="ORD-2023-548934"/>
    <x v="35"/>
    <x v="35"/>
    <s v="Q3 -2023"/>
    <d v="2023-08-30T00:00:00"/>
    <d v="2023-08-30T00:00:00"/>
    <n v="27"/>
    <n v="0"/>
    <s v="Asia"/>
    <s v="China"/>
    <s v="Shanghai"/>
    <s v="Asia&gt;China&gt;Shanghai"/>
    <s v="Consumer"/>
    <s v="Distributor"/>
    <s v="N. Brown"/>
    <s v="Monitors"/>
    <s v="MON-3773"/>
    <n v="226.04"/>
    <n v="545.72"/>
    <n v="545.72"/>
    <s v="Low"/>
    <n v="0.151"/>
    <n v="0.151"/>
    <n v="11"/>
    <n v="5096.4790800000001"/>
    <n v="2486.44"/>
    <n v="2610.03908"/>
    <n v="0.51212592831834014"/>
    <d v="2023-01-12T00:00:00"/>
    <n v="6"/>
  </r>
  <r>
    <s v="ORD-2023-552115"/>
    <x v="89"/>
    <x v="89"/>
    <s v="Q3 -2023"/>
    <d v="2023-10-02T00:00:00"/>
    <d v="2023-10-02T00:00:00"/>
    <n v="15"/>
    <n v="0"/>
    <s v="Americas"/>
    <s v="Brazil"/>
    <s v="Rio de Janeiro"/>
    <s v="Americas&gt;Brazil&gt;Rio de Janeiro"/>
    <s v="Small Business"/>
    <s v="Retail"/>
    <s v="B. Chen"/>
    <s v="Laptops"/>
    <s v="LAP-4932"/>
    <n v="689.33"/>
    <n v="668.27"/>
    <n v="668.27"/>
    <s v="Low"/>
    <n v="0.186"/>
    <n v="0.186"/>
    <n v="13"/>
    <n v="7071.6331400000008"/>
    <n v="8961.2900000000009"/>
    <n v="-1889.6568600000001"/>
    <n v="-0.26721647214861033"/>
    <d v="2023-01-29T00:00:00"/>
    <n v="7"/>
  </r>
  <r>
    <s v="ORD-2023-561823"/>
    <x v="74"/>
    <x v="74"/>
    <s v="Q4 -2023"/>
    <d v="2023-12-12T00:00:00"/>
    <d v="2023-12-12T00:00:00"/>
    <n v="23"/>
    <n v="0"/>
    <s v="Asia"/>
    <s v="India"/>
    <s v="Delhi"/>
    <s v="Asia&gt;India&gt;Delhi"/>
    <s v="Small Business"/>
    <s v="Direct"/>
    <s v="C. Otieno"/>
    <s v="Networking"/>
    <s v="NET-2460"/>
    <n v="1349.04"/>
    <n v="2636.6"/>
    <n v="2636.6"/>
    <s v="High"/>
    <n v="0.114"/>
    <n v="0.114"/>
    <n v="14"/>
    <n v="32704.386400000003"/>
    <n v="18886.559999999998"/>
    <n v="13817.826400000005"/>
    <n v="0.42250682312143928"/>
    <d v="2023-01-29T00:00:00"/>
    <n v="9"/>
  </r>
  <r>
    <s v="ORD-2023-562894"/>
    <x v="90"/>
    <x v="90"/>
    <s v="Q1 -2023"/>
    <d v="2023-03-25T00:00:00"/>
    <d v="2023-03-25T00:00:00"/>
    <n v="30"/>
    <n v="0"/>
    <s v="Americas"/>
    <s v="Canada"/>
    <s v="Montreal"/>
    <s v="Americas&gt;Canada&gt;Montreal"/>
    <s v="Enterprise"/>
    <s v="Online"/>
    <s v="D. Smith"/>
    <s v="Phones"/>
    <s v="PHN-4854"/>
    <n v="1242.6600000000001"/>
    <n v="1794.07"/>
    <n v="1794.07"/>
    <s v="High"/>
    <n v="8.8999999999999996E-2"/>
    <n v="8.8999999999999996E-2"/>
    <n v="16"/>
    <n v="26150.364320000001"/>
    <n v="19882.560000000001"/>
    <n v="6267.8043199999993"/>
    <n v="0.23968325042440553"/>
    <d v="2023-01-02T00:00:00"/>
    <n v="1"/>
  </r>
  <r>
    <s v="ORD-2023-568013"/>
    <x v="91"/>
    <x v="91"/>
    <s v="Q3 -2023"/>
    <d v="2023-10-30T00:00:00"/>
    <d v="2023-10-30T00:00:00"/>
    <n v="30"/>
    <n v="0"/>
    <s v="Asia"/>
    <s v="Japan"/>
    <s v="Tokyo"/>
    <s v="Asia&gt;Japan&gt;Tokyo"/>
    <s v="Enterprise"/>
    <s v="Online"/>
    <s v="D. Smith"/>
    <s v="Printers"/>
    <s v="PRN-1786"/>
    <n v="649.13"/>
    <n v="975.43"/>
    <n v="975.43"/>
    <s v="Medium"/>
    <n v="0.157"/>
    <n v="0.157"/>
    <n v="27"/>
    <n v="22201.762229999997"/>
    <n v="17526.509999999998"/>
    <n v="4675.2522299999982"/>
    <n v="0.21058023149543473"/>
    <d v="2023-03-03T00:00:00"/>
    <n v="6"/>
  </r>
  <r>
    <s v="ORD-2023-569862"/>
    <x v="92"/>
    <x v="92"/>
    <s v="Q3 -2023"/>
    <d v="2023-08-13T00:00:00"/>
    <d v="2023-08-13T00:00:00"/>
    <n v="28"/>
    <n v="0"/>
    <s v="Europe"/>
    <s v="United Kingdom"/>
    <s v="Manchester"/>
    <s v="Europe&gt;United Kingdom&gt;Manchester"/>
    <s v="Non-Profit"/>
    <s v="Online"/>
    <s v="J. Njeri"/>
    <s v="Laptops"/>
    <s v="LAP-1178"/>
    <n v="1039.03"/>
    <n v="2545.81"/>
    <n v="2545.81"/>
    <s v="High"/>
    <n v="0.216"/>
    <n v="0.216"/>
    <n v="21"/>
    <n v="41914.215840000004"/>
    <n v="21819.63"/>
    <n v="20094.585840000003"/>
    <n v="0.47942172929364774"/>
    <d v="2023-01-19T00:00:00"/>
    <n v="5"/>
  </r>
  <r>
    <s v="ORD-2023-573146"/>
    <x v="93"/>
    <x v="93"/>
    <s v="Q4 -2023"/>
    <d v="2023-12-18T00:00:00"/>
    <d v="2023-12-18T00:00:00"/>
    <n v="17"/>
    <n v="0"/>
    <s v="Asia"/>
    <s v="Japan"/>
    <s v="Nagoya"/>
    <s v="Asia&gt;Japan&gt;Nagoya"/>
    <s v="Small Business"/>
    <s v="Direct"/>
    <s v="N. Brown"/>
    <s v="Laptops"/>
    <s v="LAP-3604"/>
    <n v="1495.79"/>
    <n v="2783.12"/>
    <n v="2783.12"/>
    <s v="High"/>
    <n v="0.02"/>
    <n v="0.02"/>
    <n v="5"/>
    <n v="13637.287999999999"/>
    <n v="7478.95"/>
    <n v="6158.3379999999988"/>
    <n v="0.45158084217331185"/>
    <d v="2023-03-03T00:00:00"/>
    <n v="8"/>
  </r>
  <r>
    <s v="ORD-2023-573656"/>
    <x v="94"/>
    <x v="94"/>
    <s v="Q2 -2023"/>
    <d v="2023-05-16T00:00:00"/>
    <d v="2023-05-16T00:00:00"/>
    <n v="14"/>
    <n v="0"/>
    <s v="Asia"/>
    <s v="India"/>
    <s v="Bengaluru"/>
    <s v="Asia&gt;India&gt;Bengaluru"/>
    <s v="Non-Profit"/>
    <s v="Retail"/>
    <s v="L. Okafor"/>
    <s v="Monitors"/>
    <s v="MON-4830"/>
    <n v="475.37"/>
    <n v="963.73"/>
    <n v="963.73"/>
    <s v="Medium"/>
    <n v="4.1000000000000002E-2"/>
    <n v="4.1000000000000002E-2"/>
    <n v="22"/>
    <n v="20332.775539999999"/>
    <n v="10458.14"/>
    <n v="9874.6355399999993"/>
    <n v="0.48565113604750881"/>
    <d v="2023-01-29T00:00:00"/>
    <n v="3"/>
  </r>
  <r>
    <s v="ORD-2023-575584"/>
    <x v="95"/>
    <x v="95"/>
    <s v="Q1 -2023"/>
    <d v="2023-02-21T00:00:00"/>
    <d v="2023-02-21T00:00:00"/>
    <n v="22"/>
    <n v="0"/>
    <s v="Europe"/>
    <s v="Germany"/>
    <s v="Munich"/>
    <s v="Europe&gt;Germany&gt;Munich"/>
    <s v="Small Business"/>
    <s v="Marketplace"/>
    <s v="G. Dubois"/>
    <s v="Networking"/>
    <s v="NET-3460"/>
    <n v="1142.8800000000001"/>
    <n v="1465.29"/>
    <n v="1465.29"/>
    <s v="Medium"/>
    <n v="0.186"/>
    <n v="0.186"/>
    <n v="7"/>
    <n v="8349.2224200000001"/>
    <n v="8000.1600000000008"/>
    <n v="349.06241999999929"/>
    <n v="4.1807775915017401E-2"/>
    <d v="2023-01-22T00:00:00"/>
    <n v="0"/>
  </r>
  <r>
    <s v="ORD-2023-576840"/>
    <x v="74"/>
    <x v="74"/>
    <s v="Q4 -2023"/>
    <d v="2023-12-13T00:00:00"/>
    <d v="2023-12-13T00:00:00"/>
    <n v="24"/>
    <n v="0"/>
    <s v="Europe"/>
    <s v="France"/>
    <s v="Lyon"/>
    <s v="Europe&gt;France&gt;Lyon"/>
    <s v="Non-Profit"/>
    <s v="Direct"/>
    <s v="H. Kim"/>
    <s v="Monitors"/>
    <s v="MON-3745"/>
    <n v="1297.42"/>
    <n v="2742.97"/>
    <n v="2742.97"/>
    <s v="High"/>
    <n v="6.9000000000000006E-2"/>
    <n v="6.9000000000000006E-2"/>
    <n v="9"/>
    <n v="22983.34563"/>
    <n v="11676.78"/>
    <n v="11306.565629999999"/>
    <n v="0.49194602961727291"/>
    <d v="2023-01-10T00:00:00"/>
    <n v="10"/>
  </r>
  <r>
    <s v="ORD-2023-580751"/>
    <x v="96"/>
    <x v="96"/>
    <s v="Q4 -2023"/>
    <d v="2024-01-13T00:00:00"/>
    <d v="2024-01-13T00:00:00"/>
    <n v="20"/>
    <n v="0"/>
    <s v="Asia"/>
    <s v="Japan"/>
    <s v="Nagoya"/>
    <s v="Asia&gt;Japan&gt;Nagoya"/>
    <s v="Education"/>
    <s v="Direct"/>
    <s v="B. Chen"/>
    <s v="Laptops"/>
    <s v="LAP-1946"/>
    <n v="625.37"/>
    <n v="1319.04"/>
    <n v="1319.04"/>
    <s v="Medium"/>
    <n v="7.3999999999999996E-2"/>
    <n v="7.3999999999999996E-2"/>
    <n v="8"/>
    <n v="9771.4483199999995"/>
    <n v="5002.96"/>
    <n v="4768.4883199999995"/>
    <n v="0.48800220436513547"/>
    <d v="2023-03-03T00:00:00"/>
    <n v="9"/>
  </r>
  <r>
    <s v="ORD-2023-581799"/>
    <x v="97"/>
    <x v="97"/>
    <s v="Q4 -2023"/>
    <d v="2023-12-12T00:00:00"/>
    <d v="2023-12-12T00:00:00"/>
    <n v="7"/>
    <n v="1"/>
    <s v="Americas"/>
    <s v="Brazil"/>
    <s v="Brasília"/>
    <s v="Americas&gt;Brazil&gt;Brasília"/>
    <s v="Corporate"/>
    <s v="Direct"/>
    <s v="F. Müller"/>
    <s v="Phones"/>
    <s v="PHN-6506"/>
    <n v="307.43"/>
    <n v="495.19"/>
    <n v="495.19"/>
    <s v="Low"/>
    <n v="0"/>
    <n v="0"/>
    <n v="42"/>
    <n v="20797.98"/>
    <n v="12912.06"/>
    <n v="7885.92"/>
    <n v="0.37916759223732305"/>
    <d v="2023-01-29T00:00:00"/>
    <n v="10"/>
  </r>
  <r>
    <s v="ORD-2023-586275"/>
    <x v="98"/>
    <x v="98"/>
    <s v="Q1 -2023"/>
    <d v="2023-02-03T00:00:00"/>
    <d v="2023-02-03T00:00:00"/>
    <n v="14"/>
    <n v="0"/>
    <s v="Africa"/>
    <s v="Kenya"/>
    <s v="Kisumu"/>
    <s v="Africa&gt;Kenya&gt;Kisumu"/>
    <s v="Corporate"/>
    <s v="Retail"/>
    <s v="M. Rossi"/>
    <s v="Networking"/>
    <s v="NET-6036"/>
    <n v="884.36"/>
    <n v="1545.34"/>
    <n v="1545.34"/>
    <s v="Medium"/>
    <n v="0.24299999999999999"/>
    <n v="0.24299999999999999"/>
    <n v="41"/>
    <n v="47962.717579999997"/>
    <n v="36258.76"/>
    <n v="11703.957579999995"/>
    <n v="0.24402198562827965"/>
    <d v="2023-01-20T00:00:00"/>
    <n v="0"/>
  </r>
  <r>
    <s v="ORD-2023-588455"/>
    <x v="99"/>
    <x v="99"/>
    <s v="Q2 -2023"/>
    <d v="2023-05-25T00:00:00"/>
    <d v="2023-05-25T00:00:00"/>
    <n v="2"/>
    <n v="1"/>
    <s v="Americas"/>
    <s v="Brazil"/>
    <s v="Rio de Janeiro"/>
    <s v="Americas&gt;Brazil&gt;Rio de Janeiro"/>
    <s v="Enterprise"/>
    <s v="Retail"/>
    <s v="M. Rossi"/>
    <s v="Printers"/>
    <s v="PRN-1271"/>
    <n v="690.49"/>
    <n v="1290.29"/>
    <n v="1290.29"/>
    <s v="Medium"/>
    <n v="4.2000000000000003E-2"/>
    <n v="4.2000000000000003E-2"/>
    <n v="22"/>
    <n v="27194.152039999997"/>
    <n v="15190.78"/>
    <n v="12003.372039999997"/>
    <n v="0.44139534199647718"/>
    <d v="2023-01-29T00:00:00"/>
    <n v="3"/>
  </r>
  <r>
    <s v="ORD-2023-594700"/>
    <x v="57"/>
    <x v="57"/>
    <s v="Q3 -2023"/>
    <d v="2023-07-22T00:00:00"/>
    <d v="2023-07-22T00:00:00"/>
    <n v="4"/>
    <n v="1"/>
    <s v="Americas"/>
    <s v="Brazil"/>
    <s v="São Paulo"/>
    <s v="Americas&gt;Brazil&gt;São Paulo"/>
    <s v="Consumer"/>
    <s v="Direct"/>
    <s v="F. Müller"/>
    <s v="Networking"/>
    <s v="NET-1699"/>
    <n v="1269.55"/>
    <n v="2071.1"/>
    <n v="2071.1"/>
    <s v="High"/>
    <n v="0.129"/>
    <n v="0.129"/>
    <n v="22"/>
    <n v="39686.4182"/>
    <n v="27930.1"/>
    <n v="11756.318200000002"/>
    <n v="0.29623026549672354"/>
    <d v="2023-01-29T00:00:00"/>
    <n v="5"/>
  </r>
  <r>
    <s v="ORD-2023-594955"/>
    <x v="72"/>
    <x v="72"/>
    <s v="Q2 -2023"/>
    <d v="2023-07-08T00:00:00"/>
    <d v="2023-07-08T00:00:00"/>
    <n v="18"/>
    <n v="0"/>
    <s v="Americas"/>
    <s v="USA"/>
    <s v="New York"/>
    <s v="Americas&gt;USA&gt;New York"/>
    <s v="Consumer"/>
    <s v="Marketplace"/>
    <s v="O. Wang"/>
    <s v="Networking"/>
    <s v="NET-3828"/>
    <n v="1145.53"/>
    <n v="1278.3"/>
    <n v="1278.3"/>
    <s v="Medium"/>
    <n v="0.09"/>
    <n v="0.09"/>
    <n v="41"/>
    <n v="47693.373"/>
    <n v="46966.729999999996"/>
    <n v="726.64300000000367"/>
    <n v="1.5235722581416158E-2"/>
    <d v="2023-01-13T00:00:00"/>
    <n v="5"/>
  </r>
  <r>
    <s v="ORD-2023-596758"/>
    <x v="100"/>
    <x v="100"/>
    <s v="Q4 -2023"/>
    <d v="2023-12-05T00:00:00"/>
    <d v="2023-12-12T00:00:00"/>
    <n v="5"/>
    <n v="1"/>
    <s v="Asia"/>
    <s v="Japan"/>
    <s v="Tokyo"/>
    <s v="Asia&gt;Japan&gt;Tokyo"/>
    <s v="Non-Profit"/>
    <s v="Marketplace"/>
    <s v="H. Kim"/>
    <s v="Printers"/>
    <s v="PRN-8175"/>
    <n v="1097.5899999999999"/>
    <n v="845.55"/>
    <n v="845.55"/>
    <s v="Medium"/>
    <n v="0.184"/>
    <n v="0.184"/>
    <n v="6"/>
    <n v="4139.8127999999997"/>
    <n v="6585.5399999999991"/>
    <n v="-2445.7271999999994"/>
    <n v="-0.59078207594314402"/>
    <d v="2023-03-03T00:00:00"/>
    <n v="9"/>
  </r>
  <r>
    <s v="ORD-2023-597666"/>
    <x v="67"/>
    <x v="67"/>
    <s v="Q4 -2023"/>
    <d v="2023-11-24T00:00:00"/>
    <d v="2023-11-24T00:00:00"/>
    <n v="30"/>
    <n v="0"/>
    <s v="Europe"/>
    <s v="France"/>
    <s v="Paris"/>
    <s v="Europe&gt;France&gt;Paris"/>
    <s v="Enterprise"/>
    <s v="Distributor"/>
    <s v="C. Otieno"/>
    <s v="Phones"/>
    <s v="PHN-5938"/>
    <n v="287.85000000000002"/>
    <n v="602.91999999999996"/>
    <n v="602.91999999999996"/>
    <s v="Low"/>
    <n v="0.222"/>
    <n v="0.222"/>
    <n v="11"/>
    <n v="5159.7893599999998"/>
    <n v="3166.3500000000004"/>
    <n v="1993.4393599999994"/>
    <n v="0.38634122847216373"/>
    <d v="2023-01-10T00:00:00"/>
    <n v="9"/>
  </r>
  <r>
    <s v="ORD-2023-602648"/>
    <x v="72"/>
    <x v="72"/>
    <s v="Q2 -2023"/>
    <d v="2023-07-08T00:00:00"/>
    <d v="2023-07-08T00:00:00"/>
    <n v="18"/>
    <n v="0"/>
    <s v="Americas"/>
    <s v="USA"/>
    <s v="Austin"/>
    <s v="Americas&gt;USA&gt;Austin"/>
    <s v="Non-Profit"/>
    <s v="Direct"/>
    <s v="F. Müller"/>
    <s v="Monitors"/>
    <s v="MON-4326"/>
    <n v="337"/>
    <n v="511.03"/>
    <n v="511.03"/>
    <s v="Low"/>
    <n v="0.108"/>
    <n v="0.108"/>
    <n v="7"/>
    <n v="3190.8713200000002"/>
    <n v="2359"/>
    <n v="831.8713200000002"/>
    <n v="0.26070349963219458"/>
    <d v="2023-01-13T00:00:00"/>
    <n v="5"/>
  </r>
  <r>
    <s v="ORD-2023-603238"/>
    <x v="101"/>
    <x v="101"/>
    <s v="Q3 -2023"/>
    <d v="2023-09-04T00:00:00"/>
    <d v="2023-09-04T00:00:00"/>
    <n v="14"/>
    <n v="0"/>
    <s v="Americas"/>
    <s v="Canada"/>
    <s v="Montreal"/>
    <s v="Americas&gt;Canada&gt;Montreal"/>
    <s v="Education"/>
    <s v="Distributor"/>
    <s v="F. Müller"/>
    <s v="Components"/>
    <s v="CMP-2136"/>
    <n v="178.19"/>
    <n v="284.43"/>
    <n v="284.43"/>
    <s v="Low"/>
    <n v="8.8999999999999996E-2"/>
    <n v="8.8999999999999996E-2"/>
    <n v="8"/>
    <n v="2072.9258400000003"/>
    <n v="1425.52"/>
    <n v="647.40584000000035"/>
    <n v="0.31231500302972742"/>
    <d v="2023-01-02T00:00:00"/>
    <n v="7"/>
  </r>
  <r>
    <s v="ORD-2023-603650"/>
    <x v="99"/>
    <x v="99"/>
    <s v="Q2 -2023"/>
    <d v="2023-06-10T00:00:00"/>
    <d v="2023-06-10T00:00:00"/>
    <n v="18"/>
    <n v="0"/>
    <s v="Asia"/>
    <s v="China"/>
    <s v="Shanghai"/>
    <s v="Asia&gt;China&gt;Shanghai"/>
    <s v="Corporate"/>
    <s v="Distributor"/>
    <s v="E. Garcia"/>
    <s v="Components"/>
    <s v="CMP-6925"/>
    <n v="54.62"/>
    <n v="48.94"/>
    <n v="48.94"/>
    <s v="Low"/>
    <n v="0.14799999999999999"/>
    <n v="0.14799999999999999"/>
    <n v="16"/>
    <n v="667.15008"/>
    <n v="873.92"/>
    <n v="-206.76991999999996"/>
    <n v="-0.3099301434543783"/>
    <d v="2023-01-12T00:00:00"/>
    <n v="4"/>
  </r>
  <r>
    <s v="ORD-2023-609394"/>
    <x v="102"/>
    <x v="102"/>
    <s v="Q2 -2023"/>
    <d v="2023-04-19T00:00:00"/>
    <d v="2023-04-19T00:00:00"/>
    <n v="3"/>
    <n v="1"/>
    <s v="Europe"/>
    <s v="Germany"/>
    <s v="Munich"/>
    <s v="Europe&gt;Germany&gt;Munich"/>
    <s v="Corporate"/>
    <s v="Direct"/>
    <s v="B. Chen"/>
    <s v="Accessories"/>
    <s v="ACC-1731"/>
    <n v="553.61"/>
    <n v="699.47"/>
    <n v="699.47"/>
    <s v="Low"/>
    <n v="0.02"/>
    <n v="0.02"/>
    <n v="33"/>
    <n v="22620.859800000002"/>
    <n v="18269.13"/>
    <n v="4351.729800000001"/>
    <n v="0.19237685209472014"/>
    <d v="2023-01-22T00:00:00"/>
    <n v="2"/>
  </r>
  <r>
    <s v="ORD-2023-610470"/>
    <x v="59"/>
    <x v="59"/>
    <s v="Q2 -2023"/>
    <d v="2023-07-21T00:00:00"/>
    <d v="2023-07-21T00:00:00"/>
    <n v="27"/>
    <n v="0"/>
    <s v="Asia"/>
    <s v="Japan"/>
    <s v="Nagoya"/>
    <s v="Asia&gt;Japan&gt;Nagoya"/>
    <s v="Consumer"/>
    <s v="Marketplace"/>
    <s v="J. Njeri"/>
    <s v="Phones"/>
    <s v="PHN-6818"/>
    <n v="554.76"/>
    <n v="728.69"/>
    <n v="728.69"/>
    <s v="Low"/>
    <n v="0.22"/>
    <n v="0.22"/>
    <n v="7"/>
    <n v="3978.6474000000003"/>
    <n v="3883.3199999999997"/>
    <n v="95.32740000000058"/>
    <n v="2.395975074343119E-2"/>
    <d v="2023-03-03T00:00:00"/>
    <n v="3"/>
  </r>
  <r>
    <s v="ORD-2023-613287"/>
    <x v="68"/>
    <x v="68"/>
    <s v="Q1 -2023"/>
    <d v="2023-04-12T00:00:00"/>
    <d v="2023-04-12T00:00:00"/>
    <n v="12"/>
    <n v="0"/>
    <s v="Africa"/>
    <s v="Kenya"/>
    <s v="Mombasa"/>
    <s v="Africa&gt;Kenya&gt;Mombasa"/>
    <s v="Small Business"/>
    <s v="Online"/>
    <s v="C. Otieno"/>
    <s v="Phones"/>
    <s v="PHN-8014"/>
    <n v="304.22000000000003"/>
    <n v="393.31"/>
    <n v="393.31"/>
    <s v="Low"/>
    <n v="0.26500000000000001"/>
    <n v="0.26500000000000001"/>
    <n v="15"/>
    <n v="4336.2427499999994"/>
    <n v="4563.3"/>
    <n v="-227.05725000000075"/>
    <n v="-5.2362670424759034E-2"/>
    <d v="2023-01-20T00:00:00"/>
    <n v="2"/>
  </r>
  <r>
    <s v="ORD-2023-613317"/>
    <x v="82"/>
    <x v="82"/>
    <s v="Q1 -2023"/>
    <d v="2023-01-21T00:00:00"/>
    <d v="2023-01-28T00:00:00"/>
    <n v="6"/>
    <n v="1"/>
    <s v="Europe"/>
    <s v="Germany"/>
    <s v="Munich"/>
    <s v="Europe&gt;Germany&gt;Munich"/>
    <s v="Corporate"/>
    <s v="Direct"/>
    <s v="F. Müller"/>
    <s v="Monitors"/>
    <s v="MON-2537"/>
    <n v="150.86000000000001"/>
    <n v="346.96"/>
    <n v="346.96"/>
    <s v="Low"/>
    <n v="0.19600000000000001"/>
    <n v="0.19600000000000001"/>
    <n v="8"/>
    <n v="2231.6467200000002"/>
    <n v="1206.8800000000001"/>
    <n v="1024.7667200000001"/>
    <n v="0.45919755614365343"/>
    <d v="2023-01-22T00:00:00"/>
    <n v="0"/>
  </r>
  <r>
    <s v="ORD-2023-619385"/>
    <x v="91"/>
    <x v="91"/>
    <s v="Q3 -2023"/>
    <d v="2023-10-03T00:00:00"/>
    <d v="2023-10-03T00:00:00"/>
    <n v="3"/>
    <n v="1"/>
    <s v="Asia"/>
    <s v="China"/>
    <s v="Beijing"/>
    <s v="Asia&gt;China&gt;Beijing"/>
    <s v="Non-Profit"/>
    <s v="Retail"/>
    <s v="J. Njeri"/>
    <s v="Laptops"/>
    <s v="LAP-5763"/>
    <n v="1019.36"/>
    <n v="972.91"/>
    <n v="972.91"/>
    <s v="Medium"/>
    <n v="0.14699999999999999"/>
    <n v="0.14699999999999999"/>
    <n v="17"/>
    <n v="14108.16791"/>
    <n v="17329.12"/>
    <n v="-3220.9520899999989"/>
    <n v="-0.22830406545678819"/>
    <d v="2023-01-12T00:00:00"/>
    <n v="8"/>
  </r>
  <r>
    <s v="ORD-2023-619493"/>
    <x v="103"/>
    <x v="103"/>
    <s v="Q1 -2023"/>
    <d v="2023-02-26T00:00:00"/>
    <d v="2023-03-05T00:00:00"/>
    <n v="6"/>
    <n v="1"/>
    <s v="Americas"/>
    <s v="USA"/>
    <s v="San Francisco"/>
    <s v="Americas&gt;USA&gt;San Francisco"/>
    <s v="Non-Profit"/>
    <s v="Online"/>
    <s v="L. Okafor"/>
    <s v="Networking"/>
    <s v="NET-1282"/>
    <n v="1015.91"/>
    <n v="2331.48"/>
    <n v="2331.48"/>
    <s v="High"/>
    <n v="0.14599999999999999"/>
    <n v="0.14599999999999999"/>
    <n v="26"/>
    <n v="51768.181920000003"/>
    <n v="26413.66"/>
    <n v="25354.521920000003"/>
    <n v="0.48977037592669626"/>
    <d v="2023-01-13T00:00:00"/>
    <n v="1"/>
  </r>
  <r>
    <s v="ORD-2023-619570"/>
    <x v="104"/>
    <x v="104"/>
    <s v="Q4 -2023"/>
    <d v="2023-11-30T00:00:00"/>
    <d v="2023-11-30T00:00:00"/>
    <n v="16"/>
    <n v="0"/>
    <s v="Americas"/>
    <s v="Brazil"/>
    <s v="São Paulo"/>
    <s v="Americas&gt;Brazil&gt;São Paulo"/>
    <s v="Enterprise"/>
    <s v="Direct"/>
    <s v="K. Singh"/>
    <s v="Networking"/>
    <s v="NET-4104"/>
    <n v="1017.92"/>
    <n v="1175.25"/>
    <n v="1175.25"/>
    <s v="Medium"/>
    <n v="7.4999999999999997E-2"/>
    <n v="7.4999999999999997E-2"/>
    <n v="15"/>
    <n v="16306.59375"/>
    <n v="15268.8"/>
    <n v="1037.7937500000007"/>
    <n v="6.3642583234159542E-2"/>
    <d v="2023-01-29T00:00:00"/>
    <n v="9"/>
  </r>
  <r>
    <s v="ORD-2023-621393"/>
    <x v="105"/>
    <x v="105"/>
    <s v="Q3 -2023"/>
    <d v="2023-07-13T00:00:00"/>
    <d v="2023-07-13T00:00:00"/>
    <n v="6"/>
    <n v="1"/>
    <s v="Africa"/>
    <s v="South Africa"/>
    <s v="Cape Town"/>
    <s v="Africa&gt;South Africa&gt;Cape Town"/>
    <s v="Small Business"/>
    <s v="Marketplace"/>
    <s v="B. Chen"/>
    <s v="Accessories"/>
    <s v="ACC-9445"/>
    <n v="612.59"/>
    <n v="1424.74"/>
    <n v="1424.74"/>
    <s v="Medium"/>
    <n v="4.3999999999999997E-2"/>
    <n v="4.3999999999999997E-2"/>
    <n v="15"/>
    <n v="20430.771599999996"/>
    <n v="9188.85"/>
    <n v="11241.921599999996"/>
    <n v="0.55024459281802152"/>
    <d v="2023-01-07T00:00:00"/>
    <n v="6"/>
  </r>
  <r>
    <s v="ORD-2023-623293"/>
    <x v="106"/>
    <x v="106"/>
    <s v="Q4 -2023"/>
    <d v="2023-10-29T00:00:00"/>
    <d v="2023-10-29T00:00:00"/>
    <n v="17"/>
    <n v="0"/>
    <s v="Asia"/>
    <s v="Japan"/>
    <s v="Nagoya"/>
    <s v="Asia&gt;Japan&gt;Nagoya"/>
    <s v="Non-Profit"/>
    <s v="Direct"/>
    <s v="H. Kim"/>
    <s v="Phones"/>
    <s v="PHN-8478"/>
    <n v="1102.19"/>
    <n v="1711.16"/>
    <n v="1711.16"/>
    <s v="High"/>
    <n v="0.151"/>
    <n v="0.151"/>
    <n v="10"/>
    <n v="14527.748400000002"/>
    <n v="11021.900000000001"/>
    <n v="3505.8484000000008"/>
    <n v="0.24132083675127525"/>
    <d v="2023-03-03T00:00:00"/>
    <n v="7"/>
  </r>
  <r>
    <s v="ORD-2023-630430"/>
    <x v="107"/>
    <x v="107"/>
    <s v="Q3 -2023"/>
    <d v="2023-08-24T00:00:00"/>
    <d v="2023-08-24T00:00:00"/>
    <n v="20"/>
    <n v="0"/>
    <s v="Americas"/>
    <s v="Brazil"/>
    <s v="Brasília"/>
    <s v="Americas&gt;Brazil&gt;Brasília"/>
    <s v="Non-Profit"/>
    <s v="Direct"/>
    <s v="Unassigned"/>
    <s v="Networking"/>
    <s v="NET-9125"/>
    <n v="582.88"/>
    <n v="1044.1400000000001"/>
    <n v="1044.1400000000001"/>
    <s v="Medium"/>
    <n v="0.216"/>
    <n v="0.216"/>
    <n v="10"/>
    <n v="8186.057600000001"/>
    <n v="5828.8"/>
    <n v="2357.2576000000008"/>
    <n v="0.28796005539956138"/>
    <d v="2023-01-29T00:00:00"/>
    <n v="6"/>
  </r>
  <r>
    <s v="ORD-2023-632893"/>
    <x v="9"/>
    <x v="9"/>
    <s v="Q2 -2023"/>
    <d v="2023-05-05T00:00:00"/>
    <d v="2023-05-12T00:00:00"/>
    <n v="5"/>
    <n v="1"/>
    <s v="Africa"/>
    <s v="Nigeria"/>
    <s v="Port Harcourt"/>
    <s v="Africa&gt;Nigeria&gt;Port Harcourt"/>
    <s v="Non-Profit"/>
    <s v="Marketplace"/>
    <s v="A. Patel"/>
    <s v="Components"/>
    <s v="CMP-9392"/>
    <n v="1269.6500000000001"/>
    <n v="2462.77"/>
    <n v="2462.77"/>
    <s v="High"/>
    <n v="0.107"/>
    <n v="0.107"/>
    <n v="8"/>
    <n v="17594.028880000002"/>
    <n v="10157.200000000001"/>
    <n v="7436.8288800000009"/>
    <n v="0.42269050089225502"/>
    <d v="2023-01-15T00:00:00"/>
    <n v="3"/>
  </r>
  <r>
    <s v="ORD-2023-638181"/>
    <x v="64"/>
    <x v="64"/>
    <s v="Q2 -2023"/>
    <d v="2023-06-07T00:00:00"/>
    <d v="2023-06-07T00:00:00"/>
    <n v="18"/>
    <n v="0"/>
    <s v="Africa"/>
    <s v="Nigeria"/>
    <s v="Port Harcourt"/>
    <s v="Africa&gt;Nigeria&gt;Port Harcourt"/>
    <s v="Enterprise"/>
    <s v="Distributor"/>
    <s v="E. Garcia"/>
    <s v="Components"/>
    <s v="CMP-4630"/>
    <n v="1120.06"/>
    <n v="2068.21"/>
    <n v="2068.21"/>
    <s v="High"/>
    <n v="7.8E-2"/>
    <n v="7.8E-2"/>
    <n v="12"/>
    <n v="22882.675440000003"/>
    <n v="13440.72"/>
    <n v="9441.9554400000034"/>
    <n v="0.41262462795303284"/>
    <d v="2023-01-15T00:00:00"/>
    <n v="4"/>
  </r>
  <r>
    <s v="ORD-2023-640022"/>
    <x v="108"/>
    <x v="108"/>
    <s v="Q3 -2023"/>
    <d v="2023-09-20T00:00:00"/>
    <d v="2023-09-20T00:00:00"/>
    <n v="27"/>
    <n v="0"/>
    <s v="Africa"/>
    <s v="South Africa"/>
    <s v="Durban"/>
    <s v="Africa&gt;South Africa&gt;Durban"/>
    <s v="Small Business"/>
    <s v="Marketplace"/>
    <s v="M. Rossi"/>
    <s v="Printers"/>
    <s v="PRN-4732"/>
    <n v="1399.64"/>
    <n v="3342.11"/>
    <n v="3342.11"/>
    <s v="High"/>
    <n v="0"/>
    <n v="0"/>
    <n v="10"/>
    <n v="33421.1"/>
    <n v="13996.400000000001"/>
    <n v="19424.699999999997"/>
    <n v="0.58121067229983447"/>
    <d v="2023-01-07T00:00:00"/>
    <n v="7"/>
  </r>
  <r>
    <s v="ORD-2023-651638"/>
    <x v="109"/>
    <x v="109"/>
    <s v="Q2 -2023"/>
    <d v="2023-06-24T00:00:00"/>
    <d v="2023-06-24T00:00:00"/>
    <n v="7"/>
    <n v="1"/>
    <s v="Americas"/>
    <s v="USA"/>
    <s v="San Francisco"/>
    <s v="Americas&gt;USA&gt;San Francisco"/>
    <s v="Corporate"/>
    <s v="Retail"/>
    <s v="I. Johnson"/>
    <s v="Printers"/>
    <s v="PRN-6536"/>
    <n v="313.99"/>
    <n v="454.42"/>
    <n v="454.42"/>
    <s v="Low"/>
    <n v="0.129"/>
    <n v="0.129"/>
    <n v="9"/>
    <n v="3562.1983800000003"/>
    <n v="2825.91"/>
    <n v="736.28838000000042"/>
    <n v="0.20669493988147858"/>
    <d v="2023-01-13T00:00:00"/>
    <n v="5"/>
  </r>
  <r>
    <s v="ORD-2023-653343"/>
    <x v="110"/>
    <x v="110"/>
    <s v="Q4 -2023"/>
    <d v="2023-11-28T00:00:00"/>
    <d v="2023-11-28T00:00:00"/>
    <n v="18"/>
    <n v="0"/>
    <s v="Americas"/>
    <s v="Brazil"/>
    <s v="Brasília"/>
    <s v="Americas&gt;Brazil&gt;Brasília"/>
    <s v="Education"/>
    <s v="Marketplace"/>
    <s v="L. Okafor"/>
    <s v="Accessories"/>
    <s v="ACC-5260"/>
    <n v="388.51"/>
    <n v="776.46"/>
    <n v="776.46"/>
    <s v="Low"/>
    <n v="0.157"/>
    <n v="0.157"/>
    <n v="12"/>
    <n v="7854.6693599999999"/>
    <n v="4662.12"/>
    <n v="3192.54936"/>
    <n v="0.40645241876864946"/>
    <d v="2023-01-29T00:00:00"/>
    <n v="9"/>
  </r>
  <r>
    <s v="ORD-2023-659070"/>
    <x v="111"/>
    <x v="111"/>
    <s v="Q4 -2023"/>
    <d v="2023-10-21T00:00:00"/>
    <d v="2023-10-21T00:00:00"/>
    <n v="0"/>
    <n v="1"/>
    <s v="Europe"/>
    <s v="United Kingdom"/>
    <s v="Manchester"/>
    <s v="Europe&gt;United Kingdom&gt;Manchester"/>
    <s v="Enterprise"/>
    <s v="Distributor"/>
    <s v="J. Njeri"/>
    <s v="Monitors"/>
    <s v="MON-8697"/>
    <n v="384.19"/>
    <n v="278.35000000000002"/>
    <n v="278.35000000000002"/>
    <s v="Low"/>
    <n v="5.6000000000000001E-2"/>
    <n v="5.6000000000000001E-2"/>
    <n v="10"/>
    <n v="2627.6239999999998"/>
    <n v="3841.9"/>
    <n v="-1214.2760000000003"/>
    <n v="-0.46211938998882657"/>
    <d v="2023-01-19T00:00:00"/>
    <n v="9"/>
  </r>
  <r>
    <s v="ORD-2023-660608"/>
    <x v="112"/>
    <x v="112"/>
    <s v="Q3 -2023"/>
    <d v="2023-08-10T00:00:00"/>
    <d v="2023-08-10T00:00:00"/>
    <n v="16"/>
    <n v="0"/>
    <s v="Africa"/>
    <s v="Nigeria"/>
    <s v="Port Harcourt"/>
    <s v="Africa&gt;Nigeria&gt;Port Harcourt"/>
    <s v="Corporate"/>
    <s v="Distributor"/>
    <s v="I. Johnson"/>
    <s v="Accessories"/>
    <s v="ACC-8178"/>
    <n v="506.83"/>
    <n v="441.74"/>
    <n v="441.74"/>
    <s v="Low"/>
    <n v="0.24"/>
    <n v="0.24"/>
    <n v="9"/>
    <n v="3021.5016000000001"/>
    <n v="4561.47"/>
    <n v="-1539.9684000000002"/>
    <n v="-0.50966989393618067"/>
    <d v="2023-01-15T00:00:00"/>
    <n v="6"/>
  </r>
  <r>
    <s v="ORD-2023-664749"/>
    <x v="113"/>
    <x v="113"/>
    <s v="Q3 -2023"/>
    <d v="2023-09-11T00:00:00"/>
    <d v="2023-09-11T00:00:00"/>
    <n v="15"/>
    <n v="0"/>
    <s v="Europe"/>
    <s v="United Kingdom"/>
    <s v="London"/>
    <s v="Europe&gt;United Kingdom&gt;London"/>
    <s v="Consumer"/>
    <s v="Marketplace"/>
    <s v="N. Brown"/>
    <s v="Printers"/>
    <s v="PRN-5107"/>
    <n v="943.79"/>
    <n v="1913.76"/>
    <n v="1913.76"/>
    <s v="High"/>
    <n v="9.0999999999999998E-2"/>
    <n v="9.0999999999999998E-2"/>
    <n v="9"/>
    <n v="15656.47056"/>
    <n v="8494.11"/>
    <n v="7162.3605599999992"/>
    <n v="0.45746967891338081"/>
    <d v="2023-01-19T00:00:00"/>
    <n v="7"/>
  </r>
  <r>
    <s v="ORD-2023-664790"/>
    <x v="102"/>
    <x v="102"/>
    <s v="Q2 -2023"/>
    <d v="2023-04-23T00:00:00"/>
    <d v="2023-04-23T00:00:00"/>
    <n v="7"/>
    <n v="1"/>
    <s v="Americas"/>
    <s v="USA"/>
    <s v="Austin"/>
    <s v="Americas&gt;USA&gt;Austin"/>
    <s v="Corporate"/>
    <s v="Distributor"/>
    <s v="O. Wang"/>
    <s v="Printers"/>
    <s v="PRN-9249"/>
    <n v="1099.1500000000001"/>
    <n v="1431.37"/>
    <n v="1431.37"/>
    <s v="Medium"/>
    <n v="0.104"/>
    <n v="0.104"/>
    <n v="8"/>
    <n v="10260.060159999999"/>
    <n v="8793.2000000000007"/>
    <n v="1466.8601599999984"/>
    <n v="0.14296798821109433"/>
    <d v="2023-01-13T00:00:00"/>
    <n v="3"/>
  </r>
  <r>
    <s v="ORD-2023-667815"/>
    <x v="111"/>
    <x v="111"/>
    <s v="Q4 -2023"/>
    <d v="2023-11-09T00:00:00"/>
    <d v="2023-11-09T00:00:00"/>
    <n v="19"/>
    <n v="0"/>
    <s v="Europe"/>
    <s v="United Kingdom"/>
    <s v="London"/>
    <s v="Europe&gt;United Kingdom&gt;London"/>
    <s v="Non-Profit"/>
    <s v="Direct"/>
    <s v="A. Patel"/>
    <s v="Accessories"/>
    <s v="ACC-8557"/>
    <n v="1142.48"/>
    <n v="2105.5300000000002"/>
    <n v="2105.5300000000002"/>
    <s v="High"/>
    <n v="0.20699999999999999"/>
    <n v="0.20699999999999999"/>
    <n v="14"/>
    <n v="23375.594060000003"/>
    <n v="15994.720000000001"/>
    <n v="7380.8740600000019"/>
    <n v="0.31575129346680658"/>
    <d v="2023-01-19T00:00:00"/>
    <n v="9"/>
  </r>
  <r>
    <s v="ORD-2023-674887"/>
    <x v="114"/>
    <x v="114"/>
    <s v="Q4 -2023"/>
    <d v="2023-12-19T00:00:00"/>
    <d v="2023-12-19T00:00:00"/>
    <n v="3"/>
    <n v="1"/>
    <s v="Asia"/>
    <s v="China"/>
    <s v="Beijing"/>
    <s v="Asia&gt;China&gt;Beijing"/>
    <s v="Education"/>
    <s v="Retail"/>
    <s v="A. Patel"/>
    <s v="Accessories"/>
    <s v="ACC-9644"/>
    <n v="1415.05"/>
    <n v="1972.38"/>
    <n v="1972.38"/>
    <s v="High"/>
    <n v="0"/>
    <n v="0"/>
    <n v="12"/>
    <n v="23668.560000000001"/>
    <n v="16980.599999999999"/>
    <n v="6687.9600000000028"/>
    <n v="0.28256725377462771"/>
    <d v="2023-01-12T00:00:00"/>
    <n v="11"/>
  </r>
  <r>
    <s v="ORD-2023-676553"/>
    <x v="64"/>
    <x v="64"/>
    <s v="Q2 -2023"/>
    <d v="2023-06-19T00:00:00"/>
    <d v="2023-06-19T00:00:00"/>
    <n v="30"/>
    <n v="0"/>
    <s v="Asia"/>
    <s v="India"/>
    <s v="Delhi"/>
    <s v="Asia&gt;India&gt;Delhi"/>
    <s v="Non-Profit"/>
    <s v="Marketplace"/>
    <s v="H. Kim"/>
    <s v="Laptops"/>
    <s v="LAP-2806"/>
    <n v="1161.2"/>
    <n v="878.73"/>
    <n v="878.73"/>
    <s v="Medium"/>
    <n v="0.19"/>
    <n v="0.19"/>
    <n v="31"/>
    <n v="22064.910300000003"/>
    <n v="35997.200000000004"/>
    <n v="-13932.289700000001"/>
    <n v="-0.63142290227212028"/>
    <d v="2023-01-29T00:00:00"/>
    <n v="3"/>
  </r>
  <r>
    <s v="ORD-2023-689428"/>
    <x v="115"/>
    <x v="115"/>
    <s v="Q1 -2023"/>
    <d v="2023-01-30T00:00:00"/>
    <d v="2023-01-30T00:00:00"/>
    <n v="23"/>
    <n v="0"/>
    <s v="Africa"/>
    <s v="South Africa"/>
    <s v="Cape Town"/>
    <s v="Africa&gt;South Africa&gt;Cape Town"/>
    <s v="Consumer"/>
    <s v="Online"/>
    <s v="A. Patel"/>
    <s v="Printers"/>
    <s v="PRN-4787"/>
    <n v="299.02"/>
    <n v="724.7"/>
    <n v="724.7"/>
    <s v="Low"/>
    <n v="0.14000000000000001"/>
    <n v="0.14000000000000001"/>
    <n v="5"/>
    <n v="3116.21"/>
    <n v="1495.1"/>
    <n v="1621.1100000000001"/>
    <n v="0.52021847051386139"/>
    <d v="2023-01-07T00:00:00"/>
    <n v="0"/>
  </r>
  <r>
    <s v="ORD-2023-700699"/>
    <x v="116"/>
    <x v="116"/>
    <s v="Q1 -2023"/>
    <d v="2023-01-26T00:00:00"/>
    <d v="2023-01-26T00:00:00"/>
    <n v="14"/>
    <n v="0"/>
    <s v="Asia"/>
    <s v="China"/>
    <s v="Shenzhen"/>
    <s v="Asia&gt;China&gt;Shenzhen"/>
    <s v="Non-Profit"/>
    <s v="Retail"/>
    <s v="M. Rossi"/>
    <s v="Printers"/>
    <s v="PRN-1641"/>
    <n v="1083.0899999999999"/>
    <n v="1425.87"/>
    <n v="1425.87"/>
    <s v="Medium"/>
    <n v="0"/>
    <n v="0"/>
    <n v="8"/>
    <n v="11406.96"/>
    <n v="8664.7199999999993"/>
    <n v="2742.24"/>
    <n v="0.24040059752992909"/>
    <d v="2023-01-12T00:00:00"/>
    <n v="0"/>
  </r>
  <r>
    <s v="ORD-2023-701153"/>
    <x v="117"/>
    <x v="117"/>
    <s v="Q2 -2023"/>
    <d v="2023-05-13T00:00:00"/>
    <d v="2023-05-13T00:00:00"/>
    <n v="29"/>
    <n v="0"/>
    <s v="Europe"/>
    <s v="Germany"/>
    <s v="Frankfurt"/>
    <s v="Europe&gt;Germany&gt;Frankfurt"/>
    <s v="Consumer"/>
    <s v="Direct"/>
    <s v="J. Njeri"/>
    <s v="Printers"/>
    <s v="PRN-7019"/>
    <n v="1320.33"/>
    <n v="2645.23"/>
    <n v="2645.23"/>
    <s v="High"/>
    <n v="0.155"/>
    <n v="0.155"/>
    <n v="25"/>
    <n v="55880.483749999999"/>
    <n v="33008.25"/>
    <n v="22872.233749999999"/>
    <n v="0.40930629470436536"/>
    <d v="2023-01-22T00:00:00"/>
    <n v="2"/>
  </r>
  <r>
    <s v="ORD-2023-704111"/>
    <x v="21"/>
    <x v="21"/>
    <s v="Q2 -2023"/>
    <d v="2023-06-15T00:00:00"/>
    <d v="2023-06-15T00:00:00"/>
    <n v="29"/>
    <n v="0"/>
    <s v="Africa"/>
    <s v="South Africa"/>
    <s v="Durban"/>
    <s v="Africa&gt;South Africa&gt;Durban"/>
    <s v="Enterprise"/>
    <s v="Retail"/>
    <s v="K. Singh"/>
    <s v="Accessories"/>
    <s v="ACC-5206"/>
    <n v="40.89"/>
    <n v="62.82"/>
    <n v="62.82"/>
    <s v="Low"/>
    <n v="0.129"/>
    <n v="0.129"/>
    <n v="17"/>
    <n v="930.17574000000002"/>
    <n v="695.13"/>
    <n v="235.04574000000002"/>
    <n v="0.25268960465470752"/>
    <d v="2023-01-07T00:00:00"/>
    <n v="4"/>
  </r>
  <r>
    <s v="ORD-2023-713375"/>
    <x v="118"/>
    <x v="118"/>
    <s v="Q3 -2023"/>
    <d v="2023-09-10T00:00:00"/>
    <d v="2023-09-10T00:00:00"/>
    <n v="15"/>
    <n v="0"/>
    <s v="Africa"/>
    <s v="South Africa"/>
    <s v="Cape Town"/>
    <s v="Africa&gt;South Africa&gt;Cape Town"/>
    <s v="Non-Profit"/>
    <s v="Direct"/>
    <s v="N. Brown"/>
    <s v="Components"/>
    <s v="CMP-7063"/>
    <n v="241.14"/>
    <n v="496.52"/>
    <n v="496.52"/>
    <s v="Low"/>
    <n v="9.2999999999999999E-2"/>
    <n v="9.2999999999999999E-2"/>
    <n v="10"/>
    <n v="4503.4363999999996"/>
    <n v="2411.3999999999996"/>
    <n v="2092.0364"/>
    <n v="0.46454223268257994"/>
    <d v="2023-01-07T00:00:00"/>
    <n v="7"/>
  </r>
  <r>
    <s v="ORD-2023-713614"/>
    <x v="119"/>
    <x v="119"/>
    <s v="Q3 -2023"/>
    <d v="2023-08-19T00:00:00"/>
    <d v="2023-08-19T00:00:00"/>
    <n v="17"/>
    <n v="0"/>
    <s v="Americas"/>
    <s v="Canada"/>
    <s v="Vancouver"/>
    <s v="Americas&gt;Canada&gt;Vancouver"/>
    <s v="Corporate"/>
    <s v="Online"/>
    <s v="F. Müller"/>
    <s v="Networking"/>
    <s v="NET-3689"/>
    <n v="175.38"/>
    <n v="347.9"/>
    <n v="347.9"/>
    <s v="Low"/>
    <n v="7.1999999999999995E-2"/>
    <n v="7.1999999999999995E-2"/>
    <n v="43"/>
    <n v="13882.6016"/>
    <n v="7541.34"/>
    <n v="6341.2615999999998"/>
    <n v="0.45677761148169804"/>
    <d v="2023-01-02T00:00:00"/>
    <n v="7"/>
  </r>
  <r>
    <s v="ORD-2023-715175"/>
    <x v="17"/>
    <x v="17"/>
    <s v="Q2 -2023"/>
    <d v="2023-06-23T00:00:00"/>
    <d v="2023-06-23T00:00:00"/>
    <n v="8"/>
    <n v="0"/>
    <s v="Americas"/>
    <s v="USA"/>
    <s v="San Francisco"/>
    <s v="Americas&gt;USA&gt;San Francisco"/>
    <s v="Consumer"/>
    <s v="Distributor"/>
    <s v="O. Wang"/>
    <s v="Monitors"/>
    <s v="MON-5424"/>
    <n v="1097.0899999999999"/>
    <n v="2182.31"/>
    <n v="2182.31"/>
    <s v="High"/>
    <n v="0.112"/>
    <n v="0.112"/>
    <n v="9"/>
    <n v="17441.021520000002"/>
    <n v="9873.81"/>
    <n v="7567.2115200000026"/>
    <n v="0.43387432962699546"/>
    <d v="2023-01-13T00:00:00"/>
    <n v="5"/>
  </r>
  <r>
    <s v="ORD-2023-722117"/>
    <x v="120"/>
    <x v="120"/>
    <s v="Q3 -2023"/>
    <d v="2023-10-08T00:00:00"/>
    <d v="2023-10-08T00:00:00"/>
    <n v="20"/>
    <n v="0"/>
    <s v="Asia"/>
    <s v="India"/>
    <s v="Delhi"/>
    <s v="Asia&gt;India&gt;Delhi"/>
    <s v="Small Business"/>
    <s v="Direct"/>
    <s v="B. Chen"/>
    <s v="Components"/>
    <s v="CMP-1009"/>
    <n v="825.64"/>
    <n v="1108.43"/>
    <n v="1108.43"/>
    <s v="Medium"/>
    <n v="0.114"/>
    <n v="0.114"/>
    <n v="7"/>
    <n v="6874.4828600000001"/>
    <n v="5779.48"/>
    <n v="1095.0028600000005"/>
    <n v="0.15928512475773349"/>
    <d v="2023-01-29T00:00:00"/>
    <n v="7"/>
  </r>
  <r>
    <s v="ORD-2023-723587"/>
    <x v="121"/>
    <x v="121"/>
    <s v="Q1 -2023"/>
    <d v="2023-01-05T00:00:00"/>
    <d v="2023-01-05T00:00:00"/>
    <n v="3"/>
    <n v="1"/>
    <s v="Americas"/>
    <s v="Canada"/>
    <s v="Toronto"/>
    <s v="Americas&gt;Canada&gt;Toronto"/>
    <s v="Corporate"/>
    <s v="Distributor"/>
    <s v="B. Chen"/>
    <s v="Laptops"/>
    <s v="LAP-8555"/>
    <n v="315.87"/>
    <n v="591.67999999999995"/>
    <n v="591.67999999999995"/>
    <s v="Low"/>
    <n v="0"/>
    <n v="0"/>
    <n v="7"/>
    <n v="4141.7599999999993"/>
    <n v="2211.09"/>
    <n v="1930.6699999999992"/>
    <n v="0.46614724175229844"/>
    <d v="2023-01-02T00:00:00"/>
    <n v="0"/>
  </r>
  <r>
    <s v="ORD-2023-727290"/>
    <x v="122"/>
    <x v="122"/>
    <s v="Q2 -2023"/>
    <d v="2023-04-16T00:00:00"/>
    <d v="2023-04-16T00:00:00"/>
    <n v="13"/>
    <n v="0"/>
    <s v="Europe"/>
    <s v="France"/>
    <s v="Marseille"/>
    <s v="Europe&gt;France&gt;Marseille"/>
    <s v="Non-Profit"/>
    <s v="Marketplace"/>
    <s v="M. Rossi"/>
    <s v="Accessories"/>
    <s v="ACC-4815"/>
    <n v="790.54"/>
    <n v="601.49"/>
    <n v="601.49"/>
    <s v="Low"/>
    <n v="0"/>
    <n v="0"/>
    <n v="15"/>
    <n v="9022.35"/>
    <n v="11858.099999999999"/>
    <n v="-2835.7499999999982"/>
    <n v="-0.31430281467688553"/>
    <d v="2023-01-10T00:00:00"/>
    <n v="2"/>
  </r>
  <r>
    <s v="ORD-2023-728177"/>
    <x v="123"/>
    <x v="123"/>
    <s v="Q4 -2023"/>
    <d v="2024-01-14T00:00:00"/>
    <d v="2024-01-14T00:00:00"/>
    <n v="27"/>
    <n v="0"/>
    <s v="Asia"/>
    <s v="India"/>
    <s v="Mumbai"/>
    <s v="Asia&gt;India&gt;Mumbai"/>
    <s v="Consumer"/>
    <s v="Distributor"/>
    <s v="D. Smith"/>
    <s v="Networking"/>
    <s v="NET-6014"/>
    <n v="1408.3"/>
    <n v="2193.13"/>
    <n v="2193.13"/>
    <s v="High"/>
    <n v="7.0999999999999994E-2"/>
    <n v="7.0999999999999994E-2"/>
    <n v="7"/>
    <n v="14261.92439"/>
    <n v="9858.1"/>
    <n v="4403.8243899999998"/>
    <n v="0.30878191957656281"/>
    <d v="2023-01-29T00:00:00"/>
    <n v="10"/>
  </r>
  <r>
    <s v="ORD-2023-732585"/>
    <x v="124"/>
    <x v="124"/>
    <s v="Q3 -2023"/>
    <d v="2023-09-16T00:00:00"/>
    <d v="2023-09-16T00:00:00"/>
    <n v="22"/>
    <n v="0"/>
    <s v="Africa"/>
    <s v="Nigeria"/>
    <s v="Abuja"/>
    <s v="Africa&gt;Nigeria&gt;Abuja"/>
    <s v="Corporate"/>
    <s v="Marketplace"/>
    <s v="L. Okafor"/>
    <s v="Phones"/>
    <s v="PHN-3971"/>
    <n v="1196.83"/>
    <n v="2513.5100000000002"/>
    <n v="2513.5100000000002"/>
    <s v="High"/>
    <n v="8.3000000000000004E-2"/>
    <n v="8.3000000000000004E-2"/>
    <n v="7"/>
    <n v="16134.22069"/>
    <n v="8377.81"/>
    <n v="7756.4106900000006"/>
    <n v="0.48074281609445374"/>
    <d v="2023-01-15T00:00:00"/>
    <n v="7"/>
  </r>
  <r>
    <s v="ORD-2023-735274"/>
    <x v="90"/>
    <x v="90"/>
    <s v="Q1 -2023"/>
    <d v="2023-03-08T00:00:00"/>
    <d v="2023-03-08T00:00:00"/>
    <n v="13"/>
    <n v="0"/>
    <s v="Europe"/>
    <s v="United Kingdom"/>
    <s v="Manchester"/>
    <s v="Europe&gt;United Kingdom&gt;Manchester"/>
    <s v="Small Business"/>
    <s v="Direct"/>
    <s v="C. Otieno"/>
    <s v="Printers"/>
    <s v="PRN-7410"/>
    <n v="307.37"/>
    <n v="462.61"/>
    <n v="462.61"/>
    <s v="Low"/>
    <n v="0.188"/>
    <n v="0.188"/>
    <n v="11"/>
    <n v="4132.0325200000007"/>
    <n v="3381.07"/>
    <n v="750.9625200000005"/>
    <n v="0.18174167709599739"/>
    <d v="2023-01-19T00:00:00"/>
    <n v="1"/>
  </r>
  <r>
    <s v="ORD-2023-744942"/>
    <x v="90"/>
    <x v="90"/>
    <s v="Q1 -2023"/>
    <d v="2023-03-18T00:00:00"/>
    <d v="2023-03-18T00:00:00"/>
    <n v="23"/>
    <n v="0"/>
    <s v="Asia"/>
    <s v="China"/>
    <s v="Beijing"/>
    <s v="Asia&gt;China&gt;Beijing"/>
    <s v="Education"/>
    <s v="Distributor"/>
    <s v="K. Singh"/>
    <s v="Printers"/>
    <s v="PRN-1060"/>
    <n v="770.11"/>
    <n v="1667.82"/>
    <n v="1667.82"/>
    <s v="High"/>
    <n v="6.9000000000000006E-2"/>
    <n v="6.9000000000000006E-2"/>
    <n v="7"/>
    <n v="10869.182940000001"/>
    <n v="5390.77"/>
    <n v="5478.4129400000002"/>
    <n v="0.50403171703355287"/>
    <d v="2023-01-12T00:00:00"/>
    <n v="1"/>
  </r>
  <r>
    <s v="ORD-2023-747341"/>
    <x v="36"/>
    <x v="36"/>
    <s v="Q2 -2023"/>
    <d v="2023-04-28T00:00:00"/>
    <d v="2023-04-28T00:00:00"/>
    <n v="9"/>
    <n v="0"/>
    <s v="Americas"/>
    <s v="Brazil"/>
    <s v="Rio de Janeiro"/>
    <s v="Americas&gt;Brazil&gt;Rio de Janeiro"/>
    <s v="Corporate"/>
    <s v="Distributor"/>
    <s v="M. Rossi"/>
    <s v="Phones"/>
    <s v="PHN-7132"/>
    <n v="1013.54"/>
    <n v="927.93"/>
    <n v="927.93"/>
    <s v="Medium"/>
    <n v="0.17499999999999999"/>
    <n v="0.17499999999999999"/>
    <n v="16"/>
    <n v="12248.675999999999"/>
    <n v="16216.64"/>
    <n v="-3967.9639999999999"/>
    <n v="-0.32395044166406234"/>
    <d v="2023-01-29T00:00:00"/>
    <n v="2"/>
  </r>
  <r>
    <s v="ORD-2023-749324"/>
    <x v="51"/>
    <x v="51"/>
    <s v="Q3 -2023"/>
    <d v="2023-09-07T00:00:00"/>
    <d v="2023-09-07T00:00:00"/>
    <n v="19"/>
    <n v="0"/>
    <s v="Africa"/>
    <s v="South Africa"/>
    <s v="Johannesburg"/>
    <s v="Africa&gt;South Africa&gt;Johannesburg"/>
    <s v="Enterprise"/>
    <s v="Retail"/>
    <s v="D. Smith"/>
    <s v="Monitors"/>
    <s v="MON-2296"/>
    <n v="494.61"/>
    <n v="605.23"/>
    <n v="605.23"/>
    <s v="Low"/>
    <n v="0.20399999999999999"/>
    <n v="0.20399999999999999"/>
    <n v="18"/>
    <n v="8671.7354400000004"/>
    <n v="8902.98"/>
    <n v="-231.24455999999918"/>
    <n v="-2.6666468505639647E-2"/>
    <d v="2023-01-07T00:00:00"/>
    <n v="7"/>
  </r>
  <r>
    <s v="ORD-2023-752962"/>
    <x v="125"/>
    <x v="125"/>
    <s v="Q2 -2023"/>
    <d v="2023-04-19T00:00:00"/>
    <d v="2023-04-26T00:00:00"/>
    <n v="5"/>
    <n v="1"/>
    <s v="Asia"/>
    <s v="Japan"/>
    <s v="Nagoya"/>
    <s v="Asia&gt;Japan&gt;Nagoya"/>
    <s v="Small Business"/>
    <s v="Direct"/>
    <s v="M. Rossi"/>
    <s v="Components"/>
    <s v="CMP-8604"/>
    <n v="607.04"/>
    <n v="1229.3399999999999"/>
    <n v="1229.3399999999999"/>
    <s v="Medium"/>
    <n v="0.14699999999999999"/>
    <n v="0.14699999999999999"/>
    <n v="7"/>
    <n v="7340.3891399999993"/>
    <n v="4249.28"/>
    <n v="3091.1091399999996"/>
    <n v="0.42110970972310058"/>
    <d v="2023-03-03T00:00:00"/>
    <n v="1"/>
  </r>
  <r>
    <s v="ORD-2023-755337"/>
    <x v="78"/>
    <x v="78"/>
    <s v="Q3 -2023"/>
    <d v="2023-09-14T00:00:00"/>
    <d v="2023-09-14T00:00:00"/>
    <n v="6"/>
    <n v="1"/>
    <s v="Africa"/>
    <s v="Kenya"/>
    <s v="Nakuru"/>
    <s v="Africa&gt;Kenya&gt;Nakuru"/>
    <s v="Education"/>
    <s v="Direct"/>
    <s v="I. Johnson"/>
    <s v="Accessories"/>
    <s v="ACC-4766"/>
    <n v="251.03"/>
    <n v="411.48"/>
    <n v="411.48"/>
    <s v="Low"/>
    <n v="0.16500000000000001"/>
    <n v="0.16500000000000001"/>
    <n v="3"/>
    <n v="1030.7574"/>
    <n v="753.09"/>
    <n v="277.66739999999993"/>
    <n v="0.26938191275658069"/>
    <d v="2023-01-20T00:00:00"/>
    <n v="7"/>
  </r>
  <r>
    <s v="ORD-2023-766015"/>
    <x v="54"/>
    <x v="54"/>
    <s v="Q2 -2023"/>
    <d v="2023-04-11T00:00:00"/>
    <d v="2023-04-18T00:00:00"/>
    <n v="5"/>
    <n v="1"/>
    <s v="Americas"/>
    <s v="USA"/>
    <s v="San Francisco"/>
    <s v="Americas&gt;USA&gt;San Francisco"/>
    <s v="Education"/>
    <s v="Marketplace"/>
    <s v="G. Dubois"/>
    <s v="Networking"/>
    <s v="NET-1816"/>
    <n v="32.1"/>
    <n v="70.599999999999994"/>
    <n v="70.599999999999994"/>
    <s v="Low"/>
    <n v="0.28199999999999997"/>
    <n v="0.28199999999999997"/>
    <n v="22"/>
    <n v="1115.1975999999997"/>
    <n v="706.2"/>
    <n v="408.99759999999969"/>
    <n v="0.36674899587301818"/>
    <d v="2023-01-13T00:00:00"/>
    <n v="3"/>
  </r>
  <r>
    <s v="ORD-2023-769774"/>
    <x v="126"/>
    <x v="126"/>
    <s v="Q2 -2023"/>
    <d v="2023-06-24T00:00:00"/>
    <d v="2023-06-24T00:00:00"/>
    <n v="11"/>
    <n v="0"/>
    <s v="Americas"/>
    <s v="Canada"/>
    <s v="Toronto"/>
    <s v="Americas&gt;Canada&gt;Toronto"/>
    <s v="Corporate"/>
    <s v="Online"/>
    <s v="C. Otieno"/>
    <s v="Printers"/>
    <s v="PRN-8008"/>
    <n v="247.07"/>
    <n v="495.19"/>
    <n v="495.19"/>
    <s v="Low"/>
    <n v="2.8000000000000001E-2"/>
    <n v="2.8000000000000001E-2"/>
    <n v="4"/>
    <n v="1925.29872"/>
    <n v="988.28"/>
    <n v="937.01872000000003"/>
    <n v="0.48668744764968214"/>
    <d v="2023-01-02T00:00:00"/>
    <n v="5"/>
  </r>
  <r>
    <s v="ORD-2023-780206"/>
    <x v="127"/>
    <x v="127"/>
    <s v="Q1 -2023"/>
    <d v="2023-02-03T00:00:00"/>
    <d v="2023-02-03T00:00:00"/>
    <n v="15"/>
    <n v="0"/>
    <s v="Europe"/>
    <s v="United Kingdom"/>
    <s v="London"/>
    <s v="Europe&gt;United Kingdom&gt;London"/>
    <s v="Enterprise"/>
    <s v="Distributor"/>
    <s v="G. Dubois"/>
    <s v="Accessories"/>
    <s v="ACC-3645"/>
    <n v="873.06"/>
    <n v="2101.5500000000002"/>
    <n v="2101.5500000000002"/>
    <s v="High"/>
    <n v="6.6000000000000003E-2"/>
    <n v="6.6000000000000003E-2"/>
    <n v="10"/>
    <n v="19628.476999999999"/>
    <n v="8730.5999999999985"/>
    <n v="10897.877"/>
    <n v="0.55520746719167269"/>
    <d v="2023-01-19T00:00:00"/>
    <n v="0"/>
  </r>
  <r>
    <s v="ORD-2023-799597"/>
    <x v="128"/>
    <x v="128"/>
    <s v="Q1 -2023"/>
    <d v="2023-03-18T00:00:00"/>
    <d v="2023-03-18T00:00:00"/>
    <n v="4"/>
    <n v="1"/>
    <s v="Europe"/>
    <s v="Germany"/>
    <s v="Frankfurt"/>
    <s v="Europe&gt;Germany&gt;Frankfurt"/>
    <s v="Enterprise"/>
    <s v="Direct"/>
    <s v="A. Patel"/>
    <s v="Components"/>
    <s v="CMP-8675"/>
    <n v="472.33"/>
    <n v="360.34"/>
    <n v="360.34"/>
    <s v="Low"/>
    <n v="0.16500000000000001"/>
    <n v="0.16500000000000001"/>
    <n v="14"/>
    <n v="4212.3745999999992"/>
    <n v="6612.62"/>
    <n v="-2400.2454000000007"/>
    <n v="-0.56980815523861561"/>
    <d v="2023-01-22T00:00:00"/>
    <n v="1"/>
  </r>
  <r>
    <s v="ORD-2023-808024"/>
    <x v="129"/>
    <x v="129"/>
    <s v="Q4 -2023"/>
    <d v="2024-01-08T00:00:00"/>
    <d v="2024-01-08T00:00:00"/>
    <n v="9"/>
    <n v="0"/>
    <s v="Europe"/>
    <s v="France"/>
    <s v="Marseille"/>
    <s v="Europe&gt;France&gt;Marseille"/>
    <s v="Consumer"/>
    <s v="Marketplace"/>
    <s v="L. Okafor"/>
    <s v="Accessories"/>
    <s v="ACC-6594"/>
    <n v="861.1"/>
    <n v="1224.72"/>
    <n v="1224.72"/>
    <s v="Medium"/>
    <n v="0.17399999999999999"/>
    <n v="0.17399999999999999"/>
    <n v="24"/>
    <n v="24278.849280000002"/>
    <n v="20666.400000000001"/>
    <n v="3612.4492800000007"/>
    <n v="0.14878997098827909"/>
    <d v="2023-01-10T00:00:00"/>
    <n v="11"/>
  </r>
  <r>
    <s v="ORD-2023-809913"/>
    <x v="125"/>
    <x v="125"/>
    <s v="Q2 -2023"/>
    <d v="2023-05-10T00:00:00"/>
    <d v="2023-05-10T00:00:00"/>
    <n v="19"/>
    <n v="0"/>
    <s v="Asia"/>
    <s v="China"/>
    <s v="Shanghai"/>
    <s v="Asia&gt;China&gt;Shanghai"/>
    <s v="Corporate"/>
    <s v="Retail"/>
    <s v="A. Patel"/>
    <s v="Components"/>
    <s v="CMP-7371"/>
    <n v="882.33"/>
    <n v="1880.15"/>
    <n v="1880.15"/>
    <s v="High"/>
    <n v="0.05"/>
    <n v="0.05"/>
    <n v="5"/>
    <n v="8930.7124999999996"/>
    <n v="4411.6500000000005"/>
    <n v="4519.0624999999991"/>
    <n v="0.50601365792482955"/>
    <d v="2023-01-12T00:00:00"/>
    <n v="3"/>
  </r>
  <r>
    <s v="ORD-2023-811823"/>
    <x v="130"/>
    <x v="130"/>
    <s v="Q1 -2023"/>
    <d v="2023-02-15T00:00:00"/>
    <d v="2023-02-15T00:00:00"/>
    <n v="20"/>
    <n v="0"/>
    <s v="Europe"/>
    <s v="Germany"/>
    <s v="Berlin"/>
    <s v="Europe&gt;Germany&gt;Berlin"/>
    <s v="Small Business"/>
    <s v="Online"/>
    <s v="O. Wang"/>
    <s v="Networking"/>
    <s v="NET-8787"/>
    <n v="492.62"/>
    <n v="366.7"/>
    <n v="366.7"/>
    <s v="Low"/>
    <n v="8.8999999999999996E-2"/>
    <n v="8.8999999999999996E-2"/>
    <n v="10"/>
    <n v="3340.6370000000002"/>
    <n v="4926.2"/>
    <n v="-1585.5629999999996"/>
    <n v="-0.47462894052840809"/>
    <d v="2023-01-22T00:00:00"/>
    <n v="0"/>
  </r>
  <r>
    <s v="ORD-2023-813340"/>
    <x v="131"/>
    <x v="131"/>
    <s v="Q4 -2023"/>
    <d v="2024-01-03T00:00:00"/>
    <d v="2024-01-03T00:00:00"/>
    <n v="8"/>
    <n v="0"/>
    <s v="Europe"/>
    <s v="France"/>
    <s v="Lyon"/>
    <s v="Europe&gt;France&gt;Lyon"/>
    <s v="Small Business"/>
    <s v="Retail"/>
    <s v="M. Rossi"/>
    <s v="Laptops"/>
    <s v="LAP-2942"/>
    <n v="492.75"/>
    <n v="731.29"/>
    <n v="731.29"/>
    <s v="Low"/>
    <n v="5.8000000000000003E-2"/>
    <n v="5.8000000000000003E-2"/>
    <n v="6"/>
    <n v="4133.25108"/>
    <n v="2956.5"/>
    <n v="1176.75108"/>
    <n v="0.28470350753528384"/>
    <d v="2023-01-10T00:00:00"/>
    <n v="11"/>
  </r>
  <r>
    <s v="ORD-2023-824839"/>
    <x v="132"/>
    <x v="132"/>
    <s v="Q4 -2023"/>
    <d v="2023-12-31T00:00:00"/>
    <d v="2023-12-31T00:00:00"/>
    <n v="25"/>
    <n v="0"/>
    <s v="Asia"/>
    <s v="Japan"/>
    <s v="Osaka"/>
    <s v="Asia&gt;Japan&gt;Osaka"/>
    <s v="Consumer"/>
    <s v="Retail"/>
    <s v="L. Okafor"/>
    <s v="Printers"/>
    <s v="PRN-8041"/>
    <n v="663.03"/>
    <n v="813.51"/>
    <n v="813.51"/>
    <s v="Low"/>
    <n v="0.10199999999999999"/>
    <n v="0.10199999999999999"/>
    <n v="15"/>
    <n v="10957.9797"/>
    <n v="9945.4499999999989"/>
    <n v="1012.529700000001"/>
    <n v="9.2401129379715952E-2"/>
    <d v="2023-03-03T00:00:00"/>
    <n v="9"/>
  </r>
  <r>
    <s v="ORD-2023-825084"/>
    <x v="76"/>
    <x v="76"/>
    <s v="Q3 -2023"/>
    <d v="2023-07-21T00:00:00"/>
    <d v="2023-07-21T00:00:00"/>
    <n v="7"/>
    <n v="1"/>
    <s v="Africa"/>
    <s v="South Africa"/>
    <s v="Durban"/>
    <s v="Africa&gt;South Africa&gt;Durban"/>
    <s v="Enterprise"/>
    <s v="Marketplace"/>
    <s v="Unassigned"/>
    <s v="Monitors"/>
    <s v="MON-1018"/>
    <n v="620.74"/>
    <n v="1330.07"/>
    <n v="1330.07"/>
    <s v="Medium"/>
    <n v="0.29899999999999999"/>
    <n v="0.29899999999999999"/>
    <n v="28"/>
    <n v="26106.613960000002"/>
    <n v="17380.72"/>
    <n v="8725.8939600000012"/>
    <n v="0.33424073965967516"/>
    <d v="2023-01-07T00:00:00"/>
    <n v="6"/>
  </r>
  <r>
    <s v="ORD-2023-825495"/>
    <x v="22"/>
    <x v="22"/>
    <s v="Q4 -2023"/>
    <d v="2023-11-29T00:00:00"/>
    <d v="2023-12-06T00:00:00"/>
    <n v="6"/>
    <n v="1"/>
    <s v="Africa"/>
    <s v="South Africa"/>
    <s v="Durban"/>
    <s v="Africa&gt;South Africa&gt;Durban"/>
    <s v="Small Business"/>
    <s v="Marketplace"/>
    <s v="E. Garcia"/>
    <s v="Laptops"/>
    <s v="LAP-1525"/>
    <n v="275.56"/>
    <n v="630.72"/>
    <n v="630.72"/>
    <s v="Low"/>
    <n v="0.107"/>
    <n v="0.107"/>
    <n v="23"/>
    <n v="12954.358080000002"/>
    <n v="6337.88"/>
    <n v="6616.4780800000017"/>
    <n v="0.5107530638831933"/>
    <d v="2023-01-07T00:00:00"/>
    <n v="10"/>
  </r>
  <r>
    <s v="ORD-2023-825836"/>
    <x v="133"/>
    <x v="133"/>
    <s v="Q3 -2023"/>
    <d v="2023-07-31T00:00:00"/>
    <d v="2023-07-31T00:00:00"/>
    <n v="12"/>
    <n v="0"/>
    <s v="Americas"/>
    <s v="Brazil"/>
    <s v="Rio de Janeiro"/>
    <s v="Americas&gt;Brazil&gt;Rio de Janeiro"/>
    <s v="Corporate"/>
    <s v="Retail"/>
    <s v="C. Otieno"/>
    <s v="Monitors"/>
    <s v="MON-7869"/>
    <n v="1334.64"/>
    <n v="2273.42"/>
    <n v="2273.42"/>
    <s v="High"/>
    <n v="0.11799999999999999"/>
    <n v="0.11799999999999999"/>
    <n v="14"/>
    <n v="28072.190160000002"/>
    <n v="18684.960000000003"/>
    <n v="9387.2301599999992"/>
    <n v="0.33439607335575267"/>
    <d v="2023-01-29T00:00:00"/>
    <n v="5"/>
  </r>
  <r>
    <s v="ORD-2023-835010"/>
    <x v="134"/>
    <x v="134"/>
    <s v="Q1 -2023"/>
    <d v="2023-04-15T00:00:00"/>
    <d v="2023-04-15T00:00:00"/>
    <n v="23"/>
    <n v="0"/>
    <s v="Africa"/>
    <s v="Kenya"/>
    <s v="Mombasa"/>
    <s v="Africa&gt;Kenya&gt;Mombasa"/>
    <s v="Small Business"/>
    <s v="Retail"/>
    <s v="C. Otieno"/>
    <s v="Accessories"/>
    <s v="ACC-2988"/>
    <n v="875.36"/>
    <n v="1178.6199999999999"/>
    <n v="1178.6199999999999"/>
    <s v="Medium"/>
    <n v="0.151"/>
    <n v="0.151"/>
    <n v="53"/>
    <n v="53034.364139999991"/>
    <n v="46394.080000000002"/>
    <n v="6640.2841399999888"/>
    <n v="0.12520719815685888"/>
    <d v="2023-01-20T00:00:00"/>
    <n v="2"/>
  </r>
  <r>
    <s v="ORD-2023-835226"/>
    <x v="135"/>
    <x v="135"/>
    <s v="Q4 -2023"/>
    <d v="2023-11-05T00:00:00"/>
    <d v="2023-11-05T00:00:00"/>
    <n v="10"/>
    <n v="0"/>
    <s v="Africa"/>
    <s v="South Africa"/>
    <s v="Cape Town"/>
    <s v="Africa&gt;South Africa&gt;Cape Town"/>
    <s v="Non-Profit"/>
    <s v="Online"/>
    <s v="I. Johnson"/>
    <s v="Laptops"/>
    <s v="LAP-7320"/>
    <n v="20.38"/>
    <n v="42.56"/>
    <n v="42.56"/>
    <s v="Low"/>
    <n v="7.1999999999999995E-2"/>
    <n v="7.1999999999999995E-2"/>
    <n v="11"/>
    <n v="434.45248000000004"/>
    <n v="224.17999999999998"/>
    <n v="210.27248000000006"/>
    <n v="0.48399419885921713"/>
    <d v="2023-01-07T00:00:00"/>
    <n v="9"/>
  </r>
  <r>
    <s v="ORD-2023-841426"/>
    <x v="33"/>
    <x v="33"/>
    <s v="Q4 -2023"/>
    <d v="2023-12-23T00:00:00"/>
    <d v="2023-12-23T00:00:00"/>
    <n v="1"/>
    <n v="1"/>
    <s v="Africa"/>
    <s v="South Africa"/>
    <s v="Cape Town"/>
    <s v="Africa&gt;South Africa&gt;Cape Town"/>
    <s v="Non-Profit"/>
    <s v="Marketplace"/>
    <s v="D. Smith"/>
    <s v="Components"/>
    <s v="CMP-4531"/>
    <n v="1186.18"/>
    <n v="1285.0899999999999"/>
    <n v="1285.0899999999999"/>
    <s v="Medium"/>
    <n v="7.0000000000000007E-2"/>
    <n v="7.0000000000000007E-2"/>
    <n v="11"/>
    <n v="13146.470699999998"/>
    <n v="13047.980000000001"/>
    <n v="98.49069999999665"/>
    <n v="7.4917977796121861E-3"/>
    <d v="2023-01-07T00:00:00"/>
    <n v="11"/>
  </r>
  <r>
    <s v="ORD-2023-842488"/>
    <x v="136"/>
    <x v="136"/>
    <s v="Q4 -2023"/>
    <d v="2023-11-02T00:00:00"/>
    <d v="2023-11-02T00:00:00"/>
    <n v="2"/>
    <n v="1"/>
    <s v="Africa"/>
    <s v="Kenya"/>
    <s v="Kisumu"/>
    <s v="Africa&gt;Kenya&gt;Kisumu"/>
    <s v="Education"/>
    <s v="Retail"/>
    <s v="O. Wang"/>
    <s v="Accessories"/>
    <s v="ACC-4124"/>
    <n v="867.89"/>
    <n v="1349.94"/>
    <n v="1349.94"/>
    <s v="Medium"/>
    <n v="0.184"/>
    <n v="0.184"/>
    <n v="10"/>
    <n v="11015.510400000003"/>
    <n v="8678.9"/>
    <n v="2336.6104000000032"/>
    <n v="0.21212003031652557"/>
    <d v="2023-01-20T00:00:00"/>
    <n v="9"/>
  </r>
  <r>
    <s v="ORD-2023-842820"/>
    <x v="137"/>
    <x v="137"/>
    <s v="Q3 -2023"/>
    <d v="2023-09-28T00:00:00"/>
    <d v="2023-09-28T00:00:00"/>
    <n v="8"/>
    <n v="0"/>
    <s v="Asia"/>
    <s v="India"/>
    <s v="Unknown"/>
    <s v="Asia&gt;India&gt;Unknown"/>
    <s v="Corporate"/>
    <s v="Unspecified"/>
    <s v="B. Chen"/>
    <s v="Accessories"/>
    <s v="ACC-1375"/>
    <n v="1362.06"/>
    <n v="3398.37"/>
    <n v="3398.37"/>
    <s v="High"/>
    <n v="0.157"/>
    <n v="0.157"/>
    <n v="11"/>
    <n v="31513.085009999999"/>
    <n v="14982.66"/>
    <n v="16530.425009999999"/>
    <n v="0.52455749745714919"/>
    <d v="2023-01-29T00:00:00"/>
    <n v="7"/>
  </r>
  <r>
    <s v="ORD-2023-848013"/>
    <x v="138"/>
    <x v="138"/>
    <s v="Q1 -2023"/>
    <d v="2023-03-04T00:00:00"/>
    <d v="2023-03-04T00:00:00"/>
    <n v="12"/>
    <n v="0"/>
    <s v="Asia"/>
    <s v="India"/>
    <s v="Delhi"/>
    <s v="Asia&gt;India&gt;Delhi"/>
    <s v="Consumer"/>
    <s v="Distributor"/>
    <s v="M. Rossi"/>
    <s v="Monitors"/>
    <s v="MON-9906"/>
    <n v="299.75"/>
    <n v="523.01"/>
    <n v="523.01"/>
    <s v="Low"/>
    <n v="0.157"/>
    <n v="0.157"/>
    <n v="50"/>
    <n v="22044.871499999997"/>
    <n v="14987.5"/>
    <n v="7057.3714999999975"/>
    <n v="0.32013665854210122"/>
    <d v="2023-01-29T00:00:00"/>
    <n v="0"/>
  </r>
  <r>
    <s v="ORD-2023-854471"/>
    <x v="139"/>
    <x v="139"/>
    <s v="Q1 -2023"/>
    <d v="2023-04-04T00:00:00"/>
    <d v="2023-04-04T00:00:00"/>
    <n v="29"/>
    <n v="0"/>
    <s v="Asia"/>
    <s v="China"/>
    <s v="Beijing"/>
    <s v="Asia&gt;China&gt;Beijing"/>
    <s v="Small Business"/>
    <s v="Direct"/>
    <s v="C. Otieno"/>
    <s v="Monitors"/>
    <s v="MON-2073"/>
    <n v="1126.29"/>
    <n v="2050.87"/>
    <n v="2050.87"/>
    <s v="High"/>
    <n v="6.4000000000000001E-2"/>
    <n v="6.4000000000000001E-2"/>
    <n v="7"/>
    <n v="13437.300239999999"/>
    <n v="7884.03"/>
    <n v="5553.2702399999989"/>
    <n v="0.41327276616690373"/>
    <d v="2023-01-12T00:00:00"/>
    <n v="1"/>
  </r>
  <r>
    <s v="ORD-2023-855675"/>
    <x v="140"/>
    <x v="140"/>
    <s v="Q1 -2023"/>
    <d v="2023-02-28T00:00:00"/>
    <d v="2023-02-28T00:00:00"/>
    <n v="23"/>
    <n v="0"/>
    <s v="Americas"/>
    <s v="USA"/>
    <s v="Austin"/>
    <s v="Americas&gt;USA&gt;Austin"/>
    <s v="Non-Profit"/>
    <s v="Distributor"/>
    <s v="L. Okafor"/>
    <s v="Phones"/>
    <s v="PHN-2036"/>
    <n v="1214.49"/>
    <n v="1533.95"/>
    <n v="1533.95"/>
    <s v="Medium"/>
    <n v="0"/>
    <n v="0"/>
    <n v="11"/>
    <n v="16873.45"/>
    <n v="13359.39"/>
    <n v="3514.0600000000013"/>
    <n v="0.20825972163369086"/>
    <d v="2023-01-13T00:00:00"/>
    <n v="0"/>
  </r>
  <r>
    <s v="ORD-2023-856322"/>
    <x v="83"/>
    <x v="83"/>
    <s v="Q1 -2023"/>
    <d v="2023-02-06T00:00:00"/>
    <d v="2023-02-06T00:00:00"/>
    <n v="8"/>
    <n v="0"/>
    <s v="Americas"/>
    <s v="Brazil"/>
    <s v="Brasília"/>
    <s v="Americas&gt;Brazil&gt;Brasília"/>
    <s v="Corporate"/>
    <s v="Marketplace"/>
    <s v="D. Smith"/>
    <s v="Monitors"/>
    <s v="MON-7207"/>
    <n v="41.84"/>
    <n v="86.2"/>
    <n v="86.2"/>
    <s v="Low"/>
    <n v="0.22600000000000001"/>
    <n v="0.22600000000000001"/>
    <n v="27"/>
    <n v="1801.4076000000002"/>
    <n v="1129.68"/>
    <n v="671.72760000000017"/>
    <n v="0.37289039970742882"/>
    <d v="2023-01-29T00:00:00"/>
    <n v="0"/>
  </r>
  <r>
    <s v="ORD-2023-864121"/>
    <x v="141"/>
    <x v="141"/>
    <s v="Q1 -2023"/>
    <d v="2023-04-22T00:00:00"/>
    <d v="2023-04-22T00:00:00"/>
    <n v="26"/>
    <n v="0"/>
    <s v="Asia"/>
    <s v="India"/>
    <s v="Delhi"/>
    <s v="Asia&gt;India&gt;Delhi"/>
    <s v="Non-Profit"/>
    <s v="Marketplace"/>
    <s v="J. Njeri"/>
    <s v="Printers"/>
    <s v="PRN-4506"/>
    <n v="178.53"/>
    <n v="199.37"/>
    <n v="199.37"/>
    <s v="Low"/>
    <n v="0.10100000000000001"/>
    <n v="0.10100000000000001"/>
    <n v="37"/>
    <n v="6631.6443100000006"/>
    <n v="6605.61"/>
    <n v="26.034310000000914"/>
    <n v="3.9257699573457538E-3"/>
    <d v="2023-01-29T00:00:00"/>
    <n v="1"/>
  </r>
  <r>
    <s v="ORD-2023-867166"/>
    <x v="54"/>
    <x v="54"/>
    <s v="Q2 -2023"/>
    <d v="2023-04-20T00:00:00"/>
    <d v="2023-04-20T00:00:00"/>
    <n v="7"/>
    <n v="1"/>
    <s v="Europe"/>
    <s v="France"/>
    <s v="Lyon"/>
    <s v="Europe&gt;France&gt;Lyon"/>
    <s v="Small Business"/>
    <s v="Online"/>
    <s v="A. Patel"/>
    <s v="Laptops"/>
    <s v="LAP-3565"/>
    <n v="227.02"/>
    <n v="434.72"/>
    <n v="434.72"/>
    <s v="Low"/>
    <n v="9.8000000000000004E-2"/>
    <n v="9.8000000000000004E-2"/>
    <n v="10"/>
    <n v="3921.1744000000008"/>
    <n v="2270.2000000000003"/>
    <n v="1650.9744000000005"/>
    <n v="0.42104079838938052"/>
    <d v="2023-01-10T00:00:00"/>
    <n v="3"/>
  </r>
  <r>
    <s v="ORD-2023-867175"/>
    <x v="142"/>
    <x v="142"/>
    <s v="Q3 -2023"/>
    <d v="2023-08-15T00:00:00"/>
    <d v="2023-08-15T00:00:00"/>
    <n v="5"/>
    <n v="1"/>
    <s v="Americas"/>
    <s v="Brazil"/>
    <s v="São Paulo"/>
    <s v="Americas&gt;Brazil&gt;São Paulo"/>
    <s v="Education"/>
    <s v="Direct"/>
    <s v="G. Dubois"/>
    <s v="Networking"/>
    <s v="NET-2894"/>
    <n v="1307.52"/>
    <n v="1921.65"/>
    <n v="1921.65"/>
    <s v="High"/>
    <n v="0.123"/>
    <n v="0.123"/>
    <n v="13"/>
    <n v="21908.731650000002"/>
    <n v="16997.759999999998"/>
    <n v="4910.9716500000031"/>
    <n v="0.22415590863289445"/>
    <d v="2023-01-29T00:00:00"/>
    <n v="6"/>
  </r>
  <r>
    <s v="ORD-2023-867285"/>
    <x v="143"/>
    <x v="143"/>
    <s v="Q2 -2023"/>
    <d v="2023-04-17T00:00:00"/>
    <d v="2023-04-17T00:00:00"/>
    <n v="5"/>
    <n v="1"/>
    <s v="Europe"/>
    <s v="France"/>
    <s v="Lyon"/>
    <s v="Europe&gt;France&gt;Lyon"/>
    <s v="Enterprise"/>
    <s v="Direct"/>
    <s v="E. Garcia"/>
    <s v="Monitors"/>
    <s v="MON-3043"/>
    <n v="1087.81"/>
    <n v="2323.87"/>
    <n v="2323.87"/>
    <s v="High"/>
    <n v="9.4E-2"/>
    <n v="9.4E-2"/>
    <n v="13"/>
    <n v="27370.540859999997"/>
    <n v="14141.529999999999"/>
    <n v="13229.010859999999"/>
    <n v="0.48333026839572651"/>
    <d v="2023-01-10T00:00:00"/>
    <n v="3"/>
  </r>
  <r>
    <s v="ORD-2023-867836"/>
    <x v="34"/>
    <x v="34"/>
    <s v="Q2 -2023"/>
    <d v="2023-05-28T00:00:00"/>
    <d v="2023-05-28T00:00:00"/>
    <n v="17"/>
    <n v="0"/>
    <s v="Asia"/>
    <s v="China"/>
    <s v="Shenzhen"/>
    <s v="Asia&gt;China&gt;Shenzhen"/>
    <s v="Enterprise"/>
    <s v="Marketplace"/>
    <s v="E. Garcia"/>
    <s v="Networking"/>
    <s v="NET-3255"/>
    <n v="1331.19"/>
    <n v="2903.09"/>
    <n v="2903.09"/>
    <s v="High"/>
    <n v="0.14299999999999999"/>
    <n v="0.14299999999999999"/>
    <n v="8"/>
    <n v="19903.585040000002"/>
    <n v="10649.52"/>
    <n v="9254.0650400000013"/>
    <n v="0.46494463290920784"/>
    <d v="2023-01-12T00:00:00"/>
    <n v="3"/>
  </r>
  <r>
    <s v="ORD-2023-868460"/>
    <x v="53"/>
    <x v="53"/>
    <s v="Q2 -2023"/>
    <d v="2023-06-01T00:00:00"/>
    <d v="2023-06-01T00:00:00"/>
    <n v="0"/>
    <n v="1"/>
    <s v="Asia"/>
    <s v="India"/>
    <s v="Bengaluru"/>
    <s v="Asia&gt;India&gt;Bengaluru"/>
    <s v="Corporate"/>
    <s v="Retail"/>
    <s v="E. Garcia"/>
    <s v="Accessories"/>
    <s v="ACC-4587"/>
    <n v="669.37"/>
    <n v="997.2"/>
    <n v="997.2"/>
    <s v="Medium"/>
    <n v="8.2000000000000003E-2"/>
    <n v="8.2000000000000003E-2"/>
    <n v="5"/>
    <n v="4577.1480000000001"/>
    <n v="3346.85"/>
    <n v="1230.2980000000002"/>
    <n v="0.26879139586484863"/>
    <d v="2023-01-29T00:00:00"/>
    <n v="4"/>
  </r>
  <r>
    <s v="ORD-2023-868734"/>
    <x v="87"/>
    <x v="87"/>
    <s v="Q2 -2023"/>
    <d v="2023-04-27T00:00:00"/>
    <d v="2023-04-27T00:00:00"/>
    <n v="21"/>
    <n v="0"/>
    <s v="Europe"/>
    <s v="United Kingdom"/>
    <s v="Manchester"/>
    <s v="Europe&gt;United Kingdom&gt;Manchester"/>
    <s v="Enterprise"/>
    <s v="Distributor"/>
    <s v="I. Johnson"/>
    <s v="Printers"/>
    <s v="PRN-8970"/>
    <n v="1084.79"/>
    <n v="2484.9899999999998"/>
    <n v="2484.9899999999998"/>
    <s v="High"/>
    <n v="3.4000000000000002E-2"/>
    <n v="3.4000000000000002E-2"/>
    <n v="18"/>
    <n v="43209.006119999991"/>
    <n v="19526.22"/>
    <n v="23682.78611999999"/>
    <n v="0.54809837685755114"/>
    <d v="2023-01-19T00:00:00"/>
    <n v="2"/>
  </r>
  <r>
    <s v="ORD-2023-869884"/>
    <x v="144"/>
    <x v="144"/>
    <s v="Q1 -2023"/>
    <d v="2023-03-05T00:00:00"/>
    <d v="2023-03-05T00:00:00"/>
    <n v="3"/>
    <n v="1"/>
    <s v="Americas"/>
    <s v="Brazil"/>
    <s v="Brasília"/>
    <s v="Americas&gt;Brazil&gt;Brasília"/>
    <s v="Enterprise"/>
    <s v="Direct"/>
    <s v="G. Dubois"/>
    <s v="Monitors"/>
    <s v="MON-2828"/>
    <n v="1473.58"/>
    <n v="3436.52"/>
    <n v="3436.52"/>
    <s v="High"/>
    <n v="0.108"/>
    <n v="0.108"/>
    <n v="8"/>
    <n v="24523.006720000001"/>
    <n v="11788.64"/>
    <n v="12734.366720000002"/>
    <n v="0.51928243813652564"/>
    <d v="2023-01-29T00:00:00"/>
    <n v="1"/>
  </r>
  <r>
    <s v="ORD-2023-880296"/>
    <x v="94"/>
    <x v="94"/>
    <s v="Q2 -2023"/>
    <d v="2023-05-19T00:00:00"/>
    <d v="2023-05-19T00:00:00"/>
    <n v="17"/>
    <n v="0"/>
    <s v="Asia"/>
    <s v="China"/>
    <s v="Shanghai"/>
    <s v="Asia&gt;China&gt;Shanghai"/>
    <s v="Non-Profit"/>
    <s v="Direct"/>
    <s v="J. Njeri"/>
    <s v="Monitors"/>
    <s v="MON-5086"/>
    <n v="714.28"/>
    <n v="757.59"/>
    <n v="757.59"/>
    <s v="Low"/>
    <n v="0.13600000000000001"/>
    <n v="0.13600000000000001"/>
    <n v="12"/>
    <n v="7854.6931199999999"/>
    <n v="8571.36"/>
    <n v="-716.66688000000067"/>
    <n v="-9.1240595787910383E-2"/>
    <d v="2023-01-12T00:00:00"/>
    <n v="3"/>
  </r>
  <r>
    <s v="ORD-2023-883066"/>
    <x v="145"/>
    <x v="145"/>
    <s v="Q3 -2023"/>
    <d v="2023-09-06T00:00:00"/>
    <d v="2023-09-06T00:00:00"/>
    <n v="25"/>
    <n v="0"/>
    <s v="Asia"/>
    <s v="China"/>
    <s v="Shanghai"/>
    <s v="Asia&gt;China&gt;Shanghai"/>
    <s v="Small Business"/>
    <s v="Retail"/>
    <s v="B. Chen"/>
    <s v="Components"/>
    <s v="CMP-6352"/>
    <n v="950.77"/>
    <n v="694.78"/>
    <n v="694.78"/>
    <s v="Low"/>
    <n v="8.4000000000000005E-2"/>
    <n v="8.4000000000000005E-2"/>
    <n v="14"/>
    <n v="8909.8587200000002"/>
    <n v="13310.779999999999"/>
    <n v="-4400.9212799999987"/>
    <n v="-0.49393839097821279"/>
    <d v="2023-01-12T00:00:00"/>
    <n v="7"/>
  </r>
  <r>
    <s v="ORD-2023-884192"/>
    <x v="146"/>
    <x v="146"/>
    <s v="Q1 -2023"/>
    <d v="2023-01-29T00:00:00"/>
    <d v="2023-01-29T00:00:00"/>
    <n v="19"/>
    <n v="0"/>
    <s v="Europe"/>
    <s v="France"/>
    <s v="Lyon"/>
    <s v="Europe&gt;France&gt;Lyon"/>
    <s v="Non-Profit"/>
    <s v="Direct"/>
    <s v="D. Smith"/>
    <s v="Laptops"/>
    <s v="LAP-4551"/>
    <n v="401.66"/>
    <n v="772.09"/>
    <n v="772.09"/>
    <s v="Low"/>
    <n v="8.8999999999999996E-2"/>
    <n v="8.8999999999999996E-2"/>
    <n v="14"/>
    <n v="9847.2358600000007"/>
    <n v="5623.2400000000007"/>
    <n v="4223.99586"/>
    <n v="0.42895244107619046"/>
    <d v="2023-01-10T00:00:00"/>
    <n v="0"/>
  </r>
  <r>
    <s v="ORD-2023-884625"/>
    <x v="147"/>
    <x v="147"/>
    <s v="Q1 -2023"/>
    <d v="2023-03-12T00:00:00"/>
    <d v="2023-03-12T00:00:00"/>
    <n v="21"/>
    <n v="0"/>
    <s v="Europe"/>
    <s v="Germany"/>
    <s v="Berlin"/>
    <s v="Europe&gt;Germany&gt;Berlin"/>
    <s v="Small Business"/>
    <s v="Direct"/>
    <s v="L. Okafor"/>
    <s v="Monitors"/>
    <s v="MON-6699"/>
    <n v="1234.81"/>
    <n v="2055.2399999999998"/>
    <n v="2055.2399999999998"/>
    <s v="High"/>
    <n v="5.2999999999999999E-2"/>
    <n v="5.2999999999999999E-2"/>
    <n v="44"/>
    <n v="85637.740319999997"/>
    <n v="54331.64"/>
    <n v="31306.100319999998"/>
    <n v="0.36556429680441616"/>
    <d v="2023-01-22T00:00:00"/>
    <n v="0"/>
  </r>
  <r>
    <s v="ORD-2023-885216"/>
    <x v="35"/>
    <x v="35"/>
    <s v="Q3 -2023"/>
    <d v="2023-08-02T00:00:00"/>
    <d v="2023-08-09T00:00:00"/>
    <n v="6"/>
    <n v="1"/>
    <s v="Asia"/>
    <s v="China"/>
    <s v="Shanghai"/>
    <s v="Asia&gt;China&gt;Shanghai"/>
    <s v="Non-Profit"/>
    <s v="Direct"/>
    <s v="J. Njeri"/>
    <s v="Networking"/>
    <s v="NET-4735"/>
    <n v="1021.97"/>
    <n v="2296.25"/>
    <n v="2296.25"/>
    <s v="High"/>
    <n v="0.161"/>
    <n v="0.161"/>
    <n v="26"/>
    <n v="50090.397499999999"/>
    <n v="26571.22"/>
    <n v="23519.177499999998"/>
    <n v="0.46953465482081669"/>
    <d v="2023-01-12T00:00:00"/>
    <n v="6"/>
  </r>
  <r>
    <s v="ORD-2023-888140"/>
    <x v="148"/>
    <x v="148"/>
    <s v="Q4 -2023"/>
    <d v="2023-10-13T00:00:00"/>
    <d v="2023-10-13T00:00:00"/>
    <n v="2"/>
    <n v="1"/>
    <s v="Americas"/>
    <s v="Brazil"/>
    <s v="Brasília"/>
    <s v="Americas&gt;Brazil&gt;Brasília"/>
    <s v="Consumer"/>
    <s v="Distributor"/>
    <s v="Unassigned"/>
    <s v="Accessories"/>
    <s v="ACC-3567"/>
    <n v="715.94"/>
    <n v="550.07000000000005"/>
    <n v="550.07000000000005"/>
    <s v="Low"/>
    <n v="0.14000000000000001"/>
    <n v="0.14000000000000001"/>
    <n v="16"/>
    <n v="7568.9632000000001"/>
    <n v="11455.04"/>
    <n v="-3886.0768000000007"/>
    <n v="-0.51342260456491595"/>
    <d v="2023-01-29T00:00:00"/>
    <n v="8"/>
  </r>
  <r>
    <s v="ORD-2023-888245"/>
    <x v="58"/>
    <x v="58"/>
    <s v="Q1 -2023"/>
    <d v="2023-02-27T00:00:00"/>
    <d v="2023-03-06T00:00:00"/>
    <n v="6"/>
    <n v="1"/>
    <s v="Europe"/>
    <s v="France"/>
    <s v="Marseille"/>
    <s v="Europe&gt;France&gt;Marseille"/>
    <s v="Corporate"/>
    <s v="Retail"/>
    <s v="K. Singh"/>
    <s v="Networking"/>
    <s v="NET-5195"/>
    <n v="1299.81"/>
    <n v="3149.13"/>
    <n v="3149.13"/>
    <s v="High"/>
    <n v="0.10299999999999999"/>
    <n v="0.10299999999999999"/>
    <n v="14"/>
    <n v="39546.774539999999"/>
    <n v="18197.34"/>
    <n v="21349.434539999998"/>
    <n v="0.53985273864511729"/>
    <d v="2023-01-10T00:00:00"/>
    <n v="1"/>
  </r>
  <r>
    <s v="ORD-2023-890605"/>
    <x v="59"/>
    <x v="59"/>
    <s v="Q2 -2023"/>
    <d v="2023-06-22T00:00:00"/>
    <d v="2023-06-29T00:00:00"/>
    <n v="5"/>
    <n v="1"/>
    <s v="Americas"/>
    <s v="Canada"/>
    <s v="Toronto"/>
    <s v="Americas&gt;Canada&gt;Toronto"/>
    <s v="Non-Profit"/>
    <s v="Retail"/>
    <s v="M. Rossi"/>
    <s v="Accessories"/>
    <s v="ACC-2903"/>
    <n v="471.42"/>
    <n v="824.81"/>
    <n v="824.81"/>
    <s v="Low"/>
    <n v="8.7999999999999995E-2"/>
    <n v="8.7999999999999995E-2"/>
    <n v="15"/>
    <n v="11283.400799999999"/>
    <n v="7071.3"/>
    <n v="4212.1007999999993"/>
    <n v="0.37330064531608231"/>
    <d v="2023-01-02T00:00:00"/>
    <n v="5"/>
  </r>
  <r>
    <s v="ORD-2023-897079"/>
    <x v="117"/>
    <x v="117"/>
    <s v="Q2 -2023"/>
    <d v="2023-05-14T00:00:00"/>
    <d v="2023-05-14T00:00:00"/>
    <n v="30"/>
    <n v="0"/>
    <s v="Africa"/>
    <s v="Kenya"/>
    <s v="Nakuru"/>
    <s v="Africa&gt;Kenya&gt;Nakuru"/>
    <s v="Consumer"/>
    <s v="Marketplace"/>
    <s v="M. Rossi"/>
    <s v="Phones"/>
    <s v="PHN-1784"/>
    <n v="209.25"/>
    <n v="434.8"/>
    <n v="434.8"/>
    <s v="Low"/>
    <n v="0"/>
    <n v="0"/>
    <n v="9"/>
    <n v="3913.2000000000003"/>
    <n v="1883.25"/>
    <n v="2029.9500000000003"/>
    <n v="0.51874425022999082"/>
    <d v="2023-01-20T00:00:00"/>
    <n v="2"/>
  </r>
  <r>
    <s v="ORD-2023-898009"/>
    <x v="18"/>
    <x v="18"/>
    <s v="Q2 -2023"/>
    <d v="2023-05-16T00:00:00"/>
    <d v="2023-05-16T00:00:00"/>
    <n v="12"/>
    <n v="0"/>
    <s v="Africa"/>
    <s v="Nigeria"/>
    <s v="Abuja"/>
    <s v="Africa&gt;Nigeria&gt;Abuja"/>
    <s v="Small Business"/>
    <s v="Marketplace"/>
    <s v="J. Njeri"/>
    <s v="Phones"/>
    <s v="PHN-1670"/>
    <n v="77.739999999999995"/>
    <n v="147.12"/>
    <n v="147.12"/>
    <s v="Low"/>
    <n v="0"/>
    <n v="0"/>
    <n v="15"/>
    <n v="2206.8000000000002"/>
    <n v="1166.0999999999999"/>
    <n v="1040.7000000000003"/>
    <n v="0.47158781946710177"/>
    <d v="2023-01-15T00:00:00"/>
    <n v="3"/>
  </r>
  <r>
    <s v="ORD-2023-906481"/>
    <x v="94"/>
    <x v="94"/>
    <s v="Q2 -2023"/>
    <d v="2023-05-18T00:00:00"/>
    <d v="2023-05-18T00:00:00"/>
    <n v="16"/>
    <n v="0"/>
    <s v="Asia"/>
    <s v="India"/>
    <s v="Delhi"/>
    <s v="Asia&gt;India&gt;Delhi"/>
    <s v="Small Business"/>
    <s v="Marketplace"/>
    <s v="K. Singh"/>
    <s v="Monitors"/>
    <s v="MON-2266"/>
    <n v="1463.92"/>
    <n v="2252.2399999999998"/>
    <n v="2252.2399999999998"/>
    <s v="High"/>
    <n v="0.11799999999999999"/>
    <n v="0.11799999999999999"/>
    <n v="44"/>
    <n v="87404.929919999995"/>
    <n v="64412.480000000003"/>
    <n v="22992.449919999992"/>
    <n v="0.26305667130040061"/>
    <d v="2023-01-29T00:00:00"/>
    <n v="3"/>
  </r>
  <r>
    <s v="ORD-2023-912395"/>
    <x v="149"/>
    <x v="149"/>
    <s v="Q3 -2023"/>
    <d v="2023-08-25T00:00:00"/>
    <d v="2023-08-25T00:00:00"/>
    <n v="30"/>
    <n v="0"/>
    <s v="Americas"/>
    <s v="USA"/>
    <s v="New York"/>
    <s v="Americas&gt;USA&gt;New York"/>
    <s v="Consumer"/>
    <s v="Retail"/>
    <s v="M. Rossi"/>
    <s v="Accessories"/>
    <s v="ACC-7078"/>
    <n v="1261.48"/>
    <n v="1643.18"/>
    <n v="1643.18"/>
    <s v="High"/>
    <n v="0.151"/>
    <n v="0.151"/>
    <n v="23"/>
    <n v="32086.37586"/>
    <n v="29014.04"/>
    <n v="3072.3358599999992"/>
    <n v="9.5752037357079045E-2"/>
    <d v="2023-01-13T00:00:00"/>
    <n v="6"/>
  </r>
  <r>
    <s v="ORD-2023-913592"/>
    <x v="75"/>
    <x v="75"/>
    <s v="Q2 -2023"/>
    <d v="2023-05-14T00:00:00"/>
    <d v="2023-05-14T00:00:00"/>
    <n v="4"/>
    <n v="1"/>
    <s v="Asia"/>
    <s v="India"/>
    <s v="Delhi"/>
    <s v="Asia&gt;India&gt;Delhi"/>
    <s v="Non-Profit"/>
    <s v="Distributor"/>
    <s v="C. Otieno"/>
    <s v="Monitors"/>
    <s v="MON-2465"/>
    <n v="622.6"/>
    <n v="833.69"/>
    <n v="833.69"/>
    <s v="Low"/>
    <n v="0.20899999999999999"/>
    <n v="0.20899999999999999"/>
    <n v="14"/>
    <n v="9232.2830599999998"/>
    <n v="8716.4"/>
    <n v="515.88306000000011"/>
    <n v="5.5878167582959715E-2"/>
    <d v="2023-01-29T00:00:00"/>
    <n v="3"/>
  </r>
  <r>
    <s v="ORD-2023-920483"/>
    <x v="150"/>
    <x v="150"/>
    <s v="Q3 -2023"/>
    <d v="2023-08-01T00:00:00"/>
    <d v="2023-08-01T00:00:00"/>
    <n v="30"/>
    <n v="0"/>
    <s v="Europe"/>
    <s v="United Kingdom"/>
    <s v="Birmingham"/>
    <s v="Europe&gt;United Kingdom&gt;Birmingham"/>
    <s v="Small Business"/>
    <s v="Retail"/>
    <s v="B. Chen"/>
    <s v="Components"/>
    <s v="CMP-7256"/>
    <n v="137.46"/>
    <n v="188.3"/>
    <n v="188.3"/>
    <s v="Low"/>
    <n v="3.7999999999999999E-2"/>
    <n v="3.7999999999999999E-2"/>
    <n v="37"/>
    <n v="6702.3501999999999"/>
    <n v="5086.0200000000004"/>
    <n v="1616.3301999999994"/>
    <n v="0.24115872071262398"/>
    <d v="2023-01-19T00:00:00"/>
    <n v="5"/>
  </r>
  <r>
    <s v="ORD-2023-921939"/>
    <x v="5"/>
    <x v="5"/>
    <s v="Q2 -2023"/>
    <d v="2023-07-18T00:00:00"/>
    <d v="2023-07-18T00:00:00"/>
    <n v="25"/>
    <n v="0"/>
    <s v="Americas"/>
    <s v="Canada"/>
    <s v="Vancouver"/>
    <s v="Americas&gt;Canada&gt;Vancouver"/>
    <s v="Enterprise"/>
    <s v="Online"/>
    <s v="N. Brown"/>
    <s v="Phones"/>
    <s v="PHN-4677"/>
    <n v="807.02"/>
    <n v="1435.54"/>
    <n v="1435.54"/>
    <s v="Medium"/>
    <n v="0"/>
    <n v="0"/>
    <n v="23"/>
    <n v="33017.42"/>
    <n v="18561.46"/>
    <n v="14455.96"/>
    <n v="0.43782827368098415"/>
    <d v="2023-01-02T00:00:00"/>
    <n v="5"/>
  </r>
  <r>
    <s v="ORD-2023-925146"/>
    <x v="151"/>
    <x v="151"/>
    <s v="Q4 -2023"/>
    <d v="2023-11-13T00:00:00"/>
    <d v="2023-11-13T00:00:00"/>
    <n v="29"/>
    <n v="0"/>
    <s v="Asia"/>
    <s v="China"/>
    <s v="Shenzhen"/>
    <s v="Asia&gt;China&gt;Shenzhen"/>
    <s v="Non-Profit"/>
    <s v="Distributor"/>
    <s v="J. Njeri"/>
    <s v="Printers"/>
    <s v="PRN-4983"/>
    <n v="986.44"/>
    <n v="790.61"/>
    <n v="790.61"/>
    <s v="Low"/>
    <n v="7.1999999999999995E-2"/>
    <n v="7.1999999999999995E-2"/>
    <n v="6"/>
    <n v="4402.1164799999997"/>
    <n v="5918.64"/>
    <n v="-1516.5235200000006"/>
    <n v="-0.34449872621271499"/>
    <d v="2023-01-12T00:00:00"/>
    <n v="9"/>
  </r>
  <r>
    <s v="ORD-2023-927385"/>
    <x v="152"/>
    <x v="152"/>
    <s v="Q2 -2023"/>
    <d v="2023-06-20T00:00:00"/>
    <d v="2023-06-20T00:00:00"/>
    <n v="22"/>
    <n v="0"/>
    <s v="Europe"/>
    <s v="United Kingdom"/>
    <s v="London"/>
    <s v="Europe&gt;United Kingdom&gt;London"/>
    <s v="Small Business"/>
    <s v="Direct"/>
    <s v="K. Singh"/>
    <s v="Components"/>
    <s v="CMP-8545"/>
    <n v="1295.3900000000001"/>
    <n v="2905.06"/>
    <n v="2905.06"/>
    <s v="High"/>
    <n v="0.14799999999999999"/>
    <n v="0.14799999999999999"/>
    <n v="8"/>
    <n v="19800.88896"/>
    <n v="10363.120000000001"/>
    <n v="9437.7689599999994"/>
    <n v="0.47663359857556614"/>
    <d v="2023-01-19T00:00:00"/>
    <n v="4"/>
  </r>
  <r>
    <s v="ORD-2023-931633"/>
    <x v="153"/>
    <x v="153"/>
    <s v="Q2 -2023"/>
    <d v="2023-05-22T00:00:00"/>
    <d v="2023-05-22T00:00:00"/>
    <n v="8"/>
    <n v="0"/>
    <s v="Africa"/>
    <s v="Kenya"/>
    <s v="Mombasa"/>
    <s v="Africa&gt;Kenya&gt;Mombasa"/>
    <s v="Small Business"/>
    <s v="Distributor"/>
    <s v="F. Müller"/>
    <s v="Printers"/>
    <s v="PRN-9488"/>
    <n v="432.01"/>
    <n v="913.78"/>
    <n v="913.78"/>
    <s v="Medium"/>
    <n v="4.9000000000000002E-2"/>
    <n v="4.9000000000000002E-2"/>
    <n v="12"/>
    <n v="10428.057360000001"/>
    <n v="5184.12"/>
    <n v="5243.9373600000008"/>
    <n v="0.50286809699711899"/>
    <d v="2023-01-20T00:00:00"/>
    <n v="3"/>
  </r>
  <r>
    <s v="ORD-2023-933238"/>
    <x v="154"/>
    <x v="154"/>
    <s v="Q1 -2023"/>
    <d v="2023-04-06T00:00:00"/>
    <d v="2023-04-06T00:00:00"/>
    <n v="20"/>
    <n v="0"/>
    <s v="Europe"/>
    <s v="Germany"/>
    <s v="Munich"/>
    <s v="Europe&gt;Germany&gt;Munich"/>
    <s v="Consumer"/>
    <s v="Retail"/>
    <s v="O. Wang"/>
    <s v="Phones"/>
    <s v="PHN-8483"/>
    <n v="692.18"/>
    <n v="1159.3499999999999"/>
    <n v="1159.3499999999999"/>
    <s v="Medium"/>
    <n v="0.112"/>
    <n v="0.112"/>
    <n v="2"/>
    <n v="2059.0056"/>
    <n v="1384.36"/>
    <n v="674.64560000000006"/>
    <n v="0.32765602968734037"/>
    <d v="2023-01-22T00:00:00"/>
    <n v="1"/>
  </r>
  <r>
    <s v="ORD-2023-937291"/>
    <x v="155"/>
    <x v="155"/>
    <s v="Q2 -2023"/>
    <d v="2023-04-22T00:00:00"/>
    <d v="2023-04-29T00:00:00"/>
    <n v="6"/>
    <n v="1"/>
    <s v="Africa"/>
    <s v="Kenya"/>
    <s v="Nairobi"/>
    <s v="Africa&gt;Kenya&gt;Nairobi"/>
    <s v="Small Business"/>
    <s v="Direct"/>
    <s v="E. Garcia"/>
    <s v="Laptops"/>
    <s v="LAP-1698"/>
    <n v="756.51"/>
    <n v="850.8"/>
    <n v="850.8"/>
    <s v="Medium"/>
    <n v="7.3999999999999996E-2"/>
    <n v="7.3999999999999996E-2"/>
    <n v="9"/>
    <n v="7090.5672000000004"/>
    <n v="6808.59"/>
    <n v="281.97720000000027"/>
    <n v="3.9767932810791252E-2"/>
    <d v="2023-01-20T00:00:00"/>
    <n v="3"/>
  </r>
  <r>
    <s v="ORD-2023-944052"/>
    <x v="28"/>
    <x v="28"/>
    <s v="Q3 -2023"/>
    <d v="2023-09-03T00:00:00"/>
    <d v="2023-09-03T00:00:00"/>
    <n v="4"/>
    <n v="1"/>
    <s v="Asia"/>
    <s v="India"/>
    <s v="Delhi"/>
    <s v="Asia&gt;India&gt;Delhi"/>
    <s v="Small Business"/>
    <s v="Marketplace"/>
    <s v="L. Okafor"/>
    <s v="Accessories"/>
    <s v="ACC-3068"/>
    <n v="1082.25"/>
    <n v="2433.34"/>
    <n v="2433.34"/>
    <s v="High"/>
    <n v="0.27"/>
    <n v="0.27"/>
    <n v="4"/>
    <n v="7105.3528000000006"/>
    <n v="4329"/>
    <n v="2776.3528000000006"/>
    <n v="0.3907410199251472"/>
    <d v="2023-01-29T00:00:00"/>
    <n v="7"/>
  </r>
  <r>
    <s v="ORD-2023-946143"/>
    <x v="128"/>
    <x v="128"/>
    <s v="Q1 -2023"/>
    <d v="2023-03-30T00:00:00"/>
    <d v="2023-03-30T00:00:00"/>
    <n v="16"/>
    <n v="0"/>
    <s v="Africa"/>
    <s v="South Africa"/>
    <s v="Cape Town"/>
    <s v="Africa&gt;South Africa&gt;Cape Town"/>
    <s v="Consumer"/>
    <s v="Distributor"/>
    <s v="K. Singh"/>
    <s v="Components"/>
    <s v="CMP-8230"/>
    <n v="1309.77"/>
    <n v="1589.07"/>
    <n v="1589.07"/>
    <s v="Medium"/>
    <n v="0.10199999999999999"/>
    <n v="0.10199999999999999"/>
    <n v="10"/>
    <n v="14269.848599999999"/>
    <n v="13097.7"/>
    <n v="1172.1485999999986"/>
    <n v="8.2141628328137886E-2"/>
    <d v="2023-01-07T00:00:00"/>
    <n v="2"/>
  </r>
  <r>
    <s v="ORD-2023-949710"/>
    <x v="156"/>
    <x v="156"/>
    <s v="Q1 -2023"/>
    <d v="2023-04-01T00:00:00"/>
    <d v="2023-04-01T00:00:00"/>
    <n v="25"/>
    <n v="0"/>
    <s v="Africa"/>
    <s v="Kenya"/>
    <s v="Nairobi"/>
    <s v="Africa&gt;Kenya&gt;Nairobi"/>
    <s v="Consumer"/>
    <s v="Marketplace"/>
    <s v="D. Smith"/>
    <s v="Printers"/>
    <s v="PRN-7049"/>
    <n v="1024.0999999999999"/>
    <n v="918.19"/>
    <n v="918.19"/>
    <s v="Medium"/>
    <n v="0.189"/>
    <n v="0.189"/>
    <n v="10"/>
    <n v="7446.5209000000004"/>
    <n v="10241"/>
    <n v="-2794.4790999999996"/>
    <n v="-0.37527311579827827"/>
    <d v="2023-01-20T00:00:00"/>
    <n v="1"/>
  </r>
  <r>
    <s v="ORD-2023-957692"/>
    <x v="9"/>
    <x v="9"/>
    <s v="Q2 -2023"/>
    <d v="2023-05-20T00:00:00"/>
    <d v="2023-05-20T00:00:00"/>
    <n v="13"/>
    <n v="0"/>
    <s v="Asia"/>
    <s v="India"/>
    <s v="Mumbai"/>
    <s v="Asia&gt;India&gt;Mumbai"/>
    <s v="Enterprise"/>
    <s v="Retail"/>
    <s v="D. Smith"/>
    <s v="Accessories"/>
    <s v="ACC-9283"/>
    <n v="1443.28"/>
    <n v="2580.5700000000002"/>
    <n v="2580.5700000000002"/>
    <s v="High"/>
    <n v="0"/>
    <n v="0"/>
    <n v="18"/>
    <n v="46450.26"/>
    <n v="25979.040000000001"/>
    <n v="20471.22"/>
    <n v="0.4407127107577008"/>
    <d v="2023-01-29T00:00:00"/>
    <n v="3"/>
  </r>
  <r>
    <s v="ORD-2023-960380"/>
    <x v="157"/>
    <x v="157"/>
    <s v="Q1 -2023"/>
    <d v="2023-02-12T00:00:00"/>
    <d v="2023-02-12T00:00:00"/>
    <n v="1"/>
    <n v="1"/>
    <s v="Africa"/>
    <s v="Nigeria"/>
    <s v="Port Harcourt"/>
    <s v="Africa&gt;Nigeria&gt;Port Harcourt"/>
    <s v="Non-Profit"/>
    <s v="Direct"/>
    <s v="D. Smith"/>
    <s v="Accessories"/>
    <s v="ACC-8242"/>
    <n v="944.61"/>
    <n v="839.04"/>
    <n v="839.04"/>
    <s v="Medium"/>
    <n v="5.8999999999999997E-2"/>
    <n v="5.8999999999999997E-2"/>
    <n v="6"/>
    <n v="4737.2198399999997"/>
    <n v="5667.66"/>
    <n v="-930.44016000000011"/>
    <n v="-0.19641059343363726"/>
    <d v="2023-01-15T00:00:00"/>
    <n v="0"/>
  </r>
  <r>
    <s v="ORD-2023-961864"/>
    <x v="100"/>
    <x v="100"/>
    <s v="Q4 -2023"/>
    <d v="2024-01-02T00:00:00"/>
    <d v="2024-01-02T00:00:00"/>
    <n v="26"/>
    <n v="0"/>
    <s v="Europe"/>
    <s v="Germany"/>
    <s v="Frankfurt"/>
    <s v="Europe&gt;Germany&gt;Frankfurt"/>
    <s v="Enterprise"/>
    <s v="Distributor"/>
    <s v="E. Garcia"/>
    <s v="Components"/>
    <s v="CMP-1940"/>
    <n v="1071.99"/>
    <n v="2397.3000000000002"/>
    <n v="2397.3000000000002"/>
    <s v="High"/>
    <n v="6.2E-2"/>
    <n v="6.2E-2"/>
    <n v="18"/>
    <n v="40476.013200000001"/>
    <n v="19295.82"/>
    <n v="21180.193200000002"/>
    <n v="0.52327765324476183"/>
    <d v="2023-01-22T00:00:00"/>
    <n v="10"/>
  </r>
  <r>
    <s v="ORD-2023-964434"/>
    <x v="158"/>
    <x v="158"/>
    <s v="Q4 -2023"/>
    <d v="2023-12-07T00:00:00"/>
    <d v="2023-12-07T00:00:00"/>
    <n v="9"/>
    <n v="0"/>
    <s v="Asia"/>
    <s v="India"/>
    <s v="Delhi"/>
    <s v="Asia&gt;India&gt;Delhi"/>
    <s v="Enterprise"/>
    <s v="Marketplace"/>
    <s v="L. Okafor"/>
    <s v="Phones"/>
    <s v="PHN-2447"/>
    <n v="699.33"/>
    <n v="873.75"/>
    <n v="873.75"/>
    <s v="Medium"/>
    <n v="0.23499999999999999"/>
    <n v="0.23499999999999999"/>
    <n v="10"/>
    <n v="6684.1875"/>
    <n v="6993.3"/>
    <n v="-309.11250000000018"/>
    <n v="-4.6245336475076469E-2"/>
    <d v="2023-01-29T00:00:00"/>
    <n v="9"/>
  </r>
  <r>
    <s v="ORD-2023-967239"/>
    <x v="96"/>
    <x v="96"/>
    <s v="Q4 -2023"/>
    <d v="2024-01-01T00:00:00"/>
    <d v="2024-01-01T00:00:00"/>
    <n v="8"/>
    <n v="0"/>
    <s v="Americas"/>
    <s v="Brazil"/>
    <s v="São Paulo"/>
    <s v="Americas&gt;Brazil&gt;São Paulo"/>
    <s v="Education"/>
    <s v="Direct"/>
    <s v="C. Otieno"/>
    <s v="Phones"/>
    <s v="PHN-3014"/>
    <n v="526.49"/>
    <n v="496.2"/>
    <n v="496.2"/>
    <s v="Low"/>
    <n v="0"/>
    <n v="0"/>
    <n v="14"/>
    <n v="6946.8"/>
    <n v="7370.8600000000006"/>
    <n v="-424.0600000000004"/>
    <n v="-6.1043933897621985E-2"/>
    <d v="2023-01-29T00:00:00"/>
    <n v="10"/>
  </r>
  <r>
    <s v="ORD-2023-974506"/>
    <x v="159"/>
    <x v="159"/>
    <s v="Q4 -2023"/>
    <d v="2024-01-01T00:00:00"/>
    <d v="2024-01-01T00:00:00"/>
    <n v="4"/>
    <n v="1"/>
    <s v="Africa"/>
    <s v="South Africa"/>
    <s v="Cape Town"/>
    <s v="Africa&gt;South Africa&gt;Cape Town"/>
    <s v="Education"/>
    <s v="Distributor"/>
    <s v="A. Patel"/>
    <s v="Printers"/>
    <s v="PRN-1654"/>
    <n v="1141.8"/>
    <n v="2318.7399999999998"/>
    <n v="2318.7399999999998"/>
    <s v="High"/>
    <n v="0.107"/>
    <n v="0.107"/>
    <n v="32"/>
    <n v="66260.314239999992"/>
    <n v="36537.599999999999"/>
    <n v="29722.714239999994"/>
    <n v="0.44857490612468304"/>
    <d v="2023-01-07T00:00:00"/>
    <n v="11"/>
  </r>
  <r>
    <s v="ORD-2023-975863"/>
    <x v="160"/>
    <x v="160"/>
    <s v="Q4 -2023"/>
    <d v="2023-12-05T00:00:00"/>
    <d v="2023-12-05T00:00:00"/>
    <n v="15"/>
    <n v="0"/>
    <s v="Asia"/>
    <s v="Japan"/>
    <s v="Tokyo"/>
    <s v="Asia&gt;Japan&gt;Tokyo"/>
    <s v="Enterprise"/>
    <s v="Retail"/>
    <s v="L. Okafor"/>
    <s v="Networking"/>
    <s v="NET-3033"/>
    <n v="354.24"/>
    <n v="249.87"/>
    <n v="249.87"/>
    <s v="Low"/>
    <n v="0"/>
    <n v="0"/>
    <n v="6"/>
    <n v="1499.22"/>
    <n v="2125.44"/>
    <n v="-626.22"/>
    <n v="-0.41769720254532355"/>
    <d v="2023-03-03T00:00:00"/>
    <n v="8"/>
  </r>
  <r>
    <s v="ORD-2023-987081"/>
    <x v="31"/>
    <x v="31"/>
    <s v="Q3 -2023"/>
    <d v="2023-09-13T00:00:00"/>
    <d v="2023-09-13T00:00:00"/>
    <n v="15"/>
    <n v="0"/>
    <s v="Americas"/>
    <s v="Canada"/>
    <s v="Vancouver"/>
    <s v="Americas&gt;Canada&gt;Vancouver"/>
    <s v="Small Business"/>
    <s v="Marketplace"/>
    <s v="O. Wang"/>
    <s v="Printers"/>
    <s v="PRN-9975"/>
    <n v="1287.6400000000001"/>
    <n v="2717.15"/>
    <n v="2717.15"/>
    <s v="High"/>
    <n v="3.2000000000000001E-2"/>
    <n v="3.2000000000000001E-2"/>
    <n v="7"/>
    <n v="18411.4084"/>
    <n v="9013.4800000000014"/>
    <n v="9397.9283999999989"/>
    <n v="0.51044049405802105"/>
    <d v="2023-01-02T00:00:00"/>
    <n v="7"/>
  </r>
  <r>
    <s v="ORD-2023-987700"/>
    <x v="161"/>
    <x v="161"/>
    <s v="Q2 -2023"/>
    <d v="2023-04-16T00:00:00"/>
    <d v="2023-04-16T00:00:00"/>
    <n v="11"/>
    <n v="0"/>
    <s v="Americas"/>
    <s v="Canada"/>
    <s v="Vancouver"/>
    <s v="Americas&gt;Canada&gt;Vancouver"/>
    <s v="Non-Profit"/>
    <s v="Online"/>
    <s v="O. Wang"/>
    <s v="Monitors"/>
    <s v="MON-5259"/>
    <n v="213.1"/>
    <n v="501.31"/>
    <n v="501.31"/>
    <s v="Low"/>
    <n v="5.6000000000000001E-2"/>
    <n v="5.6000000000000001E-2"/>
    <n v="15"/>
    <n v="7098.5495999999994"/>
    <n v="3196.5"/>
    <n v="3902.0495999999994"/>
    <n v="0.54969674368409005"/>
    <d v="2023-01-02T00:00:00"/>
    <n v="3"/>
  </r>
  <r>
    <s v="ORD-2024-102866"/>
    <x v="162"/>
    <x v="162"/>
    <s v="Q4 -2024"/>
    <d v="2024-12-20T00:00:00"/>
    <d v="2024-12-20T00:00:00"/>
    <n v="8"/>
    <n v="0"/>
    <s v="Asia"/>
    <s v="Japan"/>
    <s v="Tokyo"/>
    <s v="Asia&gt;Japan&gt;Tokyo"/>
    <s v="Corporate"/>
    <s v="Retail"/>
    <s v="B. Chen"/>
    <s v="Laptops"/>
    <s v="LAP-8347"/>
    <n v="1202.47"/>
    <n v="1444.72"/>
    <n v="1444.72"/>
    <s v="Medium"/>
    <n v="0.24099999999999999"/>
    <n v="0.24099999999999999"/>
    <n v="17"/>
    <n v="18641.222160000001"/>
    <n v="20441.990000000002"/>
    <n v="-1800.7678400000004"/>
    <n v="-9.6601382921343834E-2"/>
    <d v="2023-03-03T00:00:00"/>
    <n v="21"/>
  </r>
  <r>
    <s v="ORD-2024-105586"/>
    <x v="163"/>
    <x v="163"/>
    <s v="Q1 -2024"/>
    <d v="2024-01-15T00:00:00"/>
    <d v="2024-01-15T00:00:00"/>
    <n v="13"/>
    <n v="0"/>
    <s v="Asia"/>
    <s v="Japan"/>
    <s v="Nagoya"/>
    <s v="Asia&gt;Japan&gt;Nagoya"/>
    <s v="Small Business"/>
    <s v="Marketplace"/>
    <s v="G. Dubois"/>
    <s v="Networking"/>
    <s v="NET-1893"/>
    <n v="1219.06"/>
    <n v="2738.69"/>
    <n v="2738.69"/>
    <s v="High"/>
    <n v="7.5999999999999998E-2"/>
    <n v="7.5999999999999998E-2"/>
    <n v="16"/>
    <n v="40488.792960000006"/>
    <n v="19504.96"/>
    <n v="20983.832960000007"/>
    <n v="0.51826274447673737"/>
    <d v="2023-03-03T00:00:00"/>
    <n v="9"/>
  </r>
  <r>
    <s v="ORD-2024-129345"/>
    <x v="164"/>
    <x v="164"/>
    <s v="Q1 -2024"/>
    <d v="2024-03-03T00:00:00"/>
    <d v="2024-03-03T00:00:00"/>
    <n v="14"/>
    <n v="0"/>
    <s v="Americas"/>
    <s v="Brazil"/>
    <s v="Unknown"/>
    <s v="Americas&gt;Brazil&gt;Unknown"/>
    <s v="Enterprise"/>
    <s v="Distributor"/>
    <s v="A. Patel"/>
    <s v="Printers"/>
    <s v="PRN-5384"/>
    <n v="624.23"/>
    <n v="1318.37"/>
    <n v="1318.37"/>
    <s v="Medium"/>
    <n v="0.21"/>
    <n v="0.21"/>
    <n v="37"/>
    <n v="38535.955099999999"/>
    <n v="23096.510000000002"/>
    <n v="15439.445099999997"/>
    <n v="0.40065038118128793"/>
    <d v="2023-01-29T00:00:00"/>
    <n v="12"/>
  </r>
  <r>
    <s v="ORD-2024-134084"/>
    <x v="165"/>
    <x v="165"/>
    <s v="Q2 -2024"/>
    <d v="2024-06-16T00:00:00"/>
    <d v="2024-06-16T00:00:00"/>
    <n v="12"/>
    <n v="0"/>
    <s v="Asia"/>
    <s v="China"/>
    <s v="Shanghai"/>
    <s v="Asia&gt;China&gt;Shanghai"/>
    <s v="Corporate"/>
    <s v="Retail"/>
    <s v="J. Njeri"/>
    <s v="Printers"/>
    <s v="PRN-4097"/>
    <n v="918.42"/>
    <n v="1511.71"/>
    <n v="1511.71"/>
    <s v="Medium"/>
    <n v="0.02"/>
    <n v="0.02"/>
    <n v="8"/>
    <n v="11851.806399999999"/>
    <n v="7347.36"/>
    <n v="4504.4463999999998"/>
    <n v="0.38006412254590999"/>
    <d v="2023-01-12T00:00:00"/>
    <n v="16"/>
  </r>
  <r>
    <s v="ORD-2024-136321"/>
    <x v="166"/>
    <x v="166"/>
    <s v="Q3 -2024"/>
    <d v="2024-08-17T00:00:00"/>
    <d v="2024-08-17T00:00:00"/>
    <n v="10"/>
    <n v="0"/>
    <s v="Asia"/>
    <s v="Japan"/>
    <s v="Osaka"/>
    <s v="Asia&gt;Japan&gt;Osaka"/>
    <s v="Consumer"/>
    <s v="Online"/>
    <s v="K. Singh"/>
    <s v="Networking"/>
    <s v="NET-7924"/>
    <n v="436.58"/>
    <n v="527.48"/>
    <n v="527.48"/>
    <s v="Low"/>
    <n v="0.111"/>
    <n v="0.111"/>
    <n v="19"/>
    <n v="8909.6646800000017"/>
    <n v="8295.02"/>
    <n v="614.64468000000124"/>
    <n v="6.8986286473802644E-2"/>
    <d v="2023-03-03T00:00:00"/>
    <n v="17"/>
  </r>
  <r>
    <s v="ORD-2024-140633"/>
    <x v="167"/>
    <x v="167"/>
    <s v="Q4 -2024"/>
    <d v="2024-12-26T00:00:00"/>
    <d v="2024-12-26T00:00:00"/>
    <n v="19"/>
    <n v="0"/>
    <s v="Europe"/>
    <s v="United Kingdom"/>
    <s v="London"/>
    <s v="Europe&gt;United Kingdom&gt;London"/>
    <s v="Enterprise"/>
    <s v="Online"/>
    <s v="D. Smith"/>
    <s v="Networking"/>
    <s v="NET-4491"/>
    <n v="1035.24"/>
    <n v="2383.41"/>
    <n v="2383.41"/>
    <s v="High"/>
    <n v="0.17"/>
    <n v="0.17"/>
    <n v="15"/>
    <n v="29673.454499999993"/>
    <n v="15528.6"/>
    <n v="14144.854499999992"/>
    <n v="0.47668378145860962"/>
    <d v="2023-01-19T00:00:00"/>
    <n v="22"/>
  </r>
  <r>
    <s v="ORD-2024-153053"/>
    <x v="168"/>
    <x v="168"/>
    <s v="Q1 -2024"/>
    <d v="2024-01-29T00:00:00"/>
    <d v="2024-01-29T00:00:00"/>
    <n v="17"/>
    <n v="0"/>
    <s v="Asia"/>
    <s v="India"/>
    <s v="Hyderabad"/>
    <s v="Asia&gt;India&gt;Hyderabad"/>
    <s v="Small Business"/>
    <s v="Direct"/>
    <s v="B. Chen"/>
    <s v="Components"/>
    <s v="CMP-5138"/>
    <n v="310.02"/>
    <n v="619.51"/>
    <n v="619.51"/>
    <s v="Low"/>
    <n v="4.2000000000000003E-2"/>
    <n v="4.2000000000000003E-2"/>
    <n v="4"/>
    <n v="2373.9623200000001"/>
    <n v="1240.08"/>
    <n v="1133.8823200000002"/>
    <n v="0.47763282106347843"/>
    <d v="2023-01-29T00:00:00"/>
    <n v="11"/>
  </r>
  <r>
    <s v="ORD-2024-155337"/>
    <x v="169"/>
    <x v="169"/>
    <s v="Q2 -2024"/>
    <d v="2024-05-27T00:00:00"/>
    <d v="2024-05-27T00:00:00"/>
    <n v="6"/>
    <n v="1"/>
    <s v="Africa"/>
    <s v="South Africa"/>
    <s v="Johannesburg"/>
    <s v="Africa&gt;South Africa&gt;Johannesburg"/>
    <s v="Non-Profit"/>
    <s v="Online"/>
    <s v="M. Rossi"/>
    <s v="Components"/>
    <s v="CMP-8101"/>
    <n v="1157.51"/>
    <n v="1394.3"/>
    <n v="1394.3"/>
    <s v="Medium"/>
    <n v="0.27800000000000002"/>
    <n v="0.27800000000000002"/>
    <n v="12"/>
    <n v="12080.215199999999"/>
    <n v="13890.119999999999"/>
    <n v="-1809.9048000000003"/>
    <n v="-0.14982388724333326"/>
    <d v="2023-01-07T00:00:00"/>
    <n v="16"/>
  </r>
  <r>
    <s v="ORD-2024-164288"/>
    <x v="170"/>
    <x v="170"/>
    <s v="Q4 -2024"/>
    <d v="2024-12-26T00:00:00"/>
    <d v="2024-12-26T00:00:00"/>
    <n v="5"/>
    <n v="1"/>
    <s v="Americas"/>
    <s v="USA"/>
    <s v="San Francisco"/>
    <s v="Americas&gt;USA&gt;San Francisco"/>
    <s v="Consumer"/>
    <s v="Marketplace"/>
    <s v="M. Rossi"/>
    <s v="Printers"/>
    <s v="PRN-4788"/>
    <n v="699.57"/>
    <n v="572.71"/>
    <n v="572.71"/>
    <s v="Low"/>
    <n v="0.192"/>
    <n v="0.192"/>
    <n v="26"/>
    <n v="12031.491680000001"/>
    <n v="18188.82"/>
    <n v="-6157.3283199999987"/>
    <n v="-0.51176765805651114"/>
    <d v="2023-01-13T00:00:00"/>
    <n v="23"/>
  </r>
  <r>
    <s v="ORD-2024-165942"/>
    <x v="171"/>
    <x v="171"/>
    <s v="Q4 -2024"/>
    <d v="2025-01-12T00:00:00"/>
    <d v="2025-01-12T00:00:00"/>
    <n v="14"/>
    <n v="0"/>
    <s v="Europe"/>
    <s v="United Kingdom"/>
    <s v="Manchester"/>
    <s v="Europe&gt;United Kingdom&gt;Manchester"/>
    <s v="Corporate"/>
    <s v="Direct"/>
    <s v="B. Chen"/>
    <s v="Monitors"/>
    <s v="MON-6310"/>
    <n v="1399.72"/>
    <n v="3149.21"/>
    <n v="3149.21"/>
    <s v="High"/>
    <n v="0.185"/>
    <n v="0.185"/>
    <n v="12"/>
    <n v="30799.273800000003"/>
    <n v="16796.64"/>
    <n v="14002.633800000003"/>
    <n v="0.45464168703873797"/>
    <d v="2023-01-19T00:00:00"/>
    <n v="23"/>
  </r>
  <r>
    <s v="ORD-2024-166150"/>
    <x v="172"/>
    <x v="172"/>
    <s v="Q2 -2024"/>
    <d v="2024-06-08T00:00:00"/>
    <d v="2024-06-08T00:00:00"/>
    <n v="6"/>
    <n v="1"/>
    <s v="Africa"/>
    <s v="Kenya"/>
    <s v="Kisumu"/>
    <s v="Africa&gt;Kenya&gt;Kisumu"/>
    <s v="Consumer"/>
    <s v="Marketplace"/>
    <s v="A. Patel"/>
    <s v="Accessories"/>
    <s v="ACC-9820"/>
    <n v="292.94"/>
    <n v="356.55"/>
    <n v="356.55"/>
    <s v="Low"/>
    <n v="0.22900000000000001"/>
    <n v="0.22900000000000001"/>
    <n v="2"/>
    <n v="549.80010000000004"/>
    <n v="585.88"/>
    <n v="-36.079899999999952"/>
    <n v="-6.5623669402751925E-2"/>
    <d v="2023-01-20T00:00:00"/>
    <n v="16"/>
  </r>
  <r>
    <s v="ORD-2024-167215"/>
    <x v="173"/>
    <x v="173"/>
    <s v="Q3 -2024"/>
    <d v="2024-08-21T00:00:00"/>
    <d v="2024-08-28T00:00:00"/>
    <n v="5"/>
    <n v="1"/>
    <s v="Africa"/>
    <s v="South Africa"/>
    <s v="Johannesburg"/>
    <s v="Africa&gt;South Africa&gt;Johannesburg"/>
    <s v="Education"/>
    <s v="Retail"/>
    <s v="E. Garcia"/>
    <s v="Components"/>
    <s v="CMP-1559"/>
    <n v="1432.52"/>
    <n v="3036.87"/>
    <n v="3036.87"/>
    <s v="High"/>
    <n v="0"/>
    <n v="0"/>
    <n v="9"/>
    <n v="27331.829999999998"/>
    <n v="12892.68"/>
    <n v="14439.149999999998"/>
    <n v="0.52829064135112791"/>
    <d v="2023-01-07T00:00:00"/>
    <n v="19"/>
  </r>
  <r>
    <s v="ORD-2024-170021"/>
    <x v="174"/>
    <x v="174"/>
    <s v="Q4 -2024"/>
    <d v="2024-11-08T00:00:00"/>
    <d v="2024-11-08T00:00:00"/>
    <n v="3"/>
    <n v="1"/>
    <s v="Americas"/>
    <s v="Canada"/>
    <s v="Toronto"/>
    <s v="Americas&gt;Canada&gt;Toronto"/>
    <s v="Education"/>
    <s v="Marketplace"/>
    <s v="O. Wang"/>
    <s v="Components"/>
    <s v="CMP-2015"/>
    <n v="1020.4"/>
    <n v="1184.71"/>
    <n v="1184.71"/>
    <s v="Medium"/>
    <n v="0.106"/>
    <n v="0.106"/>
    <n v="16"/>
    <n v="16946.091840000001"/>
    <n v="16326.4"/>
    <n v="619.69184000000132"/>
    <n v="3.6568422138328345E-2"/>
    <d v="2023-01-02T00:00:00"/>
    <n v="22"/>
  </r>
  <r>
    <s v="ORD-2024-170313"/>
    <x v="175"/>
    <x v="175"/>
    <s v="Q4 -2024"/>
    <d v="2025-01-15T00:00:00"/>
    <d v="2025-01-15T00:00:00"/>
    <n v="19"/>
    <n v="0"/>
    <s v="Asia"/>
    <s v="India"/>
    <s v="Delhi"/>
    <s v="Asia&gt;India&gt;Delhi"/>
    <s v="Non-Profit"/>
    <s v="Distributor"/>
    <s v="G. Dubois"/>
    <s v="Components"/>
    <s v="CMP-6919"/>
    <n v="495.59"/>
    <n v="631.78"/>
    <n v="631.78"/>
    <s v="Low"/>
    <n v="8.6999999999999994E-2"/>
    <n v="8.6999999999999994E-2"/>
    <n v="17"/>
    <n v="9805.8573800000013"/>
    <n v="8425.0299999999988"/>
    <n v="1380.8273800000024"/>
    <n v="0.14081658813601899"/>
    <d v="2023-01-29T00:00:00"/>
    <n v="22"/>
  </r>
  <r>
    <s v="ORD-2024-192263"/>
    <x v="176"/>
    <x v="176"/>
    <s v="Q4 -2024"/>
    <d v="2024-12-21T00:00:00"/>
    <d v="2024-12-21T00:00:00"/>
    <n v="30"/>
    <n v="0"/>
    <s v="Europe"/>
    <s v="France"/>
    <s v="Marseille"/>
    <s v="Europe&gt;France&gt;Marseille"/>
    <s v="Small Business"/>
    <s v="Direct"/>
    <s v="I. Johnson"/>
    <s v="Monitors"/>
    <s v="MON-7943"/>
    <n v="1122.68"/>
    <n v="1997.19"/>
    <n v="1997.19"/>
    <s v="High"/>
    <n v="0.186"/>
    <n v="0.186"/>
    <n v="3"/>
    <n v="4877.1379800000004"/>
    <n v="3368.04"/>
    <n v="1509.0979800000005"/>
    <n v="0.30942285951073306"/>
    <d v="2023-01-10T00:00:00"/>
    <n v="22"/>
  </r>
  <r>
    <s v="ORD-2024-197852"/>
    <x v="177"/>
    <x v="177"/>
    <s v="Q1 -2024"/>
    <d v="2024-03-30T00:00:00"/>
    <d v="2024-03-30T00:00:00"/>
    <n v="30"/>
    <n v="0"/>
    <s v="Asia"/>
    <s v="Japan"/>
    <s v="Nagoya"/>
    <s v="Asia&gt;Japan&gt;Nagoya"/>
    <s v="Small Business"/>
    <s v="Direct"/>
    <s v="I. Johnson"/>
    <s v="Networking"/>
    <s v="NET-7588"/>
    <n v="231.11"/>
    <n v="318.17"/>
    <n v="318.17"/>
    <s v="Low"/>
    <n v="0.20100000000000001"/>
    <n v="0.20100000000000001"/>
    <n v="60"/>
    <n v="15253.069799999999"/>
    <n v="13866.6"/>
    <n v="1386.4697999999989"/>
    <n v="9.0897754889969692E-2"/>
    <d v="2023-03-03T00:00:00"/>
    <n v="11"/>
  </r>
  <r>
    <s v="ORD-2024-201376"/>
    <x v="164"/>
    <x v="164"/>
    <s v="Q1 -2024"/>
    <d v="2024-03-04T00:00:00"/>
    <d v="2024-03-04T00:00:00"/>
    <n v="15"/>
    <n v="0"/>
    <s v="Africa"/>
    <s v="Kenya"/>
    <s v="Kisumu"/>
    <s v="Africa&gt;Kenya&gt;Kisumu"/>
    <s v="Education"/>
    <s v="Direct"/>
    <s v="K. Singh"/>
    <s v="Printers"/>
    <s v="PRN-7089"/>
    <n v="928.68"/>
    <n v="2145.17"/>
    <n v="2145.17"/>
    <s v="High"/>
    <n v="0.13600000000000001"/>
    <n v="0.13600000000000001"/>
    <n v="16"/>
    <n v="29654.83008"/>
    <n v="14858.88"/>
    <n v="14795.950080000001"/>
    <n v="0.49893896003062177"/>
    <d v="2023-01-20T00:00:00"/>
    <n v="12"/>
  </r>
  <r>
    <s v="ORD-2024-202166"/>
    <x v="178"/>
    <x v="178"/>
    <s v="Q2 -2024"/>
    <d v="2024-05-18T00:00:00"/>
    <d v="2024-05-18T00:00:00"/>
    <n v="13"/>
    <n v="0"/>
    <s v="Europe"/>
    <s v="France"/>
    <s v="Marseille"/>
    <s v="Europe&gt;France&gt;Marseille"/>
    <s v="Corporate"/>
    <s v="Marketplace"/>
    <s v="A. Patel"/>
    <s v="Components"/>
    <s v="CMP-3313"/>
    <n v="1264.04"/>
    <n v="1870.89"/>
    <n v="1870.89"/>
    <s v="High"/>
    <n v="0"/>
    <n v="0"/>
    <n v="13"/>
    <n v="24321.57"/>
    <n v="16432.52"/>
    <n v="7889.0499999999993"/>
    <n v="0.32436433996653996"/>
    <d v="2023-01-10T00:00:00"/>
    <n v="15"/>
  </r>
  <r>
    <s v="ORD-2024-202877"/>
    <x v="179"/>
    <x v="179"/>
    <s v="Q3 -2024"/>
    <d v="2024-08-03T00:00:00"/>
    <d v="2024-08-03T00:00:00"/>
    <n v="21"/>
    <n v="0"/>
    <s v="Americas"/>
    <s v="Brazil"/>
    <s v="Rio de Janeiro"/>
    <s v="Americas&gt;Brazil&gt;Rio de Janeiro"/>
    <s v="Corporate"/>
    <s v="Marketplace"/>
    <s v="M. Rossi"/>
    <s v="Monitors"/>
    <s v="MON-6287"/>
    <n v="702.98"/>
    <n v="1104.8"/>
    <n v="1104.8"/>
    <s v="Medium"/>
    <n v="0.17499999999999999"/>
    <n v="0.17499999999999999"/>
    <n v="12"/>
    <n v="10937.519999999999"/>
    <n v="8435.76"/>
    <n v="2501.7599999999984"/>
    <n v="0.22873192460448061"/>
    <d v="2023-01-29T00:00:00"/>
    <n v="17"/>
  </r>
  <r>
    <s v="ORD-2024-206081"/>
    <x v="180"/>
    <x v="180"/>
    <s v="Q4 -2024"/>
    <d v="2025-01-08T00:00:00"/>
    <d v="2025-01-08T00:00:00"/>
    <n v="29"/>
    <n v="0"/>
    <s v="Europe"/>
    <s v="France"/>
    <s v="Marseille"/>
    <s v="Europe&gt;France&gt;Marseille"/>
    <s v="Small Business"/>
    <s v="Retail"/>
    <s v="K. Singh"/>
    <s v="Printers"/>
    <s v="PRN-6791"/>
    <n v="891.08"/>
    <n v="1040.0999999999999"/>
    <n v="1040.0999999999999"/>
    <s v="Medium"/>
    <n v="0.109"/>
    <n v="0.109"/>
    <n v="28"/>
    <n v="25948.414799999995"/>
    <n v="24950.240000000002"/>
    <n v="998.17479999999341"/>
    <n v="3.8467660074556598E-2"/>
    <d v="2023-01-10T00:00:00"/>
    <n v="23"/>
  </r>
  <r>
    <s v="ORD-2024-206121"/>
    <x v="164"/>
    <x v="164"/>
    <s v="Q1 -2024"/>
    <d v="2024-03-11T00:00:00"/>
    <d v="2024-03-11T00:00:00"/>
    <n v="22"/>
    <n v="0"/>
    <s v="Americas"/>
    <s v="Brazil"/>
    <s v="São Paulo"/>
    <s v="Americas&gt;Brazil&gt;São Paulo"/>
    <s v="Consumer"/>
    <s v="Online"/>
    <s v="A. Patel"/>
    <s v="Components"/>
    <s v="CMP-9801"/>
    <n v="80.48"/>
    <n v="65.650000000000006"/>
    <n v="65.650000000000006"/>
    <s v="Low"/>
    <n v="0.17599999999999999"/>
    <n v="0.17599999999999999"/>
    <n v="13"/>
    <n v="703.2428000000001"/>
    <n v="1046.24"/>
    <n v="-342.99719999999991"/>
    <n v="-0.48773652570634191"/>
    <d v="2023-01-29T00:00:00"/>
    <n v="12"/>
  </r>
  <r>
    <s v="ORD-2024-206311"/>
    <x v="181"/>
    <x v="181"/>
    <s v="Q1 -2024"/>
    <d v="2024-01-15T00:00:00"/>
    <d v="2024-01-15T00:00:00"/>
    <n v="2"/>
    <n v="1"/>
    <s v="Americas"/>
    <s v="USA"/>
    <s v="San Francisco"/>
    <s v="Americas&gt;USA&gt;San Francisco"/>
    <s v="Non-Profit"/>
    <s v="Direct"/>
    <s v="E. Garcia"/>
    <s v="Components"/>
    <s v="CMP-2410"/>
    <n v="1061.3699999999999"/>
    <n v="1938.33"/>
    <n v="1938.33"/>
    <s v="High"/>
    <n v="0.17"/>
    <n v="0.17"/>
    <n v="4"/>
    <n v="6435.2555999999995"/>
    <n v="4245.4799999999996"/>
    <n v="2189.7755999999999"/>
    <n v="0.34027795259600879"/>
    <d v="2023-01-13T00:00:00"/>
    <n v="12"/>
  </r>
  <r>
    <s v="ORD-2024-207096"/>
    <x v="182"/>
    <x v="182"/>
    <s v="Q1 -2024"/>
    <d v="2024-04-05T00:00:00"/>
    <d v="2024-04-05T00:00:00"/>
    <n v="10"/>
    <n v="0"/>
    <s v="Americas"/>
    <s v="USA"/>
    <s v="Austin"/>
    <s v="Americas&gt;USA&gt;Austin"/>
    <s v="Consumer"/>
    <s v="Direct"/>
    <s v="J. Njeri"/>
    <s v="Monitors"/>
    <s v="MON-5444"/>
    <n v="5.66"/>
    <n v="4.22"/>
    <n v="4.22"/>
    <s v="Low"/>
    <n v="0.11899999999999999"/>
    <n v="0.11899999999999999"/>
    <n v="18"/>
    <n v="66.920760000000001"/>
    <n v="101.88"/>
    <n v="-34.959239999999994"/>
    <n v="-0.52239753403876454"/>
    <d v="2023-01-13T00:00:00"/>
    <n v="14"/>
  </r>
  <r>
    <s v="ORD-2024-207669"/>
    <x v="183"/>
    <x v="183"/>
    <s v="Q1 -2024"/>
    <d v="2024-02-04T00:00:00"/>
    <d v="2024-02-04T00:00:00"/>
    <n v="11"/>
    <n v="0"/>
    <s v="Europe"/>
    <s v="United Kingdom"/>
    <s v="Manchester"/>
    <s v="Europe&gt;United Kingdom&gt;Manchester"/>
    <s v="Consumer"/>
    <s v="Retail"/>
    <s v="B. Chen"/>
    <s v="Laptops"/>
    <s v="LAP-5689"/>
    <n v="525.34"/>
    <n v="1233.79"/>
    <n v="1233.79"/>
    <s v="Medium"/>
    <n v="0.14299999999999999"/>
    <n v="0.14299999999999999"/>
    <n v="4"/>
    <n v="4229.4321199999995"/>
    <n v="2101.36"/>
    <n v="2128.0721199999994"/>
    <n v="0.50315788494082736"/>
    <d v="2023-01-19T00:00:00"/>
    <n v="12"/>
  </r>
  <r>
    <s v="ORD-2024-207792"/>
    <x v="184"/>
    <x v="184"/>
    <s v="Q3 -2024"/>
    <d v="2024-09-07T00:00:00"/>
    <d v="2024-09-07T00:00:00"/>
    <n v="4"/>
    <n v="1"/>
    <s v="Asia"/>
    <s v="Japan"/>
    <s v="Tokyo"/>
    <s v="Asia&gt;Japan&gt;Tokyo"/>
    <s v="Small Business"/>
    <s v="Distributor"/>
    <s v="N. Brown"/>
    <s v="Printers"/>
    <s v="PRN-3917"/>
    <n v="43.23"/>
    <n v="94.78"/>
    <n v="94.78"/>
    <s v="Low"/>
    <n v="9.0999999999999998E-2"/>
    <n v="9.0999999999999998E-2"/>
    <n v="55"/>
    <n v="4738.5261"/>
    <n v="2377.6499999999996"/>
    <n v="2360.8761000000004"/>
    <n v="0.49823005090127082"/>
    <d v="2023-03-03T00:00:00"/>
    <n v="18"/>
  </r>
  <r>
    <s v="ORD-2024-210687"/>
    <x v="185"/>
    <x v="185"/>
    <s v="Q1 -2024"/>
    <d v="2024-02-09T00:00:00"/>
    <d v="2024-02-09T00:00:00"/>
    <n v="12"/>
    <n v="0"/>
    <s v="Europe"/>
    <s v="Germany"/>
    <s v="Berlin"/>
    <s v="Europe&gt;Germany&gt;Berlin"/>
    <s v="Corporate"/>
    <s v="Online"/>
    <s v="G. Dubois"/>
    <s v="Accessories"/>
    <s v="ACC-7938"/>
    <n v="644.16999999999996"/>
    <n v="700.12"/>
    <n v="700.12"/>
    <s v="Low"/>
    <n v="6.0000000000000001E-3"/>
    <n v="6.0000000000000001E-3"/>
    <n v="23"/>
    <n v="16006.14344"/>
    <n v="14815.91"/>
    <n v="1190.23344"/>
    <n v="7.436103796405813E-2"/>
    <d v="2023-01-22T00:00:00"/>
    <n v="12"/>
  </r>
  <r>
    <s v="ORD-2024-211453"/>
    <x v="186"/>
    <x v="186"/>
    <s v="Q2 -2024"/>
    <d v="2024-04-24T00:00:00"/>
    <d v="2024-04-24T00:00:00"/>
    <n v="20"/>
    <n v="0"/>
    <s v="Europe"/>
    <s v="Germany"/>
    <s v="Frankfurt"/>
    <s v="Europe&gt;Germany&gt;Frankfurt"/>
    <s v="Non-Profit"/>
    <s v="Direct"/>
    <s v="O. Wang"/>
    <s v="Accessories"/>
    <s v="ACC-6543"/>
    <n v="683.42"/>
    <n v="951.51"/>
    <n v="951.51"/>
    <s v="Medium"/>
    <n v="0"/>
    <n v="0"/>
    <n v="14"/>
    <n v="13321.14"/>
    <n v="9567.8799999999992"/>
    <n v="3753.26"/>
    <n v="0.28175216235247136"/>
    <d v="2023-01-22T00:00:00"/>
    <n v="14"/>
  </r>
  <r>
    <s v="ORD-2024-212990"/>
    <x v="187"/>
    <x v="187"/>
    <s v="Q3 -2024"/>
    <d v="2024-09-03T00:00:00"/>
    <d v="2024-09-03T00:00:00"/>
    <n v="22"/>
    <n v="0"/>
    <s v="Americas"/>
    <s v="USA"/>
    <s v="Austin"/>
    <s v="Americas&gt;USA&gt;Austin"/>
    <s v="Consumer"/>
    <s v="Distributor"/>
    <s v="I. Johnson"/>
    <s v="Laptops"/>
    <s v="LAP-7979"/>
    <n v="797.8"/>
    <n v="886.22"/>
    <n v="886.22"/>
    <s v="Medium"/>
    <n v="0.23599999999999999"/>
    <n v="0.23599999999999999"/>
    <n v="36"/>
    <n v="24374.594880000001"/>
    <n v="28720.799999999999"/>
    <n v="-4346.2051199999987"/>
    <n v="-0.17830881462428633"/>
    <d v="2023-01-13T00:00:00"/>
    <n v="18"/>
  </r>
  <r>
    <s v="ORD-2024-215294"/>
    <x v="188"/>
    <x v="188"/>
    <s v="Q2 -2024"/>
    <d v="2024-07-14T00:00:00"/>
    <d v="2024-07-14T00:00:00"/>
    <n v="14"/>
    <n v="0"/>
    <s v="Americas"/>
    <s v="Brazil"/>
    <s v="Brasília"/>
    <s v="Americas&gt;Brazil&gt;Brasília"/>
    <s v="Education"/>
    <s v="Retail"/>
    <s v="C. Otieno"/>
    <s v="Accessories"/>
    <s v="ACC-8683"/>
    <n v="1491.85"/>
    <n v="2583.02"/>
    <n v="2583.02"/>
    <s v="High"/>
    <n v="0.16800000000000001"/>
    <n v="0.16800000000000001"/>
    <n v="4"/>
    <n v="8596.2905599999995"/>
    <n v="5967.4"/>
    <n v="2628.8905599999998"/>
    <n v="0.30581685689321325"/>
    <d v="2023-01-29T00:00:00"/>
    <n v="17"/>
  </r>
  <r>
    <s v="ORD-2024-219735"/>
    <x v="189"/>
    <x v="189"/>
    <s v="Q2 -2024"/>
    <d v="2024-04-07T00:00:00"/>
    <d v="2024-04-07T00:00:00"/>
    <n v="4"/>
    <n v="1"/>
    <s v="Americas"/>
    <s v="Brazil"/>
    <s v="Brasília"/>
    <s v="Americas&gt;Brazil&gt;Brasília"/>
    <s v="Non-Profit"/>
    <s v="Direct"/>
    <s v="N. Brown"/>
    <s v="Phones"/>
    <s v="PHN-5445"/>
    <n v="1023.27"/>
    <n v="1343.64"/>
    <n v="1343.64"/>
    <s v="Medium"/>
    <n v="0.13300000000000001"/>
    <n v="0.13300000000000001"/>
    <n v="7"/>
    <n v="8154.5511600000009"/>
    <n v="7162.8899999999994"/>
    <n v="991.66116000000147"/>
    <n v="0.12160830688810116"/>
    <d v="2023-01-29T00:00:00"/>
    <n v="14"/>
  </r>
  <r>
    <s v="ORD-2024-220234"/>
    <x v="190"/>
    <x v="190"/>
    <s v="Q1 -2024"/>
    <d v="2024-04-09T00:00:00"/>
    <d v="2024-04-09T00:00:00"/>
    <n v="25"/>
    <n v="0"/>
    <s v="Americas"/>
    <s v="Canada"/>
    <s v="Vancouver"/>
    <s v="Americas&gt;Canada&gt;Vancouver"/>
    <s v="Consumer"/>
    <s v="Online"/>
    <s v="F. Müller"/>
    <s v="Monitors"/>
    <s v="MON-4361"/>
    <n v="648.64"/>
    <n v="815.19"/>
    <n v="815.19"/>
    <s v="Low"/>
    <n v="0.22500000000000001"/>
    <n v="0.22500000000000001"/>
    <n v="28"/>
    <n v="17689.623"/>
    <n v="18161.919999999998"/>
    <n v="-472.29699999999866"/>
    <n v="-2.6699099240272032E-2"/>
    <d v="2023-01-02T00:00:00"/>
    <n v="14"/>
  </r>
  <r>
    <s v="ORD-2024-223618"/>
    <x v="191"/>
    <x v="191"/>
    <s v="Q2 -2024"/>
    <d v="2024-06-11T00:00:00"/>
    <d v="2024-06-11T00:00:00"/>
    <n v="1"/>
    <n v="1"/>
    <s v="Europe"/>
    <s v="United Kingdom"/>
    <s v="Birmingham"/>
    <s v="Europe&gt;United Kingdom&gt;Birmingham"/>
    <s v="Small Business"/>
    <s v="Marketplace"/>
    <s v="M. Rossi"/>
    <s v="Laptops"/>
    <s v="LAP-9230"/>
    <n v="1187.1300000000001"/>
    <n v="1795.17"/>
    <n v="1795.17"/>
    <s v="High"/>
    <n v="1.2E-2"/>
    <n v="1.2E-2"/>
    <n v="17"/>
    <n v="30151.675319999998"/>
    <n v="20181.210000000003"/>
    <n v="9970.4653199999957"/>
    <n v="0.33067699271046663"/>
    <d v="2023-01-19T00:00:00"/>
    <n v="16"/>
  </r>
  <r>
    <s v="ORD-2024-225829"/>
    <x v="192"/>
    <x v="192"/>
    <s v="Q4 -2024"/>
    <d v="2024-11-26T00:00:00"/>
    <d v="2024-11-26T00:00:00"/>
    <n v="19"/>
    <n v="0"/>
    <s v="Americas"/>
    <s v="Brazil"/>
    <s v="Rio de Janeiro"/>
    <s v="Americas&gt;Brazil&gt;Rio de Janeiro"/>
    <s v="Non-Profit"/>
    <s v="Distributor"/>
    <s v="J. Njeri"/>
    <s v="Printers"/>
    <s v="PRN-9960"/>
    <n v="55.35"/>
    <n v="128.68"/>
    <n v="128.68"/>
    <s v="Low"/>
    <n v="0.128"/>
    <n v="0.128"/>
    <n v="10"/>
    <n v="1122.0896000000002"/>
    <n v="553.5"/>
    <n v="568.58960000000025"/>
    <n v="0.50672388372550647"/>
    <d v="2023-01-29T00:00:00"/>
    <n v="21"/>
  </r>
  <r>
    <s v="ORD-2024-232632"/>
    <x v="193"/>
    <x v="193"/>
    <s v="Q1 -2024"/>
    <d v="2024-02-14T00:00:00"/>
    <d v="2024-02-14T00:00:00"/>
    <n v="0"/>
    <n v="1"/>
    <s v="Asia"/>
    <s v="China"/>
    <s v="Beijing"/>
    <s v="Asia&gt;China&gt;Beijing"/>
    <s v="Corporate"/>
    <s v="Distributor"/>
    <s v="L. Okafor"/>
    <s v="Accessories"/>
    <s v="ACC-1021"/>
    <n v="65.930000000000007"/>
    <n v="84.9"/>
    <n v="84.9"/>
    <s v="Low"/>
    <n v="0.25900000000000001"/>
    <n v="0.25900000000000001"/>
    <n v="23"/>
    <n v="1446.9507000000001"/>
    <n v="1516.39"/>
    <n v="-69.439300000000003"/>
    <n v="-4.7990093926489688E-2"/>
    <d v="2023-01-12T00:00:00"/>
    <n v="13"/>
  </r>
  <r>
    <s v="ORD-2024-237478"/>
    <x v="194"/>
    <x v="194"/>
    <s v="Q4 -2024"/>
    <d v="2024-10-11T00:00:00"/>
    <d v="2024-10-11T00:00:00"/>
    <n v="8"/>
    <n v="0"/>
    <s v="Asia"/>
    <s v="China"/>
    <s v="Beijing"/>
    <s v="Asia&gt;China&gt;Beijing"/>
    <s v="Enterprise"/>
    <s v="Direct"/>
    <s v="B. Chen"/>
    <s v="Phones"/>
    <s v="PHN-7488"/>
    <n v="1132.6099999999999"/>
    <n v="2206.63"/>
    <n v="2206.63"/>
    <s v="High"/>
    <n v="6.3E-2"/>
    <n v="6.3E-2"/>
    <n v="20"/>
    <n v="41352.246200000009"/>
    <n v="22652.199999999997"/>
    <n v="18700.046200000012"/>
    <n v="0.45221355351671338"/>
    <d v="2023-01-12T00:00:00"/>
    <n v="20"/>
  </r>
  <r>
    <s v="ORD-2024-243988"/>
    <x v="195"/>
    <x v="195"/>
    <s v="Q1 -2024"/>
    <d v="2024-04-06T00:00:00"/>
    <d v="2024-04-06T00:00:00"/>
    <n v="24"/>
    <n v="0"/>
    <s v="Africa"/>
    <s v="Nigeria"/>
    <s v="Abuja"/>
    <s v="Africa&gt;Nigeria&gt;Abuja"/>
    <s v="Consumer"/>
    <s v="Distributor"/>
    <s v="L. Okafor"/>
    <s v="Components"/>
    <s v="CMP-9001"/>
    <n v="1232.78"/>
    <n v="1731.75"/>
    <n v="1731.75"/>
    <s v="High"/>
    <n v="9.2999999999999999E-2"/>
    <n v="9.2999999999999999E-2"/>
    <n v="16"/>
    <n v="25131.155999999999"/>
    <n v="19724.48"/>
    <n v="5406.6759999999995"/>
    <n v="0.21513837246484005"/>
    <d v="2023-01-15T00:00:00"/>
    <n v="13"/>
  </r>
  <r>
    <s v="ORD-2024-247032"/>
    <x v="196"/>
    <x v="196"/>
    <s v="Q2 -2024"/>
    <d v="2024-05-19T00:00:00"/>
    <d v="2024-05-19T00:00:00"/>
    <n v="28"/>
    <n v="0"/>
    <s v="Africa"/>
    <s v="Nigeria"/>
    <s v="Lagos"/>
    <s v="Africa&gt;Nigeria&gt;Lagos"/>
    <s v="Corporate"/>
    <s v="Distributor"/>
    <s v="A. Patel"/>
    <s v="Accessories"/>
    <s v="ACC-2990"/>
    <n v="187.22"/>
    <n v="309.47000000000003"/>
    <n v="309.47000000000003"/>
    <s v="Low"/>
    <n v="0"/>
    <n v="0"/>
    <n v="5"/>
    <n v="1547.3500000000001"/>
    <n v="936.1"/>
    <n v="611.25000000000011"/>
    <n v="0.39503021294471197"/>
    <d v="2023-01-15T00:00:00"/>
    <n v="15"/>
  </r>
  <r>
    <s v="ORD-2024-247979"/>
    <x v="197"/>
    <x v="197"/>
    <s v="Q4 -2024"/>
    <d v="2024-11-18T00:00:00"/>
    <d v="2024-11-18T00:00:00"/>
    <n v="16"/>
    <n v="0"/>
    <s v="Asia"/>
    <s v="India"/>
    <s v="Mumbai"/>
    <s v="Asia&gt;India&gt;Mumbai"/>
    <s v="Small Business"/>
    <s v="Distributor"/>
    <s v="O. Wang"/>
    <s v="Monitors"/>
    <s v="MON-5188"/>
    <n v="1233.58"/>
    <n v="1912.51"/>
    <n v="1912.51"/>
    <s v="High"/>
    <n v="0.255"/>
    <n v="0.255"/>
    <n v="51"/>
    <n v="72665.817450000002"/>
    <n v="62912.579999999994"/>
    <n v="9753.2374500000078"/>
    <n v="0.134220432553601"/>
    <d v="2023-01-29T00:00:00"/>
    <n v="21"/>
  </r>
  <r>
    <s v="ORD-2024-250862"/>
    <x v="198"/>
    <x v="198"/>
    <s v="Q4 -2024"/>
    <d v="2024-11-05T00:00:00"/>
    <d v="2024-11-05T00:00:00"/>
    <n v="11"/>
    <n v="0"/>
    <s v="Americas"/>
    <s v="USA"/>
    <s v="New York"/>
    <s v="Americas&gt;USA&gt;New York"/>
    <s v="Corporate"/>
    <s v="Distributor"/>
    <s v="N. Brown"/>
    <s v="Components"/>
    <s v="CMP-9498"/>
    <n v="446.66"/>
    <n v="527.64"/>
    <n v="527.64"/>
    <s v="Low"/>
    <n v="0.14499999999999999"/>
    <n v="0.14499999999999999"/>
    <n v="15"/>
    <n v="6766.9829999999993"/>
    <n v="6699.9000000000005"/>
    <n v="67.082999999998719"/>
    <n v="9.9132804087137105E-3"/>
    <d v="2023-01-13T00:00:00"/>
    <n v="21"/>
  </r>
  <r>
    <s v="ORD-2024-251426"/>
    <x v="199"/>
    <x v="199"/>
    <s v="Q1 -2024"/>
    <d v="2024-03-26T00:00:00"/>
    <d v="2024-03-26T00:00:00"/>
    <n v="17"/>
    <n v="0"/>
    <s v="Americas"/>
    <s v="USA"/>
    <s v="San Francisco"/>
    <s v="Americas&gt;USA&gt;San Francisco"/>
    <s v="Education"/>
    <s v="Direct"/>
    <s v="I. Johnson"/>
    <s v="Phones"/>
    <s v="PHN-3398"/>
    <n v="1137.4100000000001"/>
    <n v="1680.93"/>
    <n v="1680.93"/>
    <s v="High"/>
    <n v="0.254"/>
    <n v="0.254"/>
    <n v="9"/>
    <n v="11285.764020000001"/>
    <n v="10236.69"/>
    <n v="1049.07402"/>
    <n v="9.2955516183121464E-2"/>
    <d v="2023-01-13T00:00:00"/>
    <n v="13"/>
  </r>
  <r>
    <s v="ORD-2024-257550"/>
    <x v="175"/>
    <x v="175"/>
    <s v="Q4 -2024"/>
    <d v="2024-12-29T00:00:00"/>
    <d v="2024-12-29T00:00:00"/>
    <n v="2"/>
    <n v="1"/>
    <s v="Americas"/>
    <s v="Canada"/>
    <s v="Vancouver"/>
    <s v="Americas&gt;Canada&gt;Vancouver"/>
    <s v="Enterprise"/>
    <s v="Marketplace"/>
    <s v="C. Otieno"/>
    <s v="Accessories"/>
    <s v="ACC-8620"/>
    <n v="1146.72"/>
    <n v="2074.34"/>
    <n v="2074.34"/>
    <s v="High"/>
    <n v="0.111"/>
    <n v="0.111"/>
    <n v="8"/>
    <n v="14752.706080000002"/>
    <n v="9173.76"/>
    <n v="5578.9460800000015"/>
    <n v="0.37816425337472737"/>
    <d v="2023-01-02T00:00:00"/>
    <n v="23"/>
  </r>
  <r>
    <s v="ORD-2024-260775"/>
    <x v="200"/>
    <x v="200"/>
    <s v="Q4 -2024"/>
    <d v="2024-11-06T00:00:00"/>
    <d v="2024-11-06T00:00:00"/>
    <n v="20"/>
    <n v="0"/>
    <s v="Asia"/>
    <s v="India"/>
    <s v="Bengaluru"/>
    <s v="Asia&gt;India&gt;Bengaluru"/>
    <s v="Enterprise"/>
    <s v="Distributor"/>
    <s v="O. Wang"/>
    <s v="Monitors"/>
    <s v="MON-4330"/>
    <n v="72.94"/>
    <n v="106.3"/>
    <n v="106.3"/>
    <s v="Low"/>
    <n v="0.29499999999999998"/>
    <n v="0.29499999999999998"/>
    <n v="8"/>
    <n v="599.53200000000004"/>
    <n v="583.52"/>
    <n v="16.012000000000057"/>
    <n v="2.6707498515508857E-2"/>
    <d v="2023-01-29T00:00:00"/>
    <n v="20"/>
  </r>
  <r>
    <s v="ORD-2024-266562"/>
    <x v="201"/>
    <x v="201"/>
    <s v="Q4 -2024"/>
    <d v="2024-12-24T00:00:00"/>
    <d v="2024-12-24T00:00:00"/>
    <n v="27"/>
    <n v="0"/>
    <s v="Africa"/>
    <s v="Kenya"/>
    <s v="Mombasa"/>
    <s v="Africa&gt;Kenya&gt;Mombasa"/>
    <s v="Corporate"/>
    <s v="Distributor"/>
    <s v="B. Chen"/>
    <s v="Printers"/>
    <s v="PRN-5569"/>
    <n v="143.33000000000001"/>
    <n v="233.51"/>
    <n v="233.51"/>
    <s v="Low"/>
    <n v="0.16300000000000001"/>
    <n v="0.16300000000000001"/>
    <n v="14"/>
    <n v="2736.27018"/>
    <n v="2006.6200000000001"/>
    <n v="729.65017999999986"/>
    <n v="0.26665867476580835"/>
    <d v="2023-01-20T00:00:00"/>
    <n v="22"/>
  </r>
  <r>
    <s v="ORD-2024-275203"/>
    <x v="202"/>
    <x v="202"/>
    <s v="Q1 -2024"/>
    <d v="2024-04-06T00:00:00"/>
    <d v="2024-04-06T00:00:00"/>
    <n v="26"/>
    <n v="0"/>
    <s v="Africa"/>
    <s v="Kenya"/>
    <s v="Kisumu"/>
    <s v="Africa&gt;Kenya&gt;Kisumu"/>
    <s v="Corporate"/>
    <s v="Retail"/>
    <s v="C. Otieno"/>
    <s v="Components"/>
    <s v="CMP-8270"/>
    <n v="279.24"/>
    <n v="608.9"/>
    <n v="608.9"/>
    <s v="Low"/>
    <n v="0.112"/>
    <n v="0.112"/>
    <n v="9"/>
    <n v="4866.3287999999993"/>
    <n v="2513.16"/>
    <n v="2353.1687999999995"/>
    <n v="0.48356140670149533"/>
    <d v="2023-01-20T00:00:00"/>
    <n v="13"/>
  </r>
  <r>
    <s v="ORD-2024-277241"/>
    <x v="185"/>
    <x v="185"/>
    <s v="Q1 -2024"/>
    <d v="2024-01-30T00:00:00"/>
    <d v="2024-01-30T00:00:00"/>
    <n v="2"/>
    <n v="1"/>
    <s v="Africa"/>
    <s v="South Africa"/>
    <s v="Cape Town"/>
    <s v="Africa&gt;South Africa&gt;Cape Town"/>
    <s v="Consumer"/>
    <s v="Direct"/>
    <s v="F. Müller"/>
    <s v="Accessories"/>
    <s v="ACC-6223"/>
    <n v="798.45"/>
    <n v="1592.02"/>
    <n v="1592.02"/>
    <s v="Medium"/>
    <n v="6.6000000000000003E-2"/>
    <n v="6.6000000000000003E-2"/>
    <n v="18"/>
    <n v="26765.040239999998"/>
    <n v="14372.1"/>
    <n v="12392.940239999998"/>
    <n v="0.46302714768494585"/>
    <d v="2023-01-07T00:00:00"/>
    <n v="12"/>
  </r>
  <r>
    <s v="ORD-2024-281211"/>
    <x v="203"/>
    <x v="203"/>
    <s v="Q1 -2024"/>
    <d v="2024-02-02T00:00:00"/>
    <d v="2024-02-02T00:00:00"/>
    <n v="22"/>
    <n v="0"/>
    <s v="Asia"/>
    <s v="Japan"/>
    <s v="Nagoya"/>
    <s v="Asia&gt;Japan&gt;Nagoya"/>
    <s v="Small Business"/>
    <s v="Online"/>
    <s v="Unassigned"/>
    <s v="Printers"/>
    <s v="PRN-7816"/>
    <n v="1237.68"/>
    <n v="1432.8"/>
    <n v="1432.8"/>
    <s v="Medium"/>
    <n v="6.8000000000000005E-2"/>
    <n v="6.8000000000000005E-2"/>
    <n v="13"/>
    <n v="17359.804799999998"/>
    <n v="16089.84"/>
    <n v="1269.9647999999979"/>
    <n v="7.315547695559331E-2"/>
    <d v="2023-03-03T00:00:00"/>
    <n v="10"/>
  </r>
  <r>
    <s v="ORD-2024-286833"/>
    <x v="204"/>
    <x v="204"/>
    <s v="Q3 -2024"/>
    <d v="2024-09-04T00:00:00"/>
    <d v="2024-09-04T00:00:00"/>
    <n v="21"/>
    <n v="0"/>
    <s v="Europe"/>
    <s v="United Kingdom"/>
    <s v="Manchester"/>
    <s v="Europe&gt;United Kingdom&gt;Manchester"/>
    <s v="Non-Profit"/>
    <s v="Online"/>
    <s v="J. Njeri"/>
    <s v="Phones"/>
    <s v="PHN-2341"/>
    <n v="1138.8"/>
    <n v="2250.81"/>
    <n v="2250.81"/>
    <s v="High"/>
    <n v="0.123"/>
    <n v="0.123"/>
    <n v="12"/>
    <n v="23687.524440000001"/>
    <n v="13665.599999999999"/>
    <n v="10021.924440000003"/>
    <n v="0.42308872188756258"/>
    <d v="2023-01-19T00:00:00"/>
    <n v="18"/>
  </r>
  <r>
    <s v="ORD-2024-287210"/>
    <x v="205"/>
    <x v="205"/>
    <s v="Q1 -2024"/>
    <d v="2024-03-21T00:00:00"/>
    <d v="2024-03-21T00:00:00"/>
    <n v="3"/>
    <n v="1"/>
    <s v="Europe"/>
    <s v="Germany"/>
    <s v="Munich"/>
    <s v="Europe&gt;Germany&gt;Munich"/>
    <s v="Small Business"/>
    <s v="Online"/>
    <s v="M. Rossi"/>
    <s v="Accessories"/>
    <s v="ACC-2761"/>
    <n v="910.63"/>
    <n v="1269.4000000000001"/>
    <n v="1269.4000000000001"/>
    <s v="Medium"/>
    <n v="6.8000000000000005E-2"/>
    <n v="6.8000000000000005E-2"/>
    <n v="9"/>
    <n v="10647.727199999999"/>
    <n v="8195.67"/>
    <n v="2452.0571999999993"/>
    <n v="0.23028925834989455"/>
    <d v="2023-01-22T00:00:00"/>
    <n v="13"/>
  </r>
  <r>
    <s v="ORD-2024-289089"/>
    <x v="206"/>
    <x v="206"/>
    <s v="Q4 -2024"/>
    <d v="2024-12-18T00:00:00"/>
    <d v="2024-12-18T00:00:00"/>
    <n v="1"/>
    <n v="1"/>
    <s v="Europe"/>
    <s v="Germany"/>
    <s v="Munich"/>
    <s v="Europe&gt;Germany&gt;Munich"/>
    <s v="Education"/>
    <s v="Retail"/>
    <s v="L. Okafor"/>
    <s v="Accessories"/>
    <s v="ACC-5780"/>
    <n v="346.82"/>
    <n v="701.95"/>
    <n v="701.95"/>
    <s v="Low"/>
    <n v="0.14699999999999999"/>
    <n v="0.14699999999999999"/>
    <n v="8"/>
    <n v="4790.1068000000005"/>
    <n v="2774.56"/>
    <n v="2015.5468000000005"/>
    <n v="0.42077283120284509"/>
    <d v="2023-01-22T00:00:00"/>
    <n v="22"/>
  </r>
  <r>
    <s v="ORD-2024-296582"/>
    <x v="203"/>
    <x v="203"/>
    <s v="Q1 -2024"/>
    <d v="2024-02-02T00:00:00"/>
    <d v="2024-02-02T00:00:00"/>
    <n v="22"/>
    <n v="0"/>
    <s v="Africa"/>
    <s v="South Africa"/>
    <s v="Durban"/>
    <s v="Africa&gt;South Africa&gt;Durban"/>
    <s v="Consumer"/>
    <s v="Online"/>
    <s v="K. Singh"/>
    <s v="Networking"/>
    <s v="NET-1412"/>
    <n v="1206.2"/>
    <n v="1759.79"/>
    <n v="1759.79"/>
    <s v="High"/>
    <n v="0"/>
    <n v="0"/>
    <n v="6"/>
    <n v="10558.74"/>
    <n v="7237.2000000000007"/>
    <n v="3321.5399999999991"/>
    <n v="0.31457730751964713"/>
    <d v="2023-01-07T00:00:00"/>
    <n v="12"/>
  </r>
  <r>
    <s v="ORD-2024-301260"/>
    <x v="207"/>
    <x v="207"/>
    <s v="Q3 -2024"/>
    <d v="2024-07-31T00:00:00"/>
    <d v="2024-07-31T00:00:00"/>
    <n v="2"/>
    <n v="1"/>
    <s v="Americas"/>
    <s v="USA"/>
    <s v="New York"/>
    <s v="Americas&gt;USA&gt;New York"/>
    <s v="Education"/>
    <s v="Marketplace"/>
    <s v="I. Johnson"/>
    <s v="Printers"/>
    <s v="PRN-2829"/>
    <n v="798.97"/>
    <n v="1814.06"/>
    <n v="1814.06"/>
    <s v="High"/>
    <n v="0.122"/>
    <n v="0.122"/>
    <n v="16"/>
    <n v="25483.91488"/>
    <n v="12783.52"/>
    <n v="12700.39488"/>
    <n v="0.49836906691159061"/>
    <d v="2023-01-13T00:00:00"/>
    <n v="18"/>
  </r>
  <r>
    <s v="ORD-2024-307849"/>
    <x v="208"/>
    <x v="208"/>
    <s v="Q3 -2024"/>
    <d v="2024-09-07T00:00:00"/>
    <d v="2024-09-07T00:00:00"/>
    <n v="28"/>
    <n v="0"/>
    <s v="Europe"/>
    <s v="France"/>
    <s v="Marseille"/>
    <s v="Europe&gt;France&gt;Marseille"/>
    <s v="Non-Profit"/>
    <s v="Direct"/>
    <s v="F. Müller"/>
    <s v="Printers"/>
    <s v="PRN-1183"/>
    <n v="229.96"/>
    <n v="564.26"/>
    <n v="564.26"/>
    <s v="Low"/>
    <n v="0.105"/>
    <n v="0.105"/>
    <n v="5"/>
    <n v="2525.0635000000002"/>
    <n v="1149.8"/>
    <n v="1375.2635000000002"/>
    <n v="0.54464511486542821"/>
    <d v="2023-01-10T00:00:00"/>
    <n v="19"/>
  </r>
  <r>
    <s v="ORD-2024-310809"/>
    <x v="209"/>
    <x v="209"/>
    <s v="Q2 -2024"/>
    <d v="2024-04-09T00:00:00"/>
    <d v="2024-04-09T00:00:00"/>
    <n v="4"/>
    <n v="1"/>
    <s v="Africa"/>
    <s v="Nigeria"/>
    <s v="Lagos"/>
    <s v="Africa&gt;Nigeria&gt;Lagos"/>
    <s v="Non-Profit"/>
    <s v="Direct"/>
    <s v="K. Singh"/>
    <s v="Components"/>
    <s v="CMP-6529"/>
    <n v="395.07"/>
    <n v="970.27"/>
    <n v="970.27"/>
    <s v="Medium"/>
    <n v="0.123"/>
    <n v="0.123"/>
    <n v="38"/>
    <n v="32335.21802"/>
    <n v="15012.66"/>
    <n v="17322.55802"/>
    <n v="0.53571799049833657"/>
    <d v="2023-01-15T00:00:00"/>
    <n v="14"/>
  </r>
  <r>
    <s v="ORD-2024-320972"/>
    <x v="210"/>
    <x v="210"/>
    <s v="Q4 -2024"/>
    <d v="2024-11-08T00:00:00"/>
    <d v="2024-11-08T00:00:00"/>
    <n v="0"/>
    <n v="1"/>
    <s v="Africa"/>
    <s v="Kenya"/>
    <s v="Nakuru"/>
    <s v="Africa&gt;Kenya&gt;Nakuru"/>
    <s v="Enterprise"/>
    <s v="Marketplace"/>
    <s v="M. Rossi"/>
    <s v="Networking"/>
    <s v="NET-2628"/>
    <n v="803.28"/>
    <n v="1009"/>
    <n v="1009"/>
    <s v="Medium"/>
    <n v="0.11"/>
    <n v="0.11"/>
    <n v="4"/>
    <n v="3592.04"/>
    <n v="3213.12"/>
    <n v="378.92000000000007"/>
    <n v="0.10548880302001093"/>
    <d v="2023-01-20T00:00:00"/>
    <n v="21"/>
  </r>
  <r>
    <s v="ORD-2024-329104"/>
    <x v="211"/>
    <x v="211"/>
    <s v="Q2 -2024"/>
    <d v="2024-06-14T00:00:00"/>
    <d v="2024-06-14T00:00:00"/>
    <n v="22"/>
    <n v="0"/>
    <s v="Europe"/>
    <s v="France"/>
    <s v="Marseille"/>
    <s v="Europe&gt;France&gt;Marseille"/>
    <s v="Small Business"/>
    <s v="Online"/>
    <s v="N. Brown"/>
    <s v="Monitors"/>
    <s v="MON-2100"/>
    <n v="1481.74"/>
    <n v="1848.97"/>
    <n v="1848.97"/>
    <s v="High"/>
    <n v="0.254"/>
    <n v="0.254"/>
    <n v="9"/>
    <n v="12413.98458"/>
    <n v="13335.66"/>
    <n v="-921.67541999999958"/>
    <n v="-7.4244930309072407E-2"/>
    <d v="2023-01-10T00:00:00"/>
    <n v="16"/>
  </r>
  <r>
    <s v="ORD-2024-331226"/>
    <x v="212"/>
    <x v="212"/>
    <s v="Q4 -2024"/>
    <d v="2024-12-19T00:00:00"/>
    <d v="2024-12-19T00:00:00"/>
    <n v="19"/>
    <n v="0"/>
    <s v="Africa"/>
    <s v="Kenya"/>
    <s v="Kisumu"/>
    <s v="Africa&gt;Kenya&gt;Kisumu"/>
    <s v="Corporate"/>
    <s v="Online"/>
    <s v="L. Okafor"/>
    <s v="Phones"/>
    <s v="PHN-1919"/>
    <n v="1195.98"/>
    <n v="1841.9"/>
    <n v="1841.9"/>
    <s v="High"/>
    <n v="5.5E-2"/>
    <n v="5.5E-2"/>
    <n v="19"/>
    <n v="33071.3145"/>
    <n v="22723.62"/>
    <n v="10347.694500000001"/>
    <n v="0.31289032977506842"/>
    <d v="2023-01-20T00:00:00"/>
    <n v="22"/>
  </r>
  <r>
    <s v="ORD-2024-331408"/>
    <x v="213"/>
    <x v="213"/>
    <s v="Q1 -2024"/>
    <d v="2024-02-01T00:00:00"/>
    <d v="2024-02-01T00:00:00"/>
    <n v="0"/>
    <n v="1"/>
    <s v="Americas"/>
    <s v="USA"/>
    <s v="Austin"/>
    <s v="Americas&gt;USA&gt;Austin"/>
    <s v="Consumer"/>
    <s v="Distributor"/>
    <s v="H. Kim"/>
    <s v="Printers"/>
    <s v="PRN-4906"/>
    <n v="714.43"/>
    <n v="1595.52"/>
    <n v="1595.52"/>
    <s v="Medium"/>
    <n v="0.19400000000000001"/>
    <n v="0.19400000000000001"/>
    <n v="14"/>
    <n v="18003.847679999999"/>
    <n v="10002.019999999999"/>
    <n v="8001.8276800000003"/>
    <n v="0.44445097638151093"/>
    <d v="2023-01-13T00:00:00"/>
    <n v="12"/>
  </r>
  <r>
    <s v="ORD-2024-332076"/>
    <x v="214"/>
    <x v="214"/>
    <s v="Q2 -2024"/>
    <d v="2024-04-18T00:00:00"/>
    <d v="2024-04-18T00:00:00"/>
    <n v="9"/>
    <n v="0"/>
    <s v="Europe"/>
    <s v="France"/>
    <s v="Lyon"/>
    <s v="Europe&gt;France&gt;Lyon"/>
    <s v="Consumer"/>
    <s v="Online"/>
    <s v="E. Garcia"/>
    <s v="Printers"/>
    <s v="PRN-1086"/>
    <n v="1288.8499999999999"/>
    <n v="2751.84"/>
    <n v="2751.84"/>
    <s v="High"/>
    <n v="0.158"/>
    <n v="0.158"/>
    <n v="7"/>
    <n v="16219.34496"/>
    <n v="9021.9499999999989"/>
    <n v="7197.3949600000014"/>
    <n v="0.44375373837538756"/>
    <d v="2023-01-10T00:00:00"/>
    <n v="14"/>
  </r>
  <r>
    <s v="ORD-2024-333192"/>
    <x v="215"/>
    <x v="215"/>
    <s v="Q4 -2024"/>
    <d v="2024-11-04T00:00:00"/>
    <d v="2024-11-04T00:00:00"/>
    <n v="6"/>
    <n v="1"/>
    <s v="Africa"/>
    <s v="Kenya"/>
    <s v="Nairobi"/>
    <s v="Africa&gt;Kenya&gt;Nairobi"/>
    <s v="Corporate"/>
    <s v="Distributor"/>
    <s v="M. Rossi"/>
    <s v="Printers"/>
    <s v="PRN-4893"/>
    <n v="805.81"/>
    <n v="1823.04"/>
    <n v="1823.04"/>
    <s v="High"/>
    <n v="0"/>
    <n v="0"/>
    <n v="11"/>
    <n v="20053.439999999999"/>
    <n v="8863.91"/>
    <n v="11189.529999999999"/>
    <n v="0.55798556257679477"/>
    <d v="2023-01-20T00:00:00"/>
    <n v="21"/>
  </r>
  <r>
    <s v="ORD-2024-336584"/>
    <x v="175"/>
    <x v="175"/>
    <s v="Q4 -2024"/>
    <d v="2025-01-14T00:00:00"/>
    <d v="2025-01-14T00:00:00"/>
    <n v="18"/>
    <n v="0"/>
    <s v="Asia"/>
    <s v="India"/>
    <s v="Bengaluru"/>
    <s v="Asia&gt;India&gt;Bengaluru"/>
    <s v="Small Business"/>
    <s v="Marketplace"/>
    <s v="E. Garcia"/>
    <s v="Monitors"/>
    <s v="MON-8629"/>
    <n v="586.07000000000005"/>
    <n v="845.97"/>
    <n v="845.97"/>
    <s v="Medium"/>
    <n v="0.14699999999999999"/>
    <n v="0.14699999999999999"/>
    <n v="4"/>
    <n v="2886.4496399999998"/>
    <n v="2344.2800000000002"/>
    <n v="542.16963999999962"/>
    <n v="0.18783270370862928"/>
    <d v="2023-01-29T00:00:00"/>
    <n v="22"/>
  </r>
  <r>
    <s v="ORD-2024-341535"/>
    <x v="216"/>
    <x v="216"/>
    <s v="Q2 -2024"/>
    <d v="2024-06-30T00:00:00"/>
    <d v="2024-06-30T00:00:00"/>
    <n v="5"/>
    <n v="1"/>
    <s v="Africa"/>
    <s v="Kenya"/>
    <s v="Kisumu"/>
    <s v="Africa&gt;Kenya&gt;Kisumu"/>
    <s v="Education"/>
    <s v="Direct"/>
    <s v="M. Rossi"/>
    <s v="Networking"/>
    <s v="NET-5987"/>
    <n v="1323.55"/>
    <n v="3230.35"/>
    <n v="3230.35"/>
    <s v="High"/>
    <n v="2.1999999999999999E-2"/>
    <n v="2.1999999999999999E-2"/>
    <n v="26"/>
    <n v="82141.339799999987"/>
    <n v="34412.299999999996"/>
    <n v="47729.039799999991"/>
    <n v="0.58105991351263542"/>
    <d v="2023-01-20T00:00:00"/>
    <n v="17"/>
  </r>
  <r>
    <s v="ORD-2024-343877"/>
    <x v="199"/>
    <x v="199"/>
    <s v="Q1 -2024"/>
    <d v="2024-03-26T00:00:00"/>
    <d v="2024-03-26T00:00:00"/>
    <n v="17"/>
    <n v="0"/>
    <s v="Asia"/>
    <s v="China"/>
    <s v="Shenzhen"/>
    <s v="Asia&gt;China&gt;Shenzhen"/>
    <s v="Enterprise"/>
    <s v="Online"/>
    <s v="K. Singh"/>
    <s v="Monitors"/>
    <s v="MON-5749"/>
    <n v="1029.67"/>
    <n v="1118.43"/>
    <n v="1118.43"/>
    <s v="Medium"/>
    <n v="0.27200000000000002"/>
    <n v="0.27200000000000002"/>
    <n v="9"/>
    <n v="7327.9533600000004"/>
    <n v="9267.0300000000007"/>
    <n v="-1939.0766400000002"/>
    <n v="-0.26461367106736061"/>
    <d v="2023-01-12T00:00:00"/>
    <n v="13"/>
  </r>
  <r>
    <s v="ORD-2024-347736"/>
    <x v="217"/>
    <x v="217"/>
    <s v="Q2 -2024"/>
    <d v="2024-06-06T00:00:00"/>
    <d v="2024-06-06T00:00:00"/>
    <n v="15"/>
    <n v="0"/>
    <s v="Asia"/>
    <s v="Japan"/>
    <s v="Nagoya"/>
    <s v="Asia&gt;Japan&gt;Nagoya"/>
    <s v="Corporate"/>
    <s v="Distributor"/>
    <s v="C. Otieno"/>
    <s v="Monitors"/>
    <s v="MON-6870"/>
    <n v="673.88"/>
    <n v="1228.01"/>
    <n v="1228.01"/>
    <s v="Medium"/>
    <n v="0.105"/>
    <n v="0.105"/>
    <n v="13"/>
    <n v="14287.896349999999"/>
    <n v="8760.44"/>
    <n v="5527.4563499999986"/>
    <n v="0.38686285332689996"/>
    <d v="2023-03-03T00:00:00"/>
    <n v="14"/>
  </r>
  <r>
    <s v="ORD-2024-350100"/>
    <x v="218"/>
    <x v="218"/>
    <s v="Q4 -2024"/>
    <d v="2024-11-20T00:00:00"/>
    <d v="2024-11-20T00:00:00"/>
    <n v="24"/>
    <n v="0"/>
    <s v="Asia"/>
    <s v="Japan"/>
    <s v="Nagoya"/>
    <s v="Asia&gt;Japan&gt;Nagoya"/>
    <s v="Non-Profit"/>
    <s v="Online"/>
    <s v="H. Kim"/>
    <s v="Monitors"/>
    <s v="MON-8939"/>
    <n v="317.25"/>
    <n v="758.92"/>
    <n v="758.92"/>
    <s v="Low"/>
    <n v="5.2999999999999999E-2"/>
    <n v="5.2999999999999999E-2"/>
    <n v="9"/>
    <n v="6468.2751599999992"/>
    <n v="2855.25"/>
    <n v="3613.0251599999992"/>
    <n v="0.5585762928489888"/>
    <d v="2023-03-03T00:00:00"/>
    <n v="19"/>
  </r>
  <r>
    <s v="ORD-2024-353078"/>
    <x v="219"/>
    <x v="219"/>
    <s v="Q3 -2024"/>
    <d v="2024-08-26T00:00:00"/>
    <d v="2024-08-26T00:00:00"/>
    <n v="10"/>
    <n v="0"/>
    <s v="Americas"/>
    <s v="USA"/>
    <s v="Chicago"/>
    <s v="Americas&gt;USA&gt;Chicago"/>
    <s v="Corporate"/>
    <s v="Distributor"/>
    <s v="L. Okafor"/>
    <s v="Laptops"/>
    <s v="LAP-5763"/>
    <n v="1291.7"/>
    <n v="2657.84"/>
    <n v="2657.84"/>
    <s v="High"/>
    <n v="8.6999999999999994E-2"/>
    <n v="8.6999999999999994E-2"/>
    <n v="21"/>
    <n v="50958.766320000002"/>
    <n v="27125.7"/>
    <n v="23833.066320000002"/>
    <n v="0.46769315745083367"/>
    <d v="2023-01-13T00:00:00"/>
    <n v="19"/>
  </r>
  <r>
    <s v="ORD-2024-355095"/>
    <x v="163"/>
    <x v="163"/>
    <s v="Q1 -2024"/>
    <d v="2024-01-02T00:00:00"/>
    <d v="2024-01-02T00:00:00"/>
    <n v="0"/>
    <n v="1"/>
    <s v="Americas"/>
    <s v="Canada"/>
    <s v="Vancouver"/>
    <s v="Americas&gt;Canada&gt;Vancouver"/>
    <s v="Education"/>
    <s v="Direct"/>
    <s v="A. Patel"/>
    <s v="Laptops"/>
    <s v="LAP-3581"/>
    <n v="444.41"/>
    <n v="754.24"/>
    <n v="754.24"/>
    <s v="Low"/>
    <n v="0.20699999999999999"/>
    <n v="0.20699999999999999"/>
    <n v="32"/>
    <n v="19139.594240000002"/>
    <n v="14221.12"/>
    <n v="4918.4742400000014"/>
    <n v="0.25697902360546598"/>
    <d v="2023-01-02T00:00:00"/>
    <n v="12"/>
  </r>
  <r>
    <s v="ORD-2024-356812"/>
    <x v="220"/>
    <x v="220"/>
    <s v="Q1 -2024"/>
    <d v="2024-04-03T00:00:00"/>
    <d v="2024-04-03T00:00:00"/>
    <n v="27"/>
    <n v="0"/>
    <s v="Europe"/>
    <s v="Germany"/>
    <s v="Frankfurt"/>
    <s v="Europe&gt;Germany&gt;Frankfurt"/>
    <s v="Corporate"/>
    <s v="Direct"/>
    <s v="M. Rossi"/>
    <s v="Printers"/>
    <s v="PRN-6911"/>
    <n v="738.16"/>
    <n v="956.49"/>
    <n v="956.49"/>
    <s v="Medium"/>
    <n v="0.152"/>
    <n v="0.152"/>
    <n v="5"/>
    <n v="4055.5175999999997"/>
    <n v="3690.7999999999997"/>
    <n v="364.71759999999995"/>
    <n v="8.9931208780847108E-2"/>
    <d v="2023-01-22T00:00:00"/>
    <n v="13"/>
  </r>
  <r>
    <s v="ORD-2024-357368"/>
    <x v="221"/>
    <x v="221"/>
    <s v="Q4 -2024"/>
    <d v="2024-11-24T00:00:00"/>
    <d v="2024-11-24T00:00:00"/>
    <n v="25"/>
    <n v="0"/>
    <s v="Asia"/>
    <s v="China"/>
    <s v="Shenzhen"/>
    <s v="Asia&gt;China&gt;Shenzhen"/>
    <s v="Small Business"/>
    <s v="Online"/>
    <s v="E. Garcia"/>
    <s v="Components"/>
    <s v="CMP-4610"/>
    <n v="811.05"/>
    <n v="1217.71"/>
    <n v="1217.71"/>
    <s v="Medium"/>
    <n v="7.1999999999999995E-2"/>
    <n v="7.1999999999999995E-2"/>
    <n v="5"/>
    <n v="5650.1744000000008"/>
    <n v="4055.25"/>
    <n v="1594.9244000000008"/>
    <n v="0.28227879125288602"/>
    <d v="2023-01-12T00:00:00"/>
    <n v="21"/>
  </r>
  <r>
    <s v="ORD-2024-358795"/>
    <x v="222"/>
    <x v="222"/>
    <s v="Q4 -2024"/>
    <d v="2024-10-22T00:00:00"/>
    <d v="2024-10-29T00:00:00"/>
    <n v="6"/>
    <n v="1"/>
    <s v="Africa"/>
    <s v="Nigeria"/>
    <s v="Port Harcourt"/>
    <s v="Africa&gt;Nigeria&gt;Port Harcourt"/>
    <s v="Education"/>
    <s v="Online"/>
    <s v="J. Njeri"/>
    <s v="Printers"/>
    <s v="PRN-9322"/>
    <n v="1084.3900000000001"/>
    <n v="759.33"/>
    <n v="759.33"/>
    <s v="Low"/>
    <n v="0.23699999999999999"/>
    <n v="0.23699999999999999"/>
    <n v="31"/>
    <n v="17960.432489999999"/>
    <n v="33616.090000000004"/>
    <n v="-15655.657510000005"/>
    <n v="-0.87167486187856302"/>
    <d v="2023-01-15T00:00:00"/>
    <n v="21"/>
  </r>
  <r>
    <s v="ORD-2024-364080"/>
    <x v="223"/>
    <x v="223"/>
    <s v="Q2 -2024"/>
    <d v="2024-04-27T00:00:00"/>
    <d v="2024-04-27T00:00:00"/>
    <n v="11"/>
    <n v="0"/>
    <s v="Africa"/>
    <s v="Kenya"/>
    <s v="Nakuru"/>
    <s v="Africa&gt;Kenya&gt;Nakuru"/>
    <s v="Enterprise"/>
    <s v="Online"/>
    <s v="D. Smith"/>
    <s v="Printers"/>
    <s v="PRN-2641"/>
    <n v="401.3"/>
    <n v="826.47"/>
    <n v="826.47"/>
    <s v="Low"/>
    <n v="0.22500000000000001"/>
    <n v="0.22500000000000001"/>
    <n v="13"/>
    <n v="8326.6852500000005"/>
    <n v="5216.9000000000005"/>
    <n v="3109.7852499999999"/>
    <n v="0.37347217489696755"/>
    <d v="2023-01-20T00:00:00"/>
    <n v="14"/>
  </r>
  <r>
    <s v="ORD-2024-366010"/>
    <x v="181"/>
    <x v="181"/>
    <s v="Q1 -2024"/>
    <d v="2024-02-05T00:00:00"/>
    <d v="2024-02-05T00:00:00"/>
    <n v="23"/>
    <n v="0"/>
    <s v="Europe"/>
    <s v="Germany"/>
    <s v="Frankfurt"/>
    <s v="Europe&gt;Germany&gt;Frankfurt"/>
    <s v="Education"/>
    <s v="Direct"/>
    <s v="B. Chen"/>
    <s v="Laptops"/>
    <s v="LAP-9931"/>
    <n v="1017.93"/>
    <n v="1529.14"/>
    <n v="1529.14"/>
    <s v="Medium"/>
    <n v="0.155"/>
    <n v="0.155"/>
    <n v="12"/>
    <n v="15505.479600000001"/>
    <n v="12215.16"/>
    <n v="3290.3196000000007"/>
    <n v="0.21220366508366503"/>
    <d v="2023-01-22T00:00:00"/>
    <n v="11"/>
  </r>
  <r>
    <s v="ORD-2024-371409"/>
    <x v="224"/>
    <x v="224"/>
    <s v="Q4 -2024"/>
    <d v="2024-11-28T00:00:00"/>
    <d v="2024-11-28T00:00:00"/>
    <n v="11"/>
    <n v="0"/>
    <s v="Americas"/>
    <s v="Canada"/>
    <s v="Unknown"/>
    <s v="Americas&gt;Canada&gt;Unknown"/>
    <s v="Consumer"/>
    <s v="Distributor"/>
    <s v="A. Patel"/>
    <s v="Printers"/>
    <s v="PRN-1371"/>
    <n v="1008.16"/>
    <n v="2077.5"/>
    <n v="2077.5"/>
    <s v="High"/>
    <n v="7.3999999999999996E-2"/>
    <n v="7.3999999999999996E-2"/>
    <n v="15"/>
    <n v="28856.475000000002"/>
    <n v="15122.4"/>
    <n v="13734.075000000003"/>
    <n v="0.47594430712691005"/>
    <d v="2023-01-02T00:00:00"/>
    <n v="22"/>
  </r>
  <r>
    <s v="ORD-2024-375848"/>
    <x v="225"/>
    <x v="225"/>
    <s v="Q2 -2024"/>
    <d v="2024-05-21T00:00:00"/>
    <d v="2024-05-21T00:00:00"/>
    <n v="3"/>
    <n v="1"/>
    <s v="Europe"/>
    <s v="France"/>
    <s v="Marseille"/>
    <s v="Europe&gt;France&gt;Marseille"/>
    <s v="Non-Profit"/>
    <s v="Marketplace"/>
    <s v="D. Smith"/>
    <s v="Printers"/>
    <s v="PRN-1725"/>
    <n v="663.66"/>
    <n v="824.26"/>
    <n v="824.26"/>
    <s v="Low"/>
    <n v="0.23899999999999999"/>
    <n v="0.23899999999999999"/>
    <n v="11"/>
    <n v="6899.8804600000003"/>
    <n v="7300.2599999999993"/>
    <n v="-400.379539999999"/>
    <n v="-5.8027025587048933E-2"/>
    <d v="2023-01-10T00:00:00"/>
    <n v="16"/>
  </r>
  <r>
    <s v="ORD-2024-381197"/>
    <x v="226"/>
    <x v="226"/>
    <s v="Q4 -2024"/>
    <d v="2024-11-12T00:00:00"/>
    <d v="2024-11-12T00:00:00"/>
    <n v="11"/>
    <n v="0"/>
    <s v="Europe"/>
    <s v="Germany"/>
    <s v="Frankfurt"/>
    <s v="Europe&gt;Germany&gt;Frankfurt"/>
    <s v="Consumer"/>
    <s v="Online"/>
    <s v="B. Chen"/>
    <s v="Printers"/>
    <s v="PRN-2409"/>
    <n v="599.84"/>
    <n v="1330.85"/>
    <n v="1330.85"/>
    <s v="Medium"/>
    <n v="0.115"/>
    <n v="0.115"/>
    <n v="11"/>
    <n v="12955.824749999998"/>
    <n v="6598.2400000000007"/>
    <n v="6357.5847499999973"/>
    <n v="0.49071246892252063"/>
    <d v="2023-01-22T00:00:00"/>
    <n v="21"/>
  </r>
  <r>
    <s v="ORD-2024-382152"/>
    <x v="227"/>
    <x v="227"/>
    <s v="Q4 -2024"/>
    <d v="2024-12-08T00:00:00"/>
    <d v="2024-12-08T00:00:00"/>
    <n v="0"/>
    <n v="1"/>
    <s v="Europe"/>
    <s v="France"/>
    <s v="Lyon"/>
    <s v="Europe&gt;France&gt;Lyon"/>
    <s v="Enterprise"/>
    <s v="Retail"/>
    <s v="H. Kim"/>
    <s v="Components"/>
    <s v="CMP-2335"/>
    <n v="257.44"/>
    <n v="290.33"/>
    <n v="290.33"/>
    <s v="Low"/>
    <n v="9.1999999999999998E-2"/>
    <n v="9.1999999999999998E-2"/>
    <n v="23"/>
    <n v="6063.2517199999993"/>
    <n v="5921.12"/>
    <n v="142.1317199999994"/>
    <n v="2.3441500792581216E-2"/>
    <d v="2023-01-10T00:00:00"/>
    <n v="22"/>
  </r>
  <r>
    <s v="ORD-2024-389102"/>
    <x v="228"/>
    <x v="228"/>
    <s v="Q2 -2024"/>
    <d v="2024-07-06T00:00:00"/>
    <d v="2024-07-06T00:00:00"/>
    <n v="21"/>
    <n v="0"/>
    <s v="Americas"/>
    <s v="Canada"/>
    <s v="Toronto"/>
    <s v="Americas&gt;Canada&gt;Toronto"/>
    <s v="Enterprise"/>
    <s v="Distributor"/>
    <s v="L. Okafor"/>
    <s v="Printers"/>
    <s v="PRN-4453"/>
    <n v="817.23"/>
    <n v="1467.17"/>
    <n v="1467.17"/>
    <s v="Medium"/>
    <n v="0.245"/>
    <n v="0.245"/>
    <n v="9"/>
    <n v="9969.4201499999999"/>
    <n v="7355.07"/>
    <n v="2614.3501500000002"/>
    <n v="0.26223693160328893"/>
    <d v="2023-01-02T00:00:00"/>
    <n v="17"/>
  </r>
  <r>
    <s v="ORD-2024-389336"/>
    <x v="229"/>
    <x v="229"/>
    <s v="Q2 -2024"/>
    <d v="2024-06-02T00:00:00"/>
    <d v="2024-06-02T00:00:00"/>
    <n v="13"/>
    <n v="0"/>
    <s v="Americas"/>
    <s v="Canada"/>
    <s v="Vancouver"/>
    <s v="Americas&gt;Canada&gt;Vancouver"/>
    <s v="Enterprise"/>
    <s v="Marketplace"/>
    <s v="K. Singh"/>
    <s v="Components"/>
    <s v="CMP-5946"/>
    <n v="675.43"/>
    <n v="996.36"/>
    <n v="996.36"/>
    <s v="Medium"/>
    <n v="0.182"/>
    <n v="0.182"/>
    <n v="22"/>
    <n v="17930.494560000003"/>
    <n v="14859.46"/>
    <n v="3071.0345600000037"/>
    <n v="0.17127439233332575"/>
    <d v="2023-01-02T00:00:00"/>
    <n v="16"/>
  </r>
  <r>
    <s v="ORD-2024-390951"/>
    <x v="230"/>
    <x v="230"/>
    <s v="Q4 -2024"/>
    <d v="2025-01-14T00:00:00"/>
    <d v="2025-01-14T00:00:00"/>
    <n v="25"/>
    <n v="0"/>
    <s v="Asia"/>
    <s v="India"/>
    <s v="Delhi"/>
    <s v="Asia&gt;India&gt;Delhi"/>
    <s v="Small Business"/>
    <s v="Retail"/>
    <s v="M. Rossi"/>
    <s v="Printers"/>
    <s v="PRN-9378"/>
    <n v="1361.34"/>
    <n v="1737.9"/>
    <n v="1737.9"/>
    <s v="High"/>
    <n v="7.6999999999999999E-2"/>
    <n v="7.6999999999999999E-2"/>
    <n v="14"/>
    <n v="22457.143800000002"/>
    <n v="19058.759999999998"/>
    <n v="3398.3838000000032"/>
    <n v="0.15132751654731813"/>
    <d v="2023-01-29T00:00:00"/>
    <n v="22"/>
  </r>
  <r>
    <s v="ORD-2024-398783"/>
    <x v="231"/>
    <x v="231"/>
    <s v="Q3 -2024"/>
    <d v="2024-08-07T00:00:00"/>
    <d v="2024-08-07T00:00:00"/>
    <n v="20"/>
    <n v="0"/>
    <s v="Europe"/>
    <s v="France"/>
    <s v="Marseille"/>
    <s v="Europe&gt;France&gt;Marseille"/>
    <s v="Corporate"/>
    <s v="Retail"/>
    <s v="F. Müller"/>
    <s v="Monitors"/>
    <s v="MON-7622"/>
    <n v="941.35"/>
    <n v="899.83"/>
    <n v="899.83"/>
    <s v="Medium"/>
    <n v="5.8000000000000003E-2"/>
    <n v="5.8000000000000003E-2"/>
    <n v="18"/>
    <n v="15257.51748"/>
    <n v="16944.3"/>
    <n v="-1686.7825199999988"/>
    <n v="-0.11055419220139073"/>
    <d v="2023-01-10T00:00:00"/>
    <n v="18"/>
  </r>
  <r>
    <s v="ORD-2024-402240"/>
    <x v="232"/>
    <x v="232"/>
    <s v="Q2 -2024"/>
    <d v="2024-05-26T00:00:00"/>
    <d v="2024-05-26T00:00:00"/>
    <n v="25"/>
    <n v="0"/>
    <s v="Europe"/>
    <s v="Germany"/>
    <s v="Berlin"/>
    <s v="Europe&gt;Germany&gt;Berlin"/>
    <s v="Non-Profit"/>
    <s v="Retail"/>
    <s v="B. Chen"/>
    <s v="Networking"/>
    <s v="NET-4228"/>
    <n v="930.71"/>
    <n v="1625.42"/>
    <n v="1625.42"/>
    <s v="Medium"/>
    <n v="0.13800000000000001"/>
    <n v="0.13800000000000001"/>
    <n v="7"/>
    <n v="9807.7842799999999"/>
    <n v="6514.97"/>
    <n v="3292.8142799999996"/>
    <n v="0.33573477821231196"/>
    <d v="2023-01-22T00:00:00"/>
    <n v="15"/>
  </r>
  <r>
    <s v="ORD-2024-403664"/>
    <x v="211"/>
    <x v="211"/>
    <s v="Q2 -2024"/>
    <d v="2024-06-06T00:00:00"/>
    <d v="2024-06-06T00:00:00"/>
    <n v="14"/>
    <n v="0"/>
    <s v="Americas"/>
    <s v="Brazil"/>
    <s v="Rio de Janeiro"/>
    <s v="Americas&gt;Brazil&gt;Rio de Janeiro"/>
    <s v="Non-Profit"/>
    <s v="Online"/>
    <s v="I. Johnson"/>
    <s v="Networking"/>
    <s v="NET-1166"/>
    <n v="51.13"/>
    <n v="57.53"/>
    <n v="57.53"/>
    <s v="Low"/>
    <n v="4.4999999999999998E-2"/>
    <n v="4.4999999999999998E-2"/>
    <n v="16"/>
    <n v="879.05840000000001"/>
    <n v="818.08"/>
    <n v="60.978399999999965"/>
    <n v="6.9367859973808302E-2"/>
    <d v="2023-01-29T00:00:00"/>
    <n v="15"/>
  </r>
  <r>
    <s v="ORD-2024-419248"/>
    <x v="233"/>
    <x v="233"/>
    <s v="Q1 -2024"/>
    <d v="2024-03-16T00:00:00"/>
    <d v="2024-03-16T00:00:00"/>
    <n v="12"/>
    <n v="0"/>
    <s v="Africa"/>
    <s v="South Africa"/>
    <s v="Johannesburg"/>
    <s v="Africa&gt;South Africa&gt;Johannesburg"/>
    <s v="Enterprise"/>
    <s v="Distributor"/>
    <s v="M. Rossi"/>
    <s v="Monitors"/>
    <s v="MON-8422"/>
    <n v="441.08"/>
    <n v="1054.29"/>
    <n v="1054.29"/>
    <s v="Medium"/>
    <n v="0.23699999999999999"/>
    <n v="0.23699999999999999"/>
    <n v="6"/>
    <n v="4826.5396199999996"/>
    <n v="2646.48"/>
    <n v="2180.0596199999995"/>
    <n v="0.45168169985932899"/>
    <d v="2023-01-07T00:00:00"/>
    <n v="13"/>
  </r>
  <r>
    <s v="ORD-2024-423853"/>
    <x v="184"/>
    <x v="184"/>
    <s v="Q3 -2024"/>
    <d v="2024-09-08T00:00:00"/>
    <d v="2024-09-08T00:00:00"/>
    <n v="5"/>
    <n v="1"/>
    <s v="Africa"/>
    <s v="Nigeria"/>
    <s v="Lagos"/>
    <s v="Africa&gt;Nigeria&gt;Lagos"/>
    <s v="Small Business"/>
    <s v="Direct"/>
    <s v="K. Singh"/>
    <s v="Printers"/>
    <s v="PRN-1141"/>
    <n v="197.63"/>
    <n v="325.79000000000002"/>
    <n v="325.79000000000002"/>
    <s v="Low"/>
    <n v="0.11600000000000001"/>
    <n v="0.11600000000000001"/>
    <n v="10"/>
    <n v="2879.9836"/>
    <n v="1976.3"/>
    <n v="903.68360000000007"/>
    <n v="0.31378081458519419"/>
    <d v="2023-01-15T00:00:00"/>
    <n v="19"/>
  </r>
  <r>
    <s v="ORD-2024-427031"/>
    <x v="234"/>
    <x v="234"/>
    <s v="Q2 -2024"/>
    <d v="2024-06-24T00:00:00"/>
    <d v="2024-06-24T00:00:00"/>
    <n v="16"/>
    <n v="0"/>
    <s v="Africa"/>
    <s v="South Africa"/>
    <s v="Durban"/>
    <s v="Africa&gt;South Africa&gt;Durban"/>
    <s v="Education"/>
    <s v="Distributor"/>
    <s v="H. Kim"/>
    <s v="Monitors"/>
    <s v="MON-1389"/>
    <n v="597.85"/>
    <n v="741.92"/>
    <n v="741.92"/>
    <s v="Low"/>
    <n v="3.1E-2"/>
    <n v="3.1E-2"/>
    <n v="7"/>
    <n v="5032.4433599999993"/>
    <n v="4184.95"/>
    <n v="847.49335999999948"/>
    <n v="0.16840594108544515"/>
    <d v="2023-01-07T00:00:00"/>
    <n v="17"/>
  </r>
  <r>
    <s v="ORD-2024-433936"/>
    <x v="235"/>
    <x v="235"/>
    <s v="Q3 -2024"/>
    <d v="2024-08-17T00:00:00"/>
    <d v="2024-08-17T00:00:00"/>
    <n v="13"/>
    <n v="0"/>
    <s v="Americas"/>
    <s v="USA"/>
    <s v="Austin"/>
    <s v="Americas&gt;USA&gt;Austin"/>
    <s v="Consumer"/>
    <s v="Retail"/>
    <s v="D. Smith"/>
    <s v="Monitors"/>
    <s v="MON-8867"/>
    <n v="352.79"/>
    <n v="754.22"/>
    <n v="754.22"/>
    <s v="Low"/>
    <n v="0.113"/>
    <n v="0.113"/>
    <n v="7"/>
    <n v="4682.9519799999998"/>
    <n v="2469.5300000000002"/>
    <n v="2213.4219799999996"/>
    <n v="0.47265528014233443"/>
    <d v="2023-01-13T00:00:00"/>
    <n v="18"/>
  </r>
  <r>
    <s v="ORD-2024-437164"/>
    <x v="236"/>
    <x v="236"/>
    <s v="Q1 -2024"/>
    <d v="2024-02-20T00:00:00"/>
    <d v="2024-02-20T00:00:00"/>
    <n v="0"/>
    <n v="1"/>
    <s v="Americas"/>
    <s v="USA"/>
    <s v="New York"/>
    <s v="Americas&gt;USA&gt;New York"/>
    <s v="Enterprise"/>
    <s v="Online"/>
    <s v="C. Otieno"/>
    <s v="Networking"/>
    <s v="NET-9177"/>
    <n v="1407.05"/>
    <n v="2858.93"/>
    <n v="2858.93"/>
    <s v="High"/>
    <n v="0"/>
    <n v="0"/>
    <n v="12"/>
    <n v="34307.159999999996"/>
    <n v="16884.599999999999"/>
    <n v="17422.559999999998"/>
    <n v="0.50784034586366222"/>
    <d v="2023-01-13T00:00:00"/>
    <n v="13"/>
  </r>
  <r>
    <s v="ORD-2024-438404"/>
    <x v="237"/>
    <x v="237"/>
    <s v="Q3 -2024"/>
    <d v="2024-10-18T00:00:00"/>
    <d v="2024-10-18T00:00:00"/>
    <n v="25"/>
    <n v="0"/>
    <s v="Americas"/>
    <s v="Canada"/>
    <s v="Vancouver"/>
    <s v="Americas&gt;Canada&gt;Vancouver"/>
    <s v="Small Business"/>
    <s v="Online"/>
    <s v="N. Brown"/>
    <s v="Phones"/>
    <s v="PHN-4568"/>
    <n v="1297"/>
    <n v="2411.52"/>
    <n v="2411.52"/>
    <s v="High"/>
    <n v="2.1000000000000001E-2"/>
    <n v="2.1000000000000001E-2"/>
    <n v="18"/>
    <n v="42495.805439999996"/>
    <n v="23346"/>
    <n v="19149.805439999996"/>
    <n v="0.45062813239385913"/>
    <d v="2023-01-02T00:00:00"/>
    <n v="20"/>
  </r>
  <r>
    <s v="ORD-2024-442776"/>
    <x v="188"/>
    <x v="188"/>
    <s v="Q2 -2024"/>
    <d v="2024-07-21T00:00:00"/>
    <d v="2024-07-21T00:00:00"/>
    <n v="21"/>
    <n v="0"/>
    <s v="Africa"/>
    <s v="Kenya"/>
    <s v="Kisumu"/>
    <s v="Africa&gt;Kenya&gt;Kisumu"/>
    <s v="Small Business"/>
    <s v="Retail"/>
    <s v="K. Singh"/>
    <s v="Laptops"/>
    <s v="LAP-6577"/>
    <n v="753.43"/>
    <n v="1787.2"/>
    <n v="1787.2"/>
    <s v="High"/>
    <n v="7.2999999999999995E-2"/>
    <n v="7.2999999999999995E-2"/>
    <n v="9"/>
    <n v="14910.609600000002"/>
    <n v="6780.87"/>
    <n v="8129.7396000000017"/>
    <n v="0.54523187301476939"/>
    <d v="2023-01-20T00:00:00"/>
    <n v="17"/>
  </r>
  <r>
    <s v="ORD-2024-444710"/>
    <x v="238"/>
    <x v="238"/>
    <s v="Q3 -2024"/>
    <d v="2024-10-01T00:00:00"/>
    <d v="2024-10-01T00:00:00"/>
    <n v="9"/>
    <n v="0"/>
    <s v="Americas"/>
    <s v="Brazil"/>
    <s v="São Paulo"/>
    <s v="Americas&gt;Brazil&gt;São Paulo"/>
    <s v="Non-Profit"/>
    <s v="Online"/>
    <s v="K. Singh"/>
    <s v="Monitors"/>
    <s v="MON-6341"/>
    <n v="1378.8"/>
    <n v="1952.04"/>
    <n v="1952.04"/>
    <s v="High"/>
    <n v="0.159"/>
    <n v="0.159"/>
    <n v="19"/>
    <n v="31191.64716"/>
    <n v="26197.200000000001"/>
    <n v="4994.4471599999997"/>
    <n v="0.16012130216723058"/>
    <d v="2023-01-29T00:00:00"/>
    <n v="19"/>
  </r>
  <r>
    <s v="ORD-2024-446030"/>
    <x v="239"/>
    <x v="239"/>
    <s v="Q1 -2024"/>
    <d v="2024-03-26T00:00:00"/>
    <d v="2024-03-26T00:00:00"/>
    <n v="3"/>
    <n v="1"/>
    <s v="Asia"/>
    <s v="India"/>
    <s v="Bengaluru"/>
    <s v="Asia&gt;India&gt;Bengaluru"/>
    <s v="Education"/>
    <s v="Direct"/>
    <s v="G. Dubois"/>
    <s v="Phones"/>
    <s v="PHN-4346"/>
    <n v="382.21"/>
    <n v="571.89"/>
    <n v="571.89"/>
    <s v="Low"/>
    <n v="0.14799999999999999"/>
    <n v="0.14799999999999999"/>
    <n v="26"/>
    <n v="12668.50728"/>
    <n v="9937.4599999999991"/>
    <n v="2731.0472800000007"/>
    <n v="0.2155776698578809"/>
    <d v="2023-01-29T00:00:00"/>
    <n v="13"/>
  </r>
  <r>
    <s v="ORD-2024-446699"/>
    <x v="240"/>
    <x v="240"/>
    <s v="Q3 -2024"/>
    <d v="2024-09-25T00:00:00"/>
    <d v="2024-09-25T00:00:00"/>
    <n v="28"/>
    <n v="0"/>
    <s v="Americas"/>
    <s v="Brazil"/>
    <s v="Rio de Janeiro"/>
    <s v="Americas&gt;Brazil&gt;Rio de Janeiro"/>
    <s v="Non-Profit"/>
    <s v="Online"/>
    <s v="Unassigned"/>
    <s v="Accessories"/>
    <s v="ACC-4490"/>
    <n v="1394.65"/>
    <n v="3144.1"/>
    <n v="3144.1"/>
    <s v="High"/>
    <n v="0.13400000000000001"/>
    <n v="0.13400000000000001"/>
    <n v="13"/>
    <n v="35396.277799999996"/>
    <n v="18130.45"/>
    <n v="17265.827799999995"/>
    <n v="0.4877865378263021"/>
    <d v="2023-01-29T00:00:00"/>
    <n v="18"/>
  </r>
  <r>
    <s v="ORD-2024-451005"/>
    <x v="188"/>
    <x v="188"/>
    <s v="Q2 -2024"/>
    <d v="2024-06-28T00:00:00"/>
    <d v="2024-07-05T00:00:00"/>
    <n v="5"/>
    <n v="1"/>
    <s v="Americas"/>
    <s v="Brazil"/>
    <s v="Rio de Janeiro"/>
    <s v="Americas&gt;Brazil&gt;Rio de Janeiro"/>
    <s v="Small Business"/>
    <s v="Direct"/>
    <s v="L. Okafor"/>
    <s v="Accessories"/>
    <s v="ACC-9162"/>
    <n v="1112.98"/>
    <n v="2095.73"/>
    <n v="2095.73"/>
    <s v="High"/>
    <n v="7.1999999999999995E-2"/>
    <n v="7.1999999999999995E-2"/>
    <n v="17"/>
    <n v="33062.236480000007"/>
    <n v="18920.66"/>
    <n v="14141.576480000007"/>
    <n v="0.42772594916724777"/>
    <d v="2023-01-29T00:00:00"/>
    <n v="17"/>
  </r>
  <r>
    <s v="ORD-2024-465898"/>
    <x v="241"/>
    <x v="241"/>
    <s v="Q2 -2024"/>
    <d v="2024-06-24T00:00:00"/>
    <d v="2024-06-24T00:00:00"/>
    <n v="18"/>
    <n v="0"/>
    <s v="Asia"/>
    <s v="India"/>
    <s v="Bengaluru"/>
    <s v="Asia&gt;India&gt;Bengaluru"/>
    <s v="Small Business"/>
    <s v="Direct"/>
    <s v="H. Kim"/>
    <s v="Networking"/>
    <s v="NET-6578"/>
    <n v="1253.25"/>
    <n v="3087.13"/>
    <n v="3087.13"/>
    <s v="High"/>
    <n v="7.1999999999999995E-2"/>
    <n v="7.1999999999999995E-2"/>
    <n v="11"/>
    <n v="31513.423040000001"/>
    <n v="13785.75"/>
    <n v="17727.673040000001"/>
    <n v="0.562543555408064"/>
    <d v="2023-01-29T00:00:00"/>
    <n v="16"/>
  </r>
  <r>
    <s v="ORD-2024-468501"/>
    <x v="242"/>
    <x v="242"/>
    <s v="Q4 -2024"/>
    <d v="2024-11-22T00:00:00"/>
    <d v="2024-11-22T00:00:00"/>
    <n v="16"/>
    <n v="0"/>
    <s v="Americas"/>
    <s v="Canada"/>
    <s v="Toronto"/>
    <s v="Americas&gt;Canada&gt;Toronto"/>
    <s v="Non-Profit"/>
    <s v="Distributor"/>
    <s v="D. Smith"/>
    <s v="Accessories"/>
    <s v="ACC-6348"/>
    <n v="1454.11"/>
    <n v="2629.75"/>
    <n v="2629.75"/>
    <s v="High"/>
    <n v="0.29199999999999998"/>
    <n v="0.29199999999999998"/>
    <n v="8"/>
    <n v="14894.903999999999"/>
    <n v="11632.88"/>
    <n v="3262.0239999999994"/>
    <n v="0.21900268709351867"/>
    <d v="2023-01-02T00:00:00"/>
    <n v="22"/>
  </r>
  <r>
    <s v="ORD-2024-468615"/>
    <x v="243"/>
    <x v="243"/>
    <s v="Q3 -2024"/>
    <d v="2024-07-12T00:00:00"/>
    <d v="2024-07-12T00:00:00"/>
    <n v="3"/>
    <n v="1"/>
    <s v="Asia"/>
    <s v="China"/>
    <s v="Shanghai"/>
    <s v="Asia&gt;China&gt;Shanghai"/>
    <s v="Small Business"/>
    <s v="Retail"/>
    <s v="D. Smith"/>
    <s v="Accessories"/>
    <s v="ACC-3721"/>
    <n v="748.39"/>
    <n v="979.42"/>
    <n v="979.42"/>
    <s v="Medium"/>
    <n v="0"/>
    <n v="0"/>
    <n v="23"/>
    <n v="22526.66"/>
    <n v="17212.97"/>
    <n v="5313.6899999999987"/>
    <n v="0.23588450307324738"/>
    <d v="2023-01-12T00:00:00"/>
    <n v="17"/>
  </r>
  <r>
    <s v="ORD-2024-468655"/>
    <x v="244"/>
    <x v="244"/>
    <s v="Q1 -2024"/>
    <d v="2024-03-06T00:00:00"/>
    <d v="2024-03-06T00:00:00"/>
    <n v="16"/>
    <n v="0"/>
    <s v="Asia"/>
    <s v="China"/>
    <s v="Beijing"/>
    <s v="Asia&gt;China&gt;Beijing"/>
    <s v="Education"/>
    <s v="Marketplace"/>
    <s v="O. Wang"/>
    <s v="Printers"/>
    <s v="PRN-6308"/>
    <n v="1477.84"/>
    <n v="3197.47"/>
    <n v="3197.47"/>
    <s v="High"/>
    <n v="0.24299999999999999"/>
    <n v="0.24299999999999999"/>
    <n v="24"/>
    <n v="58091.634960000003"/>
    <n v="35468.159999999996"/>
    <n v="22623.474960000007"/>
    <n v="0.38944462443823091"/>
    <d v="2023-01-12T00:00:00"/>
    <n v="13"/>
  </r>
  <r>
    <s v="ORD-2024-474999"/>
    <x v="175"/>
    <x v="175"/>
    <s v="Q4 -2024"/>
    <d v="2025-01-02T00:00:00"/>
    <d v="2025-01-02T00:00:00"/>
    <n v="6"/>
    <n v="1"/>
    <s v="Europe"/>
    <s v="Germany"/>
    <s v="Frankfurt"/>
    <s v="Europe&gt;Germany&gt;Frankfurt"/>
    <s v="Education"/>
    <s v="Direct"/>
    <s v="F. Müller"/>
    <s v="Laptops"/>
    <s v="LAP-8214"/>
    <n v="1391.99"/>
    <n v="3469.7"/>
    <n v="3469.7"/>
    <s v="High"/>
    <n v="0.184"/>
    <n v="0.184"/>
    <n v="23"/>
    <n v="65119.329599999997"/>
    <n v="32015.77"/>
    <n v="33103.559599999993"/>
    <n v="0.50835227886006973"/>
    <d v="2023-01-22T00:00:00"/>
    <n v="23"/>
  </r>
  <r>
    <s v="ORD-2024-478165"/>
    <x v="245"/>
    <x v="245"/>
    <s v="Q4 -2024"/>
    <d v="2024-12-28T00:00:00"/>
    <d v="2024-12-28T00:00:00"/>
    <n v="23"/>
    <n v="0"/>
    <s v="Americas"/>
    <s v="Canada"/>
    <s v="Vancouver"/>
    <s v="Americas&gt;Canada&gt;Vancouver"/>
    <s v="Corporate"/>
    <s v="Direct"/>
    <s v="F. Müller"/>
    <s v="Accessories"/>
    <s v="ACC-2386"/>
    <n v="107.03"/>
    <n v="242.29"/>
    <n v="242.29"/>
    <s v="Low"/>
    <n v="0.18"/>
    <n v="0.18"/>
    <n v="30"/>
    <n v="5960.3340000000007"/>
    <n v="3210.9"/>
    <n v="2749.4340000000007"/>
    <n v="0.46128857879440988"/>
    <d v="2023-01-02T00:00:00"/>
    <n v="23"/>
  </r>
  <r>
    <s v="ORD-2024-496601"/>
    <x v="246"/>
    <x v="246"/>
    <s v="Q4 -2024"/>
    <d v="2024-11-24T00:00:00"/>
    <d v="2024-11-24T00:00:00"/>
    <n v="13"/>
    <n v="0"/>
    <s v="Europe"/>
    <s v="United Kingdom"/>
    <s v="London"/>
    <s v="Europe&gt;United Kingdom&gt;London"/>
    <s v="Corporate"/>
    <s v="Retail"/>
    <s v="E. Garcia"/>
    <s v="Networking"/>
    <s v="NET-2932"/>
    <n v="164.53"/>
    <n v="327.72"/>
    <n v="327.72"/>
    <s v="Low"/>
    <n v="6.7000000000000004E-2"/>
    <n v="6.7000000000000004E-2"/>
    <n v="14"/>
    <n v="4280.6786400000001"/>
    <n v="2303.42"/>
    <n v="1977.25864"/>
    <n v="0.46190307805960412"/>
    <d v="2023-01-19T00:00:00"/>
    <n v="21"/>
  </r>
  <r>
    <s v="ORD-2024-499009"/>
    <x v="247"/>
    <x v="247"/>
    <s v="Q1 -2024"/>
    <d v="2024-01-27T00:00:00"/>
    <d v="2024-01-27T00:00:00"/>
    <n v="2"/>
    <n v="1"/>
    <s v="Americas"/>
    <s v="Brazil"/>
    <s v="São Paulo"/>
    <s v="Americas&gt;Brazil&gt;São Paulo"/>
    <s v="Non-Profit"/>
    <s v="Marketplace"/>
    <s v="N. Brown"/>
    <s v="Laptops"/>
    <s v="LAP-7056"/>
    <n v="1410.97"/>
    <n v="1650.75"/>
    <n v="1650.75"/>
    <s v="High"/>
    <n v="0.13500000000000001"/>
    <n v="0.13500000000000001"/>
    <n v="6"/>
    <n v="8567.3924999999999"/>
    <n v="8465.82"/>
    <n v="101.57250000000022"/>
    <n v="1.1855707556295596E-2"/>
    <d v="2023-01-29T00:00:00"/>
    <n v="11"/>
  </r>
  <r>
    <s v="ORD-2024-500109"/>
    <x v="225"/>
    <x v="225"/>
    <s v="Q2 -2024"/>
    <d v="2024-05-23T00:00:00"/>
    <d v="2024-05-23T00:00:00"/>
    <n v="5"/>
    <n v="1"/>
    <s v="Americas"/>
    <s v="USA"/>
    <s v="Chicago"/>
    <s v="Americas&gt;USA&gt;Chicago"/>
    <s v="Enterprise"/>
    <s v="Retail"/>
    <s v="H. Kim"/>
    <s v="Laptops"/>
    <s v="LAP-4987"/>
    <n v="1274.5899999999999"/>
    <n v="2553.69"/>
    <n v="2553.69"/>
    <s v="High"/>
    <n v="0.01"/>
    <n v="0.01"/>
    <n v="8"/>
    <n v="20225.2248"/>
    <n v="10196.719999999999"/>
    <n v="10028.504800000001"/>
    <n v="0.49584145042481803"/>
    <d v="2023-01-13T00:00:00"/>
    <n v="16"/>
  </r>
  <r>
    <s v="ORD-2024-500511"/>
    <x v="248"/>
    <x v="248"/>
    <s v="Q4 -2024"/>
    <d v="2024-10-08T00:00:00"/>
    <d v="2024-10-08T00:00:00"/>
    <n v="0"/>
    <n v="1"/>
    <s v="Europe"/>
    <s v="United Kingdom"/>
    <s v="London"/>
    <s v="Europe&gt;United Kingdom&gt;London"/>
    <s v="Corporate"/>
    <s v="Online"/>
    <s v="E. Garcia"/>
    <s v="Monitors"/>
    <s v="MON-9733"/>
    <n v="1108.1099999999999"/>
    <n v="2503.79"/>
    <n v="2503.79"/>
    <s v="High"/>
    <n v="0.184"/>
    <n v="0.184"/>
    <n v="19"/>
    <n v="38818.760160000005"/>
    <n v="21054.089999999997"/>
    <n v="17764.670160000009"/>
    <n v="0.45763105485025896"/>
    <d v="2023-01-19T00:00:00"/>
    <n v="20"/>
  </r>
  <r>
    <s v="ORD-2024-500890"/>
    <x v="249"/>
    <x v="249"/>
    <s v="Q3 -2024"/>
    <d v="2024-10-08T00:00:00"/>
    <d v="2024-10-08T00:00:00"/>
    <n v="29"/>
    <n v="0"/>
    <s v="Americas"/>
    <s v="Brazil"/>
    <s v="São Paulo"/>
    <s v="Americas&gt;Brazil&gt;São Paulo"/>
    <s v="Education"/>
    <s v="Direct"/>
    <s v="J. Njeri"/>
    <s v="Components"/>
    <s v="CMP-3093"/>
    <n v="1010.33"/>
    <n v="2492.14"/>
    <n v="2492.14"/>
    <s v="High"/>
    <n v="5.0999999999999997E-2"/>
    <n v="5.0999999999999997E-2"/>
    <n v="11"/>
    <n v="26015.449459999996"/>
    <n v="11113.630000000001"/>
    <n v="14901.819459999995"/>
    <n v="0.57280653493656752"/>
    <d v="2023-01-29T00:00:00"/>
    <n v="19"/>
  </r>
  <r>
    <s v="ORD-2024-503082"/>
    <x v="250"/>
    <x v="250"/>
    <s v="Q2 -2024"/>
    <d v="2024-06-08T00:00:00"/>
    <d v="2024-06-08T00:00:00"/>
    <n v="20"/>
    <n v="0"/>
    <s v="Americas"/>
    <s v="Brazil"/>
    <s v="Brasília"/>
    <s v="Americas&gt;Brazil&gt;Brasília"/>
    <s v="Small Business"/>
    <s v="Retail"/>
    <s v="E. Garcia"/>
    <s v="Monitors"/>
    <s v="MON-4271"/>
    <n v="1075.9000000000001"/>
    <n v="1242.1500000000001"/>
    <n v="1242.1500000000001"/>
    <s v="Medium"/>
    <n v="1.2E-2"/>
    <n v="1.2E-2"/>
    <n v="7"/>
    <n v="8590.7094000000016"/>
    <n v="7531.3000000000011"/>
    <n v="1059.4094000000005"/>
    <n v="0.12332036280961853"/>
    <d v="2023-01-29T00:00:00"/>
    <n v="15"/>
  </r>
  <r>
    <s v="ORD-2024-508213"/>
    <x v="251"/>
    <x v="251"/>
    <s v="Q4 -2024"/>
    <d v="2024-12-15T00:00:00"/>
    <d v="2024-12-15T00:00:00"/>
    <n v="23"/>
    <n v="0"/>
    <s v="Africa"/>
    <s v="Kenya"/>
    <s v="Mombasa"/>
    <s v="Africa&gt;Kenya&gt;Mombasa"/>
    <s v="Non-Profit"/>
    <s v="Distributor"/>
    <s v="C. Otieno"/>
    <s v="Components"/>
    <s v="CMP-3938"/>
    <n v="1335.76"/>
    <n v="2665.91"/>
    <n v="2665.91"/>
    <s v="High"/>
    <n v="0.21099999999999999"/>
    <n v="0.21099999999999999"/>
    <n v="40"/>
    <n v="84136.119600000005"/>
    <n v="53430.400000000001"/>
    <n v="30705.719600000004"/>
    <n v="0.36495288522909253"/>
    <d v="2023-01-20T00:00:00"/>
    <n v="22"/>
  </r>
  <r>
    <s v="ORD-2024-510520"/>
    <x v="252"/>
    <x v="252"/>
    <s v="Q3 -2024"/>
    <d v="2024-10-03T00:00:00"/>
    <d v="2024-10-03T00:00:00"/>
    <n v="8"/>
    <n v="0"/>
    <s v="Americas"/>
    <s v="Canada"/>
    <s v="Toronto"/>
    <s v="Americas&gt;Canada&gt;Toronto"/>
    <s v="Consumer"/>
    <s v="Online"/>
    <s v="E. Garcia"/>
    <s v="Printers"/>
    <s v="PRN-9557"/>
    <n v="558.19000000000005"/>
    <n v="1031.6400000000001"/>
    <n v="1031.6400000000001"/>
    <s v="Medium"/>
    <n v="0"/>
    <n v="0"/>
    <n v="21"/>
    <n v="21664.440000000002"/>
    <n v="11721.990000000002"/>
    <n v="9942.4500000000007"/>
    <n v="0.45892947152107322"/>
    <d v="2023-01-02T00:00:00"/>
    <n v="20"/>
  </r>
  <r>
    <s v="ORD-2024-510591"/>
    <x v="189"/>
    <x v="189"/>
    <s v="Q2 -2024"/>
    <d v="2024-04-21T00:00:00"/>
    <d v="2024-04-21T00:00:00"/>
    <n v="18"/>
    <n v="0"/>
    <s v="Americas"/>
    <s v="Brazil"/>
    <s v="Brasília"/>
    <s v="Americas&gt;Brazil&gt;Brasília"/>
    <s v="Small Business"/>
    <s v="Distributor"/>
    <s v="B. Chen"/>
    <s v="Networking"/>
    <s v="NET-3850"/>
    <n v="1176.69"/>
    <n v="2201.54"/>
    <n v="2201.54"/>
    <s v="High"/>
    <n v="0.17"/>
    <n v="0.17"/>
    <n v="27"/>
    <n v="49336.511399999996"/>
    <n v="31770.63"/>
    <n v="17565.881399999995"/>
    <n v="0.35604222717701106"/>
    <d v="2023-01-29T00:00:00"/>
    <n v="14"/>
  </r>
  <r>
    <s v="ORD-2024-515105"/>
    <x v="253"/>
    <x v="253"/>
    <s v="Q1 -2024"/>
    <d v="2024-03-26T00:00:00"/>
    <d v="2024-03-26T00:00:00"/>
    <n v="28"/>
    <n v="0"/>
    <s v="Asia"/>
    <s v="India"/>
    <s v="Mumbai"/>
    <s v="Asia&gt;India&gt;Mumbai"/>
    <s v="Education"/>
    <s v="Marketplace"/>
    <s v="G. Dubois"/>
    <s v="Laptops"/>
    <s v="LAP-8469"/>
    <n v="1035.19"/>
    <n v="2322.6999999999998"/>
    <n v="2322.6999999999998"/>
    <s v="High"/>
    <n v="0.17299999999999999"/>
    <n v="0.17299999999999999"/>
    <n v="8"/>
    <n v="15366.983199999999"/>
    <n v="8281.52"/>
    <n v="7085.4631999999983"/>
    <n v="0.46108355217047409"/>
    <d v="2023-01-29T00:00:00"/>
    <n v="12"/>
  </r>
  <r>
    <s v="ORD-2024-516704"/>
    <x v="254"/>
    <x v="254"/>
    <s v="Q1 -2024"/>
    <d v="2024-02-29T00:00:00"/>
    <d v="2024-03-07T00:00:00"/>
    <n v="6"/>
    <n v="1"/>
    <s v="Americas"/>
    <s v="Brazil"/>
    <s v="São Paulo"/>
    <s v="Americas&gt;Brazil&gt;São Paulo"/>
    <s v="Non-Profit"/>
    <s v="Direct"/>
    <s v="I. Johnson"/>
    <s v="Phones"/>
    <s v="PHN-7852"/>
    <n v="5.34"/>
    <n v="12.69"/>
    <n v="12.69"/>
    <s v="Low"/>
    <n v="0.13200000000000001"/>
    <n v="0.13200000000000001"/>
    <n v="10"/>
    <n v="110.14919999999999"/>
    <n v="53.4"/>
    <n v="56.749199999999995"/>
    <n v="0.51520301554618642"/>
    <d v="2023-01-29T00:00:00"/>
    <n v="13"/>
  </r>
  <r>
    <s v="ORD-2024-527858"/>
    <x v="255"/>
    <x v="255"/>
    <s v="Q2 -2024"/>
    <d v="2024-05-12T00:00:00"/>
    <d v="2024-05-12T00:00:00"/>
    <n v="5"/>
    <n v="1"/>
    <s v="Africa"/>
    <s v="Nigeria"/>
    <s v="Abuja"/>
    <s v="Africa&gt;Nigeria&gt;Abuja"/>
    <s v="Non-Profit"/>
    <s v="Distributor"/>
    <s v="L. Okafor"/>
    <s v="Laptops"/>
    <s v="LAP-9100"/>
    <n v="1163.99"/>
    <n v="1617.85"/>
    <n v="1617.85"/>
    <s v="High"/>
    <n v="0.127"/>
    <n v="0.127"/>
    <n v="14"/>
    <n v="19773.362699999998"/>
    <n v="16295.86"/>
    <n v="3477.5026999999973"/>
    <n v="0.17586804797749436"/>
    <d v="2023-01-15T00:00:00"/>
    <n v="15"/>
  </r>
  <r>
    <s v="ORD-2024-532184"/>
    <x v="247"/>
    <x v="247"/>
    <s v="Q1 -2024"/>
    <d v="2024-02-08T00:00:00"/>
    <d v="2024-02-08T00:00:00"/>
    <n v="14"/>
    <n v="0"/>
    <s v="Asia"/>
    <s v="Japan"/>
    <s v="Osaka"/>
    <s v="Asia&gt;Japan&gt;Osaka"/>
    <s v="Consumer"/>
    <s v="Marketplace"/>
    <s v="I. Johnson"/>
    <s v="Networking"/>
    <s v="NET-9569"/>
    <n v="937.16"/>
    <n v="1069.77"/>
    <n v="1069.77"/>
    <s v="Medium"/>
    <n v="3.7999999999999999E-2"/>
    <n v="3.7999999999999999E-2"/>
    <n v="9"/>
    <n v="9262.0686600000008"/>
    <n v="8434.44"/>
    <n v="827.62866000000031"/>
    <n v="8.9356783066645962E-2"/>
    <d v="2023-03-03T00:00:00"/>
    <n v="10"/>
  </r>
  <r>
    <s v="ORD-2024-536442"/>
    <x v="256"/>
    <x v="256"/>
    <s v="Q3 -2024"/>
    <d v="2024-09-26T00:00:00"/>
    <d v="2024-09-26T00:00:00"/>
    <n v="26"/>
    <n v="0"/>
    <s v="Asia"/>
    <s v="Japan"/>
    <s v="Tokyo"/>
    <s v="Asia&gt;Japan&gt;Tokyo"/>
    <s v="Education"/>
    <s v="Online"/>
    <s v="I. Johnson"/>
    <s v="Phones"/>
    <s v="PHN-6111"/>
    <n v="1189.03"/>
    <n v="2949.62"/>
    <n v="2949.62"/>
    <s v="High"/>
    <n v="0.125"/>
    <n v="0.125"/>
    <n v="13"/>
    <n v="33551.927499999998"/>
    <n v="15457.39"/>
    <n v="18094.537499999999"/>
    <n v="0.53929949330034765"/>
    <d v="2023-03-03T00:00:00"/>
    <n v="17"/>
  </r>
  <r>
    <s v="ORD-2024-542244"/>
    <x v="257"/>
    <x v="257"/>
    <s v="Q3 -2024"/>
    <d v="2024-09-05T00:00:00"/>
    <d v="2024-09-05T00:00:00"/>
    <n v="6"/>
    <n v="1"/>
    <s v="Asia"/>
    <s v="Japan"/>
    <s v="Nagoya"/>
    <s v="Asia&gt;Japan&gt;Nagoya"/>
    <s v="Education"/>
    <s v="Online"/>
    <s v="N. Brown"/>
    <s v="Laptops"/>
    <s v="LAP-7009"/>
    <n v="466.16"/>
    <n v="876.81"/>
    <n v="876.81"/>
    <s v="Medium"/>
    <n v="0.24099999999999999"/>
    <n v="0.24099999999999999"/>
    <n v="8"/>
    <n v="5323.9903199999999"/>
    <n v="3729.28"/>
    <n v="1594.7103199999997"/>
    <n v="0.29953291124691594"/>
    <d v="2023-03-03T00:00:00"/>
    <n v="17"/>
  </r>
  <r>
    <s v="ORD-2024-544865"/>
    <x v="258"/>
    <x v="258"/>
    <s v="Q1 -2024"/>
    <d v="2024-03-04T00:00:00"/>
    <d v="2024-03-04T00:00:00"/>
    <n v="17"/>
    <n v="0"/>
    <s v="Americas"/>
    <s v="Canada"/>
    <s v="Montreal"/>
    <s v="Americas&gt;Canada&gt;Montreal"/>
    <s v="Non-Profit"/>
    <s v="Retail"/>
    <s v="D. Smith"/>
    <s v="Laptops"/>
    <s v="LAP-2774"/>
    <n v="1350.98"/>
    <n v="2210.4"/>
    <n v="2210.4"/>
    <s v="High"/>
    <n v="0.26300000000000001"/>
    <n v="0.26300000000000001"/>
    <n v="6"/>
    <n v="9774.3888000000006"/>
    <n v="8105.88"/>
    <n v="1668.5088000000005"/>
    <n v="0.17070211080615091"/>
    <d v="2023-01-02T00:00:00"/>
    <n v="13"/>
  </r>
  <r>
    <s v="ORD-2024-548345"/>
    <x v="259"/>
    <x v="259"/>
    <s v="Q2 -2024"/>
    <d v="2024-05-28T00:00:00"/>
    <d v="2024-05-28T00:00:00"/>
    <n v="14"/>
    <n v="0"/>
    <s v="Europe"/>
    <s v="United Kingdom"/>
    <s v="Birmingham"/>
    <s v="Europe&gt;United Kingdom&gt;Birmingham"/>
    <s v="Consumer"/>
    <s v="Retail"/>
    <s v="B. Chen"/>
    <s v="Networking"/>
    <s v="NET-2365"/>
    <n v="1421.14"/>
    <n v="3524"/>
    <n v="3524"/>
    <s v="High"/>
    <n v="0"/>
    <n v="0"/>
    <n v="31"/>
    <n v="109244"/>
    <n v="44055.340000000004"/>
    <n v="65188.659999999996"/>
    <n v="0.59672531214528945"/>
    <d v="2023-01-19T00:00:00"/>
    <n v="15"/>
  </r>
  <r>
    <s v="ORD-2024-550400"/>
    <x v="260"/>
    <x v="260"/>
    <s v="Q3 -2024"/>
    <d v="2024-09-02T00:00:00"/>
    <d v="2024-09-02T00:00:00"/>
    <n v="14"/>
    <n v="0"/>
    <s v="Americas"/>
    <s v="Canada"/>
    <s v="Toronto"/>
    <s v="Americas&gt;Canada&gt;Toronto"/>
    <s v="Consumer"/>
    <s v="Distributor"/>
    <s v="C. Otieno"/>
    <s v="Printers"/>
    <s v="PRN-9793"/>
    <n v="1337.01"/>
    <n v="1269.78"/>
    <n v="1269.78"/>
    <s v="Medium"/>
    <n v="0.16"/>
    <n v="0.16"/>
    <n v="7"/>
    <n v="7466.3063999999986"/>
    <n v="9359.07"/>
    <n v="-1892.7636000000011"/>
    <n v="-0.25350735672996244"/>
    <d v="2023-01-02T00:00:00"/>
    <n v="19"/>
  </r>
  <r>
    <s v="ORD-2024-553449"/>
    <x v="261"/>
    <x v="261"/>
    <s v="Q3 -2024"/>
    <d v="2024-09-18T00:00:00"/>
    <d v="2024-09-18T00:00:00"/>
    <n v="22"/>
    <n v="0"/>
    <s v="Asia"/>
    <s v="India"/>
    <s v="Delhi"/>
    <s v="Asia&gt;India&gt;Delhi"/>
    <s v="Consumer"/>
    <s v="Direct"/>
    <s v="B. Chen"/>
    <s v="Components"/>
    <s v="CMP-3875"/>
    <n v="896.75"/>
    <n v="1651.14"/>
    <n v="1651.14"/>
    <s v="High"/>
    <n v="2.5000000000000001E-2"/>
    <n v="2.5000000000000001E-2"/>
    <n v="15"/>
    <n v="24147.922500000001"/>
    <n v="13451.25"/>
    <n v="10696.672500000001"/>
    <n v="0.44296450346815552"/>
    <d v="2023-01-29T00:00:00"/>
    <n v="18"/>
  </r>
  <r>
    <s v="ORD-2024-555229"/>
    <x v="225"/>
    <x v="225"/>
    <s v="Q2 -2024"/>
    <d v="2024-05-22T00:00:00"/>
    <d v="2024-05-22T00:00:00"/>
    <n v="4"/>
    <n v="1"/>
    <s v="Africa"/>
    <s v="Kenya"/>
    <s v="Nairobi"/>
    <s v="Africa&gt;Kenya&gt;Nairobi"/>
    <s v="Corporate"/>
    <s v="Direct"/>
    <s v="H. Kim"/>
    <s v="Accessories"/>
    <s v="ACC-7354"/>
    <n v="857.42"/>
    <n v="1658.92"/>
    <n v="1658.92"/>
    <s v="High"/>
    <n v="0.122"/>
    <n v="0.122"/>
    <n v="9"/>
    <n v="13108.78584"/>
    <n v="7716.78"/>
    <n v="5392.0058400000007"/>
    <n v="0.41132763215544305"/>
    <d v="2023-01-20T00:00:00"/>
    <n v="15"/>
  </r>
  <r>
    <s v="ORD-2024-566589"/>
    <x v="262"/>
    <x v="262"/>
    <s v="Q2 -2024"/>
    <d v="2024-07-09T00:00:00"/>
    <d v="2024-07-09T00:00:00"/>
    <n v="28"/>
    <n v="0"/>
    <s v="Africa"/>
    <s v="Nigeria"/>
    <s v="Port Harcourt"/>
    <s v="Africa&gt;Nigeria&gt;Port Harcourt"/>
    <s v="Corporate"/>
    <s v="Marketplace"/>
    <s v="I. Johnson"/>
    <s v="Phones"/>
    <s v="PHN-2436"/>
    <n v="895.54"/>
    <n v="1045"/>
    <n v="1045"/>
    <s v="Medium"/>
    <n v="0.216"/>
    <n v="0.216"/>
    <n v="15"/>
    <n v="12289.2"/>
    <n v="13433.099999999999"/>
    <n v="-1143.8999999999978"/>
    <n v="-9.3081730299775234E-2"/>
    <d v="2023-01-15T00:00:00"/>
    <n v="16"/>
  </r>
  <r>
    <s v="ORD-2024-567435"/>
    <x v="263"/>
    <x v="263"/>
    <s v="Q2 -2024"/>
    <d v="2024-04-24T00:00:00"/>
    <d v="2024-05-01T00:00:00"/>
    <n v="5"/>
    <n v="1"/>
    <s v="Europe"/>
    <s v="United Kingdom"/>
    <s v="London"/>
    <s v="Europe&gt;United Kingdom&gt;London"/>
    <s v="Non-Profit"/>
    <s v="Distributor"/>
    <s v="N. Brown"/>
    <s v="Phones"/>
    <s v="PHN-9107"/>
    <n v="1232.77"/>
    <n v="891.73"/>
    <n v="891.73"/>
    <s v="Medium"/>
    <n v="0.16700000000000001"/>
    <n v="0.16700000000000001"/>
    <n v="10"/>
    <n v="7428.1108999999988"/>
    <n v="12327.7"/>
    <n v="-4899.589100000002"/>
    <n v="-0.65960096260813805"/>
    <d v="2023-01-19T00:00:00"/>
    <n v="15"/>
  </r>
  <r>
    <s v="ORD-2024-569164"/>
    <x v="264"/>
    <x v="264"/>
    <s v="Q3 -2024"/>
    <d v="2024-09-25T00:00:00"/>
    <d v="2024-09-25T00:00:00"/>
    <n v="20"/>
    <n v="0"/>
    <s v="Asia"/>
    <s v="Japan"/>
    <s v="Osaka"/>
    <s v="Asia&gt;Japan&gt;Osaka"/>
    <s v="Enterprise"/>
    <s v="Distributor"/>
    <s v="D. Smith"/>
    <s v="Monitors"/>
    <s v="MON-5249"/>
    <n v="195.54"/>
    <n v="405.97"/>
    <n v="405.97"/>
    <s v="Low"/>
    <n v="0.187"/>
    <n v="0.187"/>
    <n v="16"/>
    <n v="5280.8577599999999"/>
    <n v="3128.64"/>
    <n v="2152.21776"/>
    <n v="0.40755079152141377"/>
    <d v="2023-03-03T00:00:00"/>
    <n v="18"/>
  </r>
  <r>
    <s v="ORD-2024-571797"/>
    <x v="265"/>
    <x v="265"/>
    <s v="Q3 -2024"/>
    <d v="2024-07-31T00:00:00"/>
    <d v="2024-07-31T00:00:00"/>
    <n v="20"/>
    <n v="0"/>
    <s v="Asia"/>
    <s v="China"/>
    <s v="Shenzhen"/>
    <s v="Asia&gt;China&gt;Shenzhen"/>
    <s v="Consumer"/>
    <s v="Online"/>
    <s v="G. Dubois"/>
    <s v="Phones"/>
    <s v="PHN-7815"/>
    <n v="647.26"/>
    <n v="1374.72"/>
    <n v="1374.72"/>
    <s v="Medium"/>
    <n v="6.6000000000000003E-2"/>
    <n v="6.6000000000000003E-2"/>
    <n v="22"/>
    <n v="28247.74656"/>
    <n v="14239.72"/>
    <n v="14008.02656"/>
    <n v="0.49589890401508901"/>
    <d v="2023-01-12T00:00:00"/>
    <n v="17"/>
  </r>
  <r>
    <s v="ORD-2024-572312"/>
    <x v="266"/>
    <x v="266"/>
    <s v="Q2 -2024"/>
    <d v="2024-06-21T00:00:00"/>
    <d v="2024-06-21T00:00:00"/>
    <n v="5"/>
    <n v="1"/>
    <s v="Asia"/>
    <s v="Japan"/>
    <s v="Tokyo"/>
    <s v="Asia&gt;Japan&gt;Tokyo"/>
    <s v="Small Business"/>
    <s v="Distributor"/>
    <s v="F. Müller"/>
    <s v="Phones"/>
    <s v="PHN-9677"/>
    <n v="1367.13"/>
    <n v="3062.01"/>
    <n v="3062.01"/>
    <s v="High"/>
    <n v="0.10299999999999999"/>
    <n v="0.10299999999999999"/>
    <n v="25"/>
    <n v="68665.574250000005"/>
    <n v="34178.25"/>
    <n v="34487.324250000005"/>
    <n v="0.50225057645971705"/>
    <d v="2023-03-03T00:00:00"/>
    <n v="15"/>
  </r>
  <r>
    <s v="ORD-2024-578646"/>
    <x v="267"/>
    <x v="267"/>
    <s v="Q2 -2024"/>
    <d v="2024-06-17T00:00:00"/>
    <d v="2024-06-17T00:00:00"/>
    <n v="21"/>
    <n v="0"/>
    <s v="Asia"/>
    <s v="India"/>
    <s v="Delhi"/>
    <s v="Asia&gt;India&gt;Delhi"/>
    <s v="Small Business"/>
    <s v="Online"/>
    <s v="H. Kim"/>
    <s v="Accessories"/>
    <s v="ACC-7240"/>
    <n v="465.02"/>
    <n v="651.55999999999995"/>
    <n v="651.55999999999995"/>
    <s v="Low"/>
    <n v="4.2000000000000003E-2"/>
    <n v="4.2000000000000003E-2"/>
    <n v="19"/>
    <n v="11859.695119999998"/>
    <n v="8835.3799999999992"/>
    <n v="3024.3151199999993"/>
    <n v="0.25500783025187918"/>
    <d v="2023-01-29T00:00:00"/>
    <n v="15"/>
  </r>
  <r>
    <s v="ORD-2024-580808"/>
    <x v="266"/>
    <x v="266"/>
    <s v="Q2 -2024"/>
    <d v="2024-07-03T00:00:00"/>
    <d v="2024-07-03T00:00:00"/>
    <n v="17"/>
    <n v="0"/>
    <s v="Africa"/>
    <s v="South Africa"/>
    <s v="Johannesburg"/>
    <s v="Africa&gt;South Africa&gt;Johannesburg"/>
    <s v="Enterprise"/>
    <s v="Marketplace"/>
    <s v="F. Müller"/>
    <s v="Phones"/>
    <s v="PHN-6832"/>
    <n v="1173.83"/>
    <n v="2328.9"/>
    <n v="2328.9"/>
    <s v="High"/>
    <n v="0.12"/>
    <n v="0.12"/>
    <n v="17"/>
    <n v="34840.344000000005"/>
    <n v="19955.11"/>
    <n v="14885.234000000004"/>
    <n v="0.42724130393201637"/>
    <d v="2023-01-07T00:00:00"/>
    <n v="17"/>
  </r>
  <r>
    <s v="ORD-2024-581530"/>
    <x v="268"/>
    <x v="268"/>
    <s v="Q3 -2024"/>
    <d v="2024-09-18T00:00:00"/>
    <d v="2024-09-18T00:00:00"/>
    <n v="11"/>
    <n v="0"/>
    <s v="Asia"/>
    <s v="China"/>
    <s v="Beijing"/>
    <s v="Asia&gt;China&gt;Beijing"/>
    <s v="Consumer"/>
    <s v="Distributor"/>
    <s v="O. Wang"/>
    <s v="Networking"/>
    <s v="NET-7998"/>
    <n v="181.74"/>
    <n v="190.84"/>
    <n v="190.84"/>
    <s v="Low"/>
    <n v="0.214"/>
    <n v="0.214"/>
    <n v="13"/>
    <n v="1950.0031200000001"/>
    <n v="2362.62"/>
    <n v="-412.61687999999981"/>
    <n v="-0.21159806144310159"/>
    <d v="2023-01-12T00:00:00"/>
    <n v="19"/>
  </r>
  <r>
    <s v="ORD-2024-584090"/>
    <x v="269"/>
    <x v="269"/>
    <s v="Q2 -2024"/>
    <d v="2024-06-26T00:00:00"/>
    <d v="2024-06-26T00:00:00"/>
    <n v="19"/>
    <n v="0"/>
    <s v="Europe"/>
    <s v="Germany"/>
    <s v="Berlin"/>
    <s v="Europe&gt;Germany&gt;Berlin"/>
    <s v="Non-Profit"/>
    <s v="Marketplace"/>
    <s v="M. Rossi"/>
    <s v="Components"/>
    <s v="CMP-2040"/>
    <n v="1064.32"/>
    <n v="1848.39"/>
    <n v="1848.39"/>
    <s v="High"/>
    <n v="7.2999999999999995E-2"/>
    <n v="7.2999999999999995E-2"/>
    <n v="38"/>
    <n v="65111.38614000001"/>
    <n v="40444.159999999996"/>
    <n v="24667.226140000013"/>
    <n v="0.3788465827921631"/>
    <d v="2023-01-22T00:00:00"/>
    <n v="16"/>
  </r>
  <r>
    <s v="ORD-2024-585443"/>
    <x v="270"/>
    <x v="270"/>
    <s v="Q3 -2024"/>
    <d v="2024-08-15T00:00:00"/>
    <d v="2024-08-22T00:00:00"/>
    <n v="5"/>
    <n v="1"/>
    <s v="Americas"/>
    <s v="Brazil"/>
    <s v="Rio de Janeiro"/>
    <s v="Americas&gt;Brazil&gt;Rio de Janeiro"/>
    <s v="Consumer"/>
    <s v="Direct"/>
    <s v="M. Rossi"/>
    <s v="Monitors"/>
    <s v="MON-2849"/>
    <n v="165.3"/>
    <n v="275.07"/>
    <n v="275.07"/>
    <s v="Low"/>
    <n v="0.13300000000000001"/>
    <n v="0.13300000000000001"/>
    <n v="25"/>
    <n v="5962.1422499999999"/>
    <n v="4132.5"/>
    <n v="1829.6422499999999"/>
    <n v="0.30687665159280625"/>
    <d v="2023-01-29T00:00:00"/>
    <n v="18"/>
  </r>
  <r>
    <s v="ORD-2024-588972"/>
    <x v="197"/>
    <x v="197"/>
    <s v="Q4 -2024"/>
    <d v="2024-11-29T00:00:00"/>
    <d v="2024-11-29T00:00:00"/>
    <n v="27"/>
    <n v="0"/>
    <s v="Americas"/>
    <s v="Brazil"/>
    <s v="Brasília"/>
    <s v="Americas&gt;Brazil&gt;Brasília"/>
    <s v="Small Business"/>
    <s v="Direct"/>
    <s v="I. Johnson"/>
    <s v="Networking"/>
    <s v="NET-8561"/>
    <n v="1363.51"/>
    <n v="1433.9"/>
    <n v="1433.9"/>
    <s v="Medium"/>
    <n v="5.7000000000000002E-2"/>
    <n v="5.7000000000000002E-2"/>
    <n v="8"/>
    <n v="10817.3416"/>
    <n v="10908.08"/>
    <n v="-90.738400000000183"/>
    <n v="-8.3882346842037592E-3"/>
    <d v="2023-01-29T00:00:00"/>
    <n v="21"/>
  </r>
  <r>
    <s v="ORD-2024-589570"/>
    <x v="271"/>
    <x v="271"/>
    <s v="Q2 -2024"/>
    <d v="2024-05-29T00:00:00"/>
    <d v="2024-05-29T00:00:00"/>
    <n v="25"/>
    <n v="0"/>
    <s v="Africa"/>
    <s v="Nigeria"/>
    <s v="Abuja"/>
    <s v="Africa&gt;Nigeria&gt;Abuja"/>
    <s v="Non-Profit"/>
    <s v="Marketplace"/>
    <s v="O. Wang"/>
    <s v="Monitors"/>
    <s v="MON-6892"/>
    <n v="1295.3399999999999"/>
    <n v="2530.81"/>
    <n v="2530.81"/>
    <s v="High"/>
    <n v="3.1E-2"/>
    <n v="3.1E-2"/>
    <n v="6"/>
    <n v="14714.12934"/>
    <n v="7772.0399999999991"/>
    <n v="6942.0893400000004"/>
    <n v="0.4717974933880798"/>
    <d v="2023-01-15T00:00:00"/>
    <n v="15"/>
  </r>
  <r>
    <s v="ORD-2024-594527"/>
    <x v="272"/>
    <x v="272"/>
    <s v="Q3 -2024"/>
    <d v="2024-09-04T00:00:00"/>
    <d v="2024-09-11T00:00:00"/>
    <n v="5"/>
    <n v="1"/>
    <s v="Asia"/>
    <s v="Japan"/>
    <s v="Osaka"/>
    <s v="Asia&gt;Japan&gt;Osaka"/>
    <s v="Corporate"/>
    <s v="Direct"/>
    <s v="A. Patel"/>
    <s v="Laptops"/>
    <s v="LAP-4483"/>
    <n v="1368.17"/>
    <n v="2307.75"/>
    <n v="2307.75"/>
    <s v="High"/>
    <n v="0.16300000000000001"/>
    <n v="0.16300000000000001"/>
    <n v="21"/>
    <n v="40563.321749999996"/>
    <n v="28731.57"/>
    <n v="11831.751749999996"/>
    <n v="0.29168596750831921"/>
    <d v="2023-03-03T00:00:00"/>
    <n v="18"/>
  </r>
  <r>
    <s v="ORD-2024-594592"/>
    <x v="273"/>
    <x v="273"/>
    <s v="Q2 -2024"/>
    <d v="2024-04-25T00:00:00"/>
    <d v="2024-04-25T00:00:00"/>
    <n v="19"/>
    <n v="0"/>
    <s v="Asia"/>
    <s v="China"/>
    <s v="Shanghai"/>
    <s v="Asia&gt;China&gt;Shanghai"/>
    <s v="Corporate"/>
    <s v="Retail"/>
    <s v="K. Singh"/>
    <s v="Components"/>
    <s v="CMP-8196"/>
    <n v="1366.48"/>
    <n v="1678.14"/>
    <n v="1678.14"/>
    <s v="High"/>
    <n v="0.154"/>
    <n v="0.154"/>
    <n v="10"/>
    <n v="14197.064400000001"/>
    <n v="13664.8"/>
    <n v="532.26440000000184"/>
    <n v="3.7491159087790132E-2"/>
    <d v="2023-01-12T00:00:00"/>
    <n v="14"/>
  </r>
  <r>
    <s v="ORD-2024-599522"/>
    <x v="274"/>
    <x v="274"/>
    <s v="Q2 -2024"/>
    <d v="2024-05-06T00:00:00"/>
    <d v="2024-05-06T00:00:00"/>
    <n v="17"/>
    <n v="0"/>
    <s v="Africa"/>
    <s v="Nigeria"/>
    <s v="Port Harcourt"/>
    <s v="Africa&gt;Nigeria&gt;Port Harcourt"/>
    <s v="Non-Profit"/>
    <s v="Online"/>
    <s v="A. Patel"/>
    <s v="Printers"/>
    <s v="PRN-7303"/>
    <n v="865.33"/>
    <n v="1395.64"/>
    <n v="1395.64"/>
    <s v="Medium"/>
    <n v="0.17499999999999999"/>
    <n v="0.17499999999999999"/>
    <n v="13"/>
    <n v="14968.239"/>
    <n v="11249.29"/>
    <n v="3718.9489999999987"/>
    <n v="0.24845601409758347"/>
    <d v="2023-01-15T00:00:00"/>
    <n v="15"/>
  </r>
  <r>
    <s v="ORD-2024-604471"/>
    <x v="275"/>
    <x v="275"/>
    <s v="Q1 -2024"/>
    <d v="2024-01-25T00:00:00"/>
    <d v="2024-01-25T00:00:00"/>
    <n v="4"/>
    <n v="1"/>
    <s v="Asia"/>
    <s v="India"/>
    <s v="Delhi"/>
    <s v="Asia&gt;India&gt;Delhi"/>
    <s v="Consumer"/>
    <s v="Direct"/>
    <s v="C. Otieno"/>
    <s v="Monitors"/>
    <s v="MON-8973"/>
    <n v="523.70000000000005"/>
    <n v="1109.92"/>
    <n v="1109.92"/>
    <s v="Medium"/>
    <n v="0.03"/>
    <n v="0.03"/>
    <n v="11"/>
    <n v="11842.8464"/>
    <n v="5760.7000000000007"/>
    <n v="6082.1463999999996"/>
    <n v="0.51357133197302973"/>
    <d v="2023-01-29T00:00:00"/>
    <n v="11"/>
  </r>
  <r>
    <s v="ORD-2024-605518"/>
    <x v="276"/>
    <x v="276"/>
    <s v="Q2 -2024"/>
    <d v="2024-06-13T00:00:00"/>
    <d v="2024-06-13T00:00:00"/>
    <n v="14"/>
    <n v="0"/>
    <s v="Americas"/>
    <s v="USA"/>
    <s v="San Francisco"/>
    <s v="Americas&gt;USA&gt;San Francisco"/>
    <s v="Small Business"/>
    <s v="Retail"/>
    <s v="F. Müller"/>
    <s v="Phones"/>
    <s v="PHN-4356"/>
    <n v="157.78"/>
    <n v="361.1"/>
    <n v="361.1"/>
    <s v="Low"/>
    <n v="0.187"/>
    <n v="0.187"/>
    <n v="9"/>
    <n v="2642.1686999999997"/>
    <n v="1420.02"/>
    <n v="1222.1486999999997"/>
    <n v="0.46255513510549112"/>
    <d v="2023-01-13T00:00:00"/>
    <n v="16"/>
  </r>
  <r>
    <s v="ORD-2024-605629"/>
    <x v="277"/>
    <x v="277"/>
    <s v="Q3 -2024"/>
    <d v="2024-07-15T00:00:00"/>
    <d v="2024-07-15T00:00:00"/>
    <n v="0"/>
    <n v="1"/>
    <s v="Asia"/>
    <s v="Japan"/>
    <s v="Tokyo"/>
    <s v="Asia&gt;Japan&gt;Tokyo"/>
    <s v="Small Business"/>
    <s v="Marketplace"/>
    <s v="G. Dubois"/>
    <s v="Accessories"/>
    <s v="ACC-2735"/>
    <n v="801.77"/>
    <n v="1218.92"/>
    <n v="1218.92"/>
    <s v="Medium"/>
    <n v="0.254"/>
    <n v="0.254"/>
    <n v="16"/>
    <n v="14549.029120000001"/>
    <n v="12828.32"/>
    <n v="1720.7091200000013"/>
    <n v="0.11826968698788344"/>
    <d v="2023-03-03T00:00:00"/>
    <n v="16"/>
  </r>
  <r>
    <s v="ORD-2024-626750"/>
    <x v="187"/>
    <x v="187"/>
    <s v="Q3 -2024"/>
    <d v="2024-08-15T00:00:00"/>
    <d v="2024-08-15T00:00:00"/>
    <n v="3"/>
    <n v="1"/>
    <s v="Americas"/>
    <s v="USA"/>
    <s v="Chicago"/>
    <s v="Americas&gt;USA&gt;Chicago"/>
    <s v="Corporate"/>
    <s v="Marketplace"/>
    <s v="D. Smith"/>
    <s v="Printers"/>
    <s v="PRN-5591"/>
    <n v="850.7"/>
    <n v="1118.56"/>
    <n v="1118.56"/>
    <s v="Medium"/>
    <n v="0.18"/>
    <n v="0.18"/>
    <n v="19"/>
    <n v="17427.164800000002"/>
    <n v="16163.300000000001"/>
    <n v="1263.8648000000012"/>
    <n v="7.2522685962090688E-2"/>
    <d v="2023-01-13T00:00:00"/>
    <n v="18"/>
  </r>
  <r>
    <s v="ORD-2024-626925"/>
    <x v="269"/>
    <x v="269"/>
    <s v="Q2 -2024"/>
    <d v="2024-06-09T00:00:00"/>
    <d v="2024-06-09T00:00:00"/>
    <n v="2"/>
    <n v="1"/>
    <s v="Asia"/>
    <s v="China"/>
    <s v="Shanghai"/>
    <s v="Asia&gt;China&gt;Shanghai"/>
    <s v="Corporate"/>
    <s v="Retail"/>
    <s v="O. Wang"/>
    <s v="Monitors"/>
    <s v="MON-8688"/>
    <n v="1370.28"/>
    <n v="2209.66"/>
    <n v="2209.66"/>
    <s v="High"/>
    <n v="0.13300000000000001"/>
    <n v="0.13300000000000001"/>
    <n v="16"/>
    <n v="30652.403519999996"/>
    <n v="21924.48"/>
    <n v="8727.9235199999966"/>
    <n v="0.28473863442079589"/>
    <d v="2023-01-12T00:00:00"/>
    <n v="16"/>
  </r>
  <r>
    <s v="ORD-2024-629525"/>
    <x v="278"/>
    <x v="278"/>
    <s v="Q2 -2024"/>
    <d v="2024-05-08T00:00:00"/>
    <d v="2024-05-08T00:00:00"/>
    <n v="20"/>
    <n v="0"/>
    <s v="Europe"/>
    <s v="United Kingdom"/>
    <s v="London"/>
    <s v="Europe&gt;United Kingdom&gt;London"/>
    <s v="Non-Profit"/>
    <s v="Unspecified"/>
    <s v="D. Smith"/>
    <s v="Laptops"/>
    <s v="LAP-9932"/>
    <n v="645.33000000000004"/>
    <n v="1321.85"/>
    <n v="1321.85"/>
    <s v="Medium"/>
    <n v="0"/>
    <n v="0"/>
    <n v="10"/>
    <n v="13218.5"/>
    <n v="6453.3"/>
    <n v="6765.2"/>
    <n v="0.51179785906116426"/>
    <d v="2023-01-19T00:00:00"/>
    <n v="14"/>
  </r>
  <r>
    <s v="ORD-2024-635626"/>
    <x v="261"/>
    <x v="261"/>
    <s v="Q3 -2024"/>
    <d v="2024-09-19T00:00:00"/>
    <d v="2024-09-19T00:00:00"/>
    <n v="23"/>
    <n v="0"/>
    <s v="Europe"/>
    <s v="Germany"/>
    <s v="Berlin"/>
    <s v="Europe&gt;Germany&gt;Berlin"/>
    <s v="Small Business"/>
    <s v="Direct"/>
    <s v="D. Smith"/>
    <s v="Monitors"/>
    <s v="MON-9967"/>
    <n v="1024.01"/>
    <n v="1580.97"/>
    <n v="1580.97"/>
    <s v="High"/>
    <n v="3.6999999999999998E-2"/>
    <n v="3.6999999999999998E-2"/>
    <n v="27"/>
    <n v="41106.800970000004"/>
    <n v="27648.27"/>
    <n v="13458.530970000003"/>
    <n v="0.3274039976942531"/>
    <d v="2023-01-22T00:00:00"/>
    <n v="19"/>
  </r>
  <r>
    <s v="ORD-2024-638884"/>
    <x v="279"/>
    <x v="279"/>
    <s v="Q2 -2024"/>
    <d v="2024-05-26T00:00:00"/>
    <d v="2024-06-02T00:00:00"/>
    <n v="5"/>
    <n v="1"/>
    <s v="Africa"/>
    <s v="Nigeria"/>
    <s v="Abuja"/>
    <s v="Africa&gt;Nigeria&gt;Abuja"/>
    <s v="Enterprise"/>
    <s v="Online"/>
    <s v="F. Müller"/>
    <s v="Accessories"/>
    <s v="ACC-5177"/>
    <n v="1227.08"/>
    <n v="1896.62"/>
    <n v="1896.62"/>
    <s v="High"/>
    <n v="0"/>
    <n v="0"/>
    <n v="18"/>
    <n v="34139.159999999996"/>
    <n v="22087.439999999999"/>
    <n v="12051.719999999998"/>
    <n v="0.353017473189147"/>
    <d v="2023-01-15T00:00:00"/>
    <n v="16"/>
  </r>
  <r>
    <s v="ORD-2024-640340"/>
    <x v="280"/>
    <x v="280"/>
    <s v="Q4 -2024"/>
    <d v="2024-10-29T00:00:00"/>
    <d v="2024-10-29T00:00:00"/>
    <n v="7"/>
    <n v="1"/>
    <s v="Africa"/>
    <s v="Nigeria"/>
    <s v="Port Harcourt"/>
    <s v="Africa&gt;Nigeria&gt;Port Harcourt"/>
    <s v="Enterprise"/>
    <s v="Distributor"/>
    <s v="M. Rossi"/>
    <s v="Monitors"/>
    <s v="MON-8758"/>
    <n v="1023.06"/>
    <n v="1355.61"/>
    <n v="1355.61"/>
    <s v="Medium"/>
    <n v="0.153"/>
    <n v="0.153"/>
    <n v="23"/>
    <n v="26408.63841"/>
    <n v="23530.379999999997"/>
    <n v="2878.2584100000022"/>
    <n v="0.10898927711888809"/>
    <d v="2023-01-15T00:00:00"/>
    <n v="21"/>
  </r>
  <r>
    <s v="ORD-2024-641220"/>
    <x v="281"/>
    <x v="281"/>
    <s v="Q2 -2024"/>
    <d v="2024-05-16T00:00:00"/>
    <d v="2024-05-16T00:00:00"/>
    <n v="6"/>
    <n v="1"/>
    <s v="Europe"/>
    <s v="United Kingdom"/>
    <s v="Birmingham"/>
    <s v="Europe&gt;United Kingdom&gt;Birmingham"/>
    <s v="Non-Profit"/>
    <s v="Direct"/>
    <s v="G. Dubois"/>
    <s v="Laptops"/>
    <s v="LAP-1066"/>
    <n v="210.76"/>
    <n v="221.58"/>
    <n v="221.58"/>
    <s v="Low"/>
    <n v="8.8999999999999996E-2"/>
    <n v="8.8999999999999996E-2"/>
    <n v="5"/>
    <n v="1009.2969000000002"/>
    <n v="1053.8"/>
    <n v="-44.50309999999979"/>
    <n v="-4.4093170205912434E-2"/>
    <d v="2023-01-19T00:00:00"/>
    <n v="15"/>
  </r>
  <r>
    <s v="ORD-2024-647473"/>
    <x v="282"/>
    <x v="282"/>
    <s v="Q1 -2024"/>
    <d v="2024-03-04T00:00:00"/>
    <d v="2024-03-04T00:00:00"/>
    <n v="16"/>
    <n v="0"/>
    <s v="Asia"/>
    <s v="India"/>
    <s v="Delhi"/>
    <s v="Asia&gt;India&gt;Delhi"/>
    <s v="Small Business"/>
    <s v="Marketplace"/>
    <s v="F. Müller"/>
    <s v="Phones"/>
    <s v="PHN-1717"/>
    <n v="1231.8"/>
    <n v="2015.99"/>
    <n v="2015.99"/>
    <s v="High"/>
    <n v="0.26100000000000001"/>
    <n v="0.26100000000000001"/>
    <n v="6"/>
    <n v="8938.8996600000009"/>
    <n v="7390.7999999999993"/>
    <n v="1548.0996600000017"/>
    <n v="0.17318682599464391"/>
    <d v="2023-01-29T00:00:00"/>
    <n v="12"/>
  </r>
  <r>
    <s v="ORD-2024-647571"/>
    <x v="283"/>
    <x v="283"/>
    <s v="Q1 -2024"/>
    <d v="2024-02-28T00:00:00"/>
    <d v="2024-02-28T00:00:00"/>
    <n v="22"/>
    <n v="0"/>
    <s v="Africa"/>
    <s v="Kenya"/>
    <s v="Kisumu"/>
    <s v="Africa&gt;Kenya&gt;Kisumu"/>
    <s v="Non-Profit"/>
    <s v="Online"/>
    <s v="K. Singh"/>
    <s v="Monitors"/>
    <s v="MON-2462"/>
    <n v="834.93"/>
    <n v="1588.53"/>
    <n v="1588.53"/>
    <s v="High"/>
    <n v="0.126"/>
    <n v="0.126"/>
    <n v="6"/>
    <n v="8330.2513199999994"/>
    <n v="5009.58"/>
    <n v="3320.6713199999995"/>
    <n v="0.39862798761274343"/>
    <d v="2023-01-20T00:00:00"/>
    <n v="12"/>
  </r>
  <r>
    <s v="ORD-2024-651852"/>
    <x v="284"/>
    <x v="284"/>
    <s v="Q4 -2024"/>
    <d v="2025-01-08T00:00:00"/>
    <d v="2025-01-08T00:00:00"/>
    <n v="11"/>
    <n v="0"/>
    <s v="Asia"/>
    <s v="China"/>
    <s v="Shenzhen"/>
    <s v="Asia&gt;China&gt;Shenzhen"/>
    <s v="Enterprise"/>
    <s v="Online"/>
    <s v="K. Singh"/>
    <s v="Laptops"/>
    <s v="LAP-8825"/>
    <n v="1201.31"/>
    <n v="2764.65"/>
    <n v="2764.65"/>
    <s v="High"/>
    <n v="0"/>
    <n v="0"/>
    <n v="21"/>
    <n v="58057.65"/>
    <n v="25227.51"/>
    <n v="32830.14"/>
    <n v="0.56547483406579491"/>
    <d v="2023-01-12T00:00:00"/>
    <n v="23"/>
  </r>
  <r>
    <s v="ORD-2024-655710"/>
    <x v="212"/>
    <x v="212"/>
    <s v="Q4 -2024"/>
    <d v="2024-12-10T00:00:00"/>
    <d v="2024-12-10T00:00:00"/>
    <n v="10"/>
    <n v="0"/>
    <s v="Asia"/>
    <s v="India"/>
    <s v="Hyderabad"/>
    <s v="Asia&gt;India&gt;Hyderabad"/>
    <s v="Small Business"/>
    <s v="Retail"/>
    <s v="F. Müller"/>
    <s v="Accessories"/>
    <s v="ACC-1075"/>
    <n v="851.49"/>
    <n v="901.79"/>
    <n v="901.79"/>
    <s v="Medium"/>
    <n v="0.245"/>
    <n v="0.245"/>
    <n v="16"/>
    <n v="10893.6232"/>
    <n v="13623.84"/>
    <n v="-2730.2168000000001"/>
    <n v="-0.25062522816100341"/>
    <d v="2023-01-29T00:00:00"/>
    <n v="22"/>
  </r>
  <r>
    <s v="ORD-2024-664046"/>
    <x v="285"/>
    <x v="285"/>
    <s v="Q3 -2024"/>
    <d v="2024-09-08T00:00:00"/>
    <d v="2024-09-08T00:00:00"/>
    <n v="6"/>
    <n v="1"/>
    <s v="Americas"/>
    <s v="USA"/>
    <s v="Austin"/>
    <s v="Americas&gt;USA&gt;Austin"/>
    <s v="Consumer"/>
    <s v="Direct"/>
    <s v="H. Kim"/>
    <s v="Components"/>
    <s v="CMP-7563"/>
    <n v="462.94"/>
    <n v="1015.7"/>
    <n v="1015.7"/>
    <s v="Medium"/>
    <n v="0.14299999999999999"/>
    <n v="0.14299999999999999"/>
    <n v="14"/>
    <n v="12186.368600000002"/>
    <n v="6481.16"/>
    <n v="5705.2086000000018"/>
    <n v="0.46816314090483041"/>
    <d v="2023-01-13T00:00:00"/>
    <n v="19"/>
  </r>
  <r>
    <s v="ORD-2024-668926"/>
    <x v="222"/>
    <x v="222"/>
    <s v="Q4 -2024"/>
    <d v="2024-11-14T00:00:00"/>
    <d v="2024-11-14T00:00:00"/>
    <n v="22"/>
    <n v="0"/>
    <s v="Asia"/>
    <s v="Japan"/>
    <s v="Osaka"/>
    <s v="Asia&gt;Japan&gt;Osaka"/>
    <s v="Non-Profit"/>
    <s v="Direct"/>
    <s v="B. Chen"/>
    <s v="Phones"/>
    <s v="PHN-9789"/>
    <n v="1406.4"/>
    <n v="1564.76"/>
    <n v="1564.76"/>
    <s v="High"/>
    <n v="0.185"/>
    <n v="0.185"/>
    <n v="17"/>
    <n v="21679.749799999998"/>
    <n v="23908.800000000003"/>
    <n v="-2229.0502000000051"/>
    <n v="-0.10281715520536151"/>
    <d v="2023-03-03T00:00:00"/>
    <n v="19"/>
  </r>
  <r>
    <s v="ORD-2024-678110"/>
    <x v="286"/>
    <x v="286"/>
    <s v="Q3 -2024"/>
    <d v="2024-08-08T00:00:00"/>
    <d v="2024-08-08T00:00:00"/>
    <n v="15"/>
    <n v="0"/>
    <s v="Europe"/>
    <s v="France"/>
    <s v="Marseille"/>
    <s v="Europe&gt;France&gt;Marseille"/>
    <s v="Enterprise"/>
    <s v="Marketplace"/>
    <s v="H. Kim"/>
    <s v="Laptops"/>
    <s v="LAP-9901"/>
    <n v="501.5"/>
    <n v="1201.47"/>
    <n v="1201.47"/>
    <s v="Medium"/>
    <n v="0.126"/>
    <n v="0.126"/>
    <n v="5"/>
    <n v="5250.4239000000007"/>
    <n v="2507.5"/>
    <n v="2742.9239000000007"/>
    <n v="0.52241951359394057"/>
    <d v="2023-01-10T00:00:00"/>
    <n v="18"/>
  </r>
  <r>
    <s v="ORD-2024-686712"/>
    <x v="287"/>
    <x v="287"/>
    <s v="Q4 -2024"/>
    <d v="2024-10-23T00:00:00"/>
    <d v="2024-10-23T00:00:00"/>
    <n v="21"/>
    <n v="0"/>
    <s v="Africa"/>
    <s v="South Africa"/>
    <s v="Durban"/>
    <s v="Africa&gt;South Africa&gt;Durban"/>
    <s v="Corporate"/>
    <s v="Marketplace"/>
    <s v="A. Patel"/>
    <s v="Components"/>
    <s v="CMP-3978"/>
    <n v="1095.6099999999999"/>
    <n v="2366.5100000000002"/>
    <n v="2366.5100000000002"/>
    <s v="High"/>
    <n v="0.152"/>
    <n v="0.152"/>
    <n v="9"/>
    <n v="18061.204320000004"/>
    <n v="9860.49"/>
    <n v="8200.7143200000046"/>
    <n v="0.4540513564158607"/>
    <d v="2023-01-07T00:00:00"/>
    <n v="20"/>
  </r>
  <r>
    <s v="ORD-2024-687073"/>
    <x v="202"/>
    <x v="202"/>
    <s v="Q1 -2024"/>
    <d v="2024-03-29T00:00:00"/>
    <d v="2024-03-29T00:00:00"/>
    <n v="18"/>
    <n v="0"/>
    <s v="Americas"/>
    <s v="USA"/>
    <s v="New York"/>
    <s v="Americas&gt;USA&gt;New York"/>
    <s v="Corporate"/>
    <s v="Retail"/>
    <s v="M. Rossi"/>
    <s v="Monitors"/>
    <s v="MON-7099"/>
    <n v="710.98"/>
    <n v="1481.45"/>
    <n v="1481.45"/>
    <s v="Medium"/>
    <n v="0.21099999999999999"/>
    <n v="0.21099999999999999"/>
    <n v="9"/>
    <n v="10519.776450000001"/>
    <n v="6398.82"/>
    <n v="4120.9564500000015"/>
    <n v="0.39173422264120461"/>
    <d v="2023-01-13T00:00:00"/>
    <n v="13"/>
  </r>
  <r>
    <s v="ORD-2024-687100"/>
    <x v="288"/>
    <x v="288"/>
    <s v="Q3 -2024"/>
    <d v="2024-10-07T00:00:00"/>
    <d v="2024-10-07T00:00:00"/>
    <n v="27"/>
    <n v="0"/>
    <s v="Africa"/>
    <s v="Kenya"/>
    <s v="Kisumu"/>
    <s v="Africa&gt;Kenya&gt;Kisumu"/>
    <s v="Consumer"/>
    <s v="Retail"/>
    <s v="L. Okafor"/>
    <s v="Printers"/>
    <s v="PRN-6068"/>
    <n v="1248.3900000000001"/>
    <n v="1805.11"/>
    <n v="1805.11"/>
    <s v="High"/>
    <n v="0.20300000000000001"/>
    <n v="0.20300000000000001"/>
    <n v="11"/>
    <n v="15825.399369999997"/>
    <n v="13732.29"/>
    <n v="2093.1093699999965"/>
    <n v="0.13226265707820786"/>
    <d v="2023-01-20T00:00:00"/>
    <n v="19"/>
  </r>
  <r>
    <s v="ORD-2024-689872"/>
    <x v="289"/>
    <x v="289"/>
    <s v="Q3 -2024"/>
    <d v="2024-08-09T00:00:00"/>
    <d v="2024-08-09T00:00:00"/>
    <n v="6"/>
    <n v="1"/>
    <s v="Africa"/>
    <s v="Kenya"/>
    <s v="Mombasa"/>
    <s v="Africa&gt;Kenya&gt;Mombasa"/>
    <s v="Consumer"/>
    <s v="Marketplace"/>
    <s v="H. Kim"/>
    <s v="Laptops"/>
    <s v="LAP-1969"/>
    <n v="643.21"/>
    <n v="1112.81"/>
    <n v="1112.81"/>
    <s v="Medium"/>
    <n v="0.14099999999999999"/>
    <n v="0.14099999999999999"/>
    <n v="4"/>
    <n v="3823.6151599999998"/>
    <n v="2572.84"/>
    <n v="1250.7751599999997"/>
    <n v="0.32711847496702562"/>
    <d v="2023-01-20T00:00:00"/>
    <n v="18"/>
  </r>
  <r>
    <s v="ORD-2024-690270"/>
    <x v="290"/>
    <x v="290"/>
    <s v="Q2 -2024"/>
    <d v="2024-05-27T00:00:00"/>
    <d v="2024-05-27T00:00:00"/>
    <n v="10"/>
    <n v="0"/>
    <s v="Americas"/>
    <s v="USA"/>
    <s v="Austin"/>
    <s v="Americas&gt;USA&gt;Austin"/>
    <s v="Non-Profit"/>
    <s v="Online"/>
    <s v="C. Otieno"/>
    <s v="Phones"/>
    <s v="PHN-7974"/>
    <n v="1484.23"/>
    <n v="3472.81"/>
    <n v="3472.81"/>
    <s v="High"/>
    <n v="0.25600000000000001"/>
    <n v="0.25600000000000001"/>
    <n v="12"/>
    <n v="31005.24768"/>
    <n v="17810.760000000002"/>
    <n v="13194.487679999998"/>
    <n v="0.42555659661803413"/>
    <d v="2023-01-13T00:00:00"/>
    <n v="16"/>
  </r>
  <r>
    <s v="ORD-2024-692673"/>
    <x v="220"/>
    <x v="220"/>
    <s v="Q1 -2024"/>
    <d v="2024-03-25T00:00:00"/>
    <d v="2024-03-25T00:00:00"/>
    <n v="18"/>
    <n v="0"/>
    <s v="Europe"/>
    <s v="Germany"/>
    <s v="Munich"/>
    <s v="Europe&gt;Germany&gt;Munich"/>
    <s v="Corporate"/>
    <s v="Online"/>
    <s v="B. Chen"/>
    <s v="Components"/>
    <s v="CMP-7617"/>
    <n v="712.84"/>
    <n v="927.51"/>
    <n v="927.51"/>
    <s v="Medium"/>
    <n v="0.24299999999999999"/>
    <n v="0.24299999999999999"/>
    <n v="27"/>
    <n v="18957.37689"/>
    <n v="19246.68"/>
    <n v="-289.30311000000074"/>
    <n v="-1.5260714163076427E-2"/>
    <d v="2023-01-22T00:00:00"/>
    <n v="13"/>
  </r>
  <r>
    <s v="ORD-2024-704056"/>
    <x v="291"/>
    <x v="291"/>
    <s v="Q2 -2024"/>
    <d v="2024-06-25T00:00:00"/>
    <d v="2024-06-25T00:00:00"/>
    <n v="2"/>
    <n v="1"/>
    <s v="Europe"/>
    <s v="United Kingdom"/>
    <s v="Birmingham"/>
    <s v="Europe&gt;United Kingdom&gt;Birmingham"/>
    <s v="Small Business"/>
    <s v="Marketplace"/>
    <s v="L. Okafor"/>
    <s v="Accessories"/>
    <s v="ACC-7838"/>
    <n v="951.44"/>
    <n v="1646.43"/>
    <n v="1646.43"/>
    <s v="High"/>
    <n v="0.11"/>
    <n v="0.11"/>
    <n v="24"/>
    <n v="35167.7448"/>
    <n v="22834.560000000001"/>
    <n v="12333.184799999999"/>
    <n v="0.35069592520473475"/>
    <d v="2023-01-19T00:00:00"/>
    <n v="17"/>
  </r>
  <r>
    <s v="ORD-2024-713332"/>
    <x v="292"/>
    <x v="292"/>
    <s v="Q2 -2024"/>
    <d v="2024-06-23T00:00:00"/>
    <d v="2024-06-23T00:00:00"/>
    <n v="18"/>
    <n v="0"/>
    <s v="Africa"/>
    <s v="Kenya"/>
    <s v="Nairobi"/>
    <s v="Africa&gt;Kenya&gt;Nairobi"/>
    <s v="Consumer"/>
    <s v="Distributor"/>
    <s v="D. Smith"/>
    <s v="Laptops"/>
    <s v="LAP-1739"/>
    <n v="1208.74"/>
    <n v="1594.78"/>
    <n v="1594.78"/>
    <s v="High"/>
    <n v="5.8999999999999997E-2"/>
    <n v="5.8999999999999997E-2"/>
    <n v="39"/>
    <n v="58526.83122"/>
    <n v="47140.86"/>
    <n v="11385.971219999999"/>
    <n v="0.1945427589817838"/>
    <d v="2023-01-20T00:00:00"/>
    <n v="16"/>
  </r>
  <r>
    <s v="ORD-2024-719055"/>
    <x v="163"/>
    <x v="163"/>
    <s v="Q1 -2024"/>
    <d v="2024-01-01T00:00:00"/>
    <d v="2024-01-08T00:00:00"/>
    <n v="6"/>
    <n v="1"/>
    <s v="Americas"/>
    <s v="USA"/>
    <s v="Chicago"/>
    <s v="Americas&gt;USA&gt;Chicago"/>
    <s v="Education"/>
    <s v="Marketplace"/>
    <s v="B. Chen"/>
    <s v="Networking"/>
    <s v="NET-4554"/>
    <n v="404.77"/>
    <n v="433.88"/>
    <n v="433.88"/>
    <s v="Low"/>
    <n v="0.215"/>
    <n v="0.215"/>
    <n v="22"/>
    <n v="7493.1076000000012"/>
    <n v="8904.9399999999987"/>
    <n v="-1411.8323999999975"/>
    <n v="-0.18841747314558746"/>
    <d v="2023-01-13T00:00:00"/>
    <n v="11"/>
  </r>
  <r>
    <s v="ORD-2024-720756"/>
    <x v="293"/>
    <x v="293"/>
    <s v="Q4 -2024"/>
    <d v="2024-11-09T00:00:00"/>
    <d v="2024-11-09T00:00:00"/>
    <n v="29"/>
    <n v="0"/>
    <s v="Asia"/>
    <s v="China"/>
    <s v="Shanghai"/>
    <s v="Asia&gt;China&gt;Shanghai"/>
    <s v="Non-Profit"/>
    <s v="Online"/>
    <s v="F. Müller"/>
    <s v="Printers"/>
    <s v="PRN-5666"/>
    <n v="391.64"/>
    <n v="504.76"/>
    <n v="504.76"/>
    <s v="Low"/>
    <n v="4.0000000000000001E-3"/>
    <n v="4.0000000000000001E-3"/>
    <n v="13"/>
    <n v="6535.6324800000002"/>
    <n v="5091.32"/>
    <n v="1444.3124800000005"/>
    <n v="0.22099046793402319"/>
    <d v="2023-01-12T00:00:00"/>
    <n v="20"/>
  </r>
  <r>
    <s v="ORD-2024-728474"/>
    <x v="249"/>
    <x v="249"/>
    <s v="Q3 -2024"/>
    <d v="2024-09-13T00:00:00"/>
    <d v="2024-09-13T00:00:00"/>
    <n v="4"/>
    <n v="1"/>
    <s v="Europe"/>
    <s v="United Kingdom"/>
    <s v="London"/>
    <s v="Europe&gt;United Kingdom&gt;London"/>
    <s v="Consumer"/>
    <s v="Marketplace"/>
    <s v="F. Müller"/>
    <s v="Networking"/>
    <s v="NET-1145"/>
    <n v="1133.08"/>
    <n v="976.17"/>
    <n v="976.17"/>
    <s v="Medium"/>
    <n v="4.2000000000000003E-2"/>
    <n v="4.2000000000000003E-2"/>
    <n v="27"/>
    <n v="25249.613219999999"/>
    <n v="30593.159999999996"/>
    <n v="-5343.5467799999969"/>
    <n v="-0.21162885678452373"/>
    <d v="2023-01-19T00:00:00"/>
    <n v="19"/>
  </r>
  <r>
    <s v="ORD-2024-732543"/>
    <x v="294"/>
    <x v="294"/>
    <s v="Q4 -2024"/>
    <d v="2024-10-28T00:00:00"/>
    <d v="2024-10-28T00:00:00"/>
    <n v="4"/>
    <n v="1"/>
    <s v="Asia"/>
    <s v="China"/>
    <s v="Shanghai"/>
    <s v="Asia&gt;China&gt;Shanghai"/>
    <s v="Small Business"/>
    <s v="Distributor"/>
    <s v="I. Johnson"/>
    <s v="Networking"/>
    <s v="NET-3728"/>
    <n v="1331.77"/>
    <n v="2606.11"/>
    <n v="2606.11"/>
    <s v="High"/>
    <n v="0.02"/>
    <n v="0.02"/>
    <n v="6"/>
    <n v="15323.926799999999"/>
    <n v="7990.62"/>
    <n v="7333.3067999999994"/>
    <n v="0.47855271665745619"/>
    <d v="2023-01-12T00:00:00"/>
    <n v="21"/>
  </r>
  <r>
    <s v="ORD-2024-741404"/>
    <x v="295"/>
    <x v="295"/>
    <s v="Q4 -2024"/>
    <d v="2024-11-06T00:00:00"/>
    <d v="2024-11-06T00:00:00"/>
    <n v="18"/>
    <n v="0"/>
    <s v="Americas"/>
    <s v="USA"/>
    <s v="Chicago"/>
    <s v="Americas&gt;USA&gt;Chicago"/>
    <s v="Education"/>
    <s v="Unspecified"/>
    <s v="C. Otieno"/>
    <s v="Monitors"/>
    <s v="MON-8129"/>
    <n v="942.02"/>
    <n v="1028.46"/>
    <n v="1028.46"/>
    <s v="Medium"/>
    <n v="0"/>
    <n v="0"/>
    <n v="9"/>
    <n v="9256.14"/>
    <n v="8478.18"/>
    <n v="777.95999999999913"/>
    <n v="8.4047994088248354E-2"/>
    <d v="2023-01-13T00:00:00"/>
    <n v="21"/>
  </r>
  <r>
    <s v="ORD-2024-745424"/>
    <x v="296"/>
    <x v="296"/>
    <s v="Q3 -2024"/>
    <d v="2024-09-04T00:00:00"/>
    <d v="2024-09-04T00:00:00"/>
    <n v="13"/>
    <n v="0"/>
    <s v="Europe"/>
    <s v="Germany"/>
    <s v="Frankfurt"/>
    <s v="Europe&gt;Germany&gt;Frankfurt"/>
    <s v="Non-Profit"/>
    <s v="Retail"/>
    <s v="L. Okafor"/>
    <s v="Printers"/>
    <s v="PRN-4892"/>
    <n v="90.04"/>
    <n v="194.62"/>
    <n v="194.62"/>
    <s v="Low"/>
    <n v="4.2999999999999997E-2"/>
    <n v="4.2999999999999997E-2"/>
    <n v="32"/>
    <n v="5960.04288"/>
    <n v="2881.28"/>
    <n v="3078.7628799999998"/>
    <n v="0.51656723650954672"/>
    <d v="2023-01-22T00:00:00"/>
    <n v="19"/>
  </r>
  <r>
    <s v="ORD-2024-745822"/>
    <x v="297"/>
    <x v="297"/>
    <s v="Q1 -2024"/>
    <d v="2024-04-17T00:00:00"/>
    <d v="2024-04-17T00:00:00"/>
    <n v="17"/>
    <n v="0"/>
    <s v="Europe"/>
    <s v="Germany"/>
    <s v="Frankfurt"/>
    <s v="Europe&gt;Germany&gt;Frankfurt"/>
    <s v="Education"/>
    <s v="Direct"/>
    <s v="H. Kim"/>
    <s v="Monitors"/>
    <s v="MON-8651"/>
    <n v="1025.51"/>
    <n v="1436.54"/>
    <n v="1436.54"/>
    <s v="Medium"/>
    <n v="0.13900000000000001"/>
    <n v="0.13900000000000001"/>
    <n v="28"/>
    <n v="34632.106319999999"/>
    <n v="28714.28"/>
    <n v="5917.8263200000001"/>
    <n v="0.17087688127656453"/>
    <d v="2023-01-22T00:00:00"/>
    <n v="14"/>
  </r>
  <r>
    <s v="ORD-2024-749242"/>
    <x v="298"/>
    <x v="298"/>
    <s v="Q1 -2024"/>
    <d v="2024-02-11T00:00:00"/>
    <d v="2024-02-11T00:00:00"/>
    <n v="26"/>
    <n v="0"/>
    <s v="Europe"/>
    <s v="Germany"/>
    <s v="Frankfurt"/>
    <s v="Europe&gt;Germany&gt;Frankfurt"/>
    <s v="Non-Profit"/>
    <s v="Distributor"/>
    <s v="E. Garcia"/>
    <s v="Monitors"/>
    <s v="MON-4195"/>
    <n v="504.93"/>
    <n v="819.06"/>
    <n v="819.06"/>
    <s v="Medium"/>
    <n v="0.22600000000000001"/>
    <n v="0.22600000000000001"/>
    <n v="15"/>
    <n v="9509.2865999999995"/>
    <n v="7573.95"/>
    <n v="1935.3365999999996"/>
    <n v="0.20352069312959814"/>
    <d v="2023-01-22T00:00:00"/>
    <n v="11"/>
  </r>
  <r>
    <s v="ORD-2024-756884"/>
    <x v="299"/>
    <x v="299"/>
    <s v="Q4 -2024"/>
    <d v="2024-10-24T00:00:00"/>
    <d v="2024-10-24T00:00:00"/>
    <n v="11"/>
    <n v="0"/>
    <s v="Europe"/>
    <s v="France"/>
    <s v="Paris"/>
    <s v="Europe&gt;France&gt;Paris"/>
    <s v="Education"/>
    <s v="Distributor"/>
    <s v="F. Müller"/>
    <s v="Components"/>
    <s v="CMP-5006"/>
    <n v="816.7"/>
    <n v="1010.75"/>
    <n v="1010.75"/>
    <s v="Medium"/>
    <n v="4.7E-2"/>
    <n v="4.7E-2"/>
    <n v="43"/>
    <n v="41419.524249999995"/>
    <n v="35118.1"/>
    <n v="6301.4242499999964"/>
    <n v="0.15213656757537472"/>
    <d v="2023-01-10T00:00:00"/>
    <n v="21"/>
  </r>
  <r>
    <s v="ORD-2024-760799"/>
    <x v="300"/>
    <x v="300"/>
    <s v="Q1 -2024"/>
    <d v="2024-02-19T00:00:00"/>
    <d v="2024-02-19T00:00:00"/>
    <n v="16"/>
    <n v="0"/>
    <s v="Asia"/>
    <s v="China"/>
    <s v="Shenzhen"/>
    <s v="Asia&gt;China&gt;Shenzhen"/>
    <s v="Small Business"/>
    <s v="Online"/>
    <s v="H. Kim"/>
    <s v="Laptops"/>
    <s v="LAP-5531"/>
    <n v="993.75"/>
    <n v="1310.29"/>
    <n v="1310.29"/>
    <s v="Medium"/>
    <n v="0.215"/>
    <n v="0.215"/>
    <n v="19"/>
    <n v="19542.975350000001"/>
    <n v="18881.25"/>
    <n v="661.72535000000062"/>
    <n v="3.3860010471742245E-2"/>
    <d v="2023-01-12T00:00:00"/>
    <n v="12"/>
  </r>
  <r>
    <s v="ORD-2024-764468"/>
    <x v="213"/>
    <x v="213"/>
    <s v="Q1 -2024"/>
    <d v="2024-02-21T00:00:00"/>
    <d v="2024-02-21T00:00:00"/>
    <n v="20"/>
    <n v="0"/>
    <s v="Europe"/>
    <s v="France"/>
    <s v="Paris"/>
    <s v="Europe&gt;France&gt;Paris"/>
    <s v="Small Business"/>
    <s v="Marketplace"/>
    <s v="A. Patel"/>
    <s v="Networking"/>
    <s v="NET-8761"/>
    <n v="656.2"/>
    <n v="1467.17"/>
    <n v="1467.17"/>
    <s v="Medium"/>
    <n v="1.7999999999999999E-2"/>
    <n v="1.7999999999999999E-2"/>
    <n v="5"/>
    <n v="7203.8047000000006"/>
    <n v="3281"/>
    <n v="3922.8047000000006"/>
    <n v="0.54454623124360946"/>
    <d v="2023-01-10T00:00:00"/>
    <n v="12"/>
  </r>
  <r>
    <s v="ORD-2024-766980"/>
    <x v="301"/>
    <x v="301"/>
    <s v="Q4 -2024"/>
    <d v="2024-11-07T00:00:00"/>
    <d v="2024-11-07T00:00:00"/>
    <n v="3"/>
    <n v="1"/>
    <s v="Europe"/>
    <s v="France"/>
    <s v="Lyon"/>
    <s v="Europe&gt;France&gt;Lyon"/>
    <s v="Corporate"/>
    <s v="Online"/>
    <s v="O. Wang"/>
    <s v="Monitors"/>
    <s v="MON-1118"/>
    <n v="740.68"/>
    <n v="1837.19"/>
    <n v="1837.19"/>
    <s v="High"/>
    <n v="0.19700000000000001"/>
    <n v="0.19700000000000001"/>
    <n v="17"/>
    <n v="25079.480689999997"/>
    <n v="12591.56"/>
    <n v="12487.920689999997"/>
    <n v="0.4979337827748298"/>
    <d v="2023-01-10T00:00:00"/>
    <n v="21"/>
  </r>
  <r>
    <s v="ORD-2024-771210"/>
    <x v="302"/>
    <x v="302"/>
    <s v="Q3 -2024"/>
    <d v="2024-10-05T00:00:00"/>
    <d v="2024-10-05T00:00:00"/>
    <n v="21"/>
    <n v="0"/>
    <s v="Asia"/>
    <s v="China"/>
    <s v="Shanghai"/>
    <s v="Asia&gt;China&gt;Shanghai"/>
    <s v="Small Business"/>
    <s v="Online"/>
    <s v="H. Kim"/>
    <s v="Laptops"/>
    <s v="LAP-5150"/>
    <n v="1405.56"/>
    <n v="2968.87"/>
    <n v="2968.87"/>
    <s v="High"/>
    <n v="0.16900000000000001"/>
    <n v="0.16900000000000001"/>
    <n v="5"/>
    <n v="12335.654849999999"/>
    <n v="7027.7999999999993"/>
    <n v="5307.8548499999997"/>
    <n v="0.4302856163327235"/>
    <d v="2023-01-12T00:00:00"/>
    <n v="20"/>
  </r>
  <r>
    <s v="ORD-2024-776337"/>
    <x v="303"/>
    <x v="303"/>
    <s v="Q4 -2024"/>
    <d v="2024-11-21T00:00:00"/>
    <d v="2024-11-21T00:00:00"/>
    <n v="9"/>
    <n v="0"/>
    <s v="Asia"/>
    <s v="India"/>
    <s v="Mumbai"/>
    <s v="Asia&gt;India&gt;Mumbai"/>
    <s v="Corporate"/>
    <s v="Direct"/>
    <s v="H. Kim"/>
    <s v="Laptops"/>
    <s v="LAP-5078"/>
    <n v="903.41"/>
    <n v="1860.41"/>
    <n v="1860.41"/>
    <s v="High"/>
    <n v="0.108"/>
    <n v="0.108"/>
    <n v="5"/>
    <n v="8297.4286000000011"/>
    <n v="4517.05"/>
    <n v="3780.3786000000009"/>
    <n v="0.455608451996803"/>
    <d v="2023-01-29T00:00:00"/>
    <n v="21"/>
  </r>
  <r>
    <s v="ORD-2024-777623"/>
    <x v="304"/>
    <x v="304"/>
    <s v="Q3 -2024"/>
    <d v="2024-10-14T00:00:00"/>
    <d v="2024-10-14T00:00:00"/>
    <n v="25"/>
    <n v="0"/>
    <s v="Americas"/>
    <s v="Brazil"/>
    <s v="Rio de Janeiro"/>
    <s v="Americas&gt;Brazil&gt;Rio de Janeiro"/>
    <s v="Small Business"/>
    <s v="Retail"/>
    <s v="K. Singh"/>
    <s v="Printers"/>
    <s v="PRN-2749"/>
    <n v="386.96"/>
    <n v="937.46"/>
    <n v="937.46"/>
    <s v="Medium"/>
    <n v="0.26600000000000001"/>
    <n v="0.26600000000000001"/>
    <n v="41"/>
    <n v="28211.92124"/>
    <n v="15865.359999999999"/>
    <n v="12346.561240000001"/>
    <n v="0.43763631462626335"/>
    <d v="2023-01-29T00:00:00"/>
    <n v="19"/>
  </r>
  <r>
    <s v="ORD-2024-783321"/>
    <x v="305"/>
    <x v="305"/>
    <s v="Q4 -2024"/>
    <d v="2024-12-15T00:00:00"/>
    <d v="2024-12-15T00:00:00"/>
    <n v="25"/>
    <n v="0"/>
    <s v="Europe"/>
    <s v="France"/>
    <s v="Paris"/>
    <s v="Europe&gt;France&gt;Paris"/>
    <s v="Corporate"/>
    <s v="Online"/>
    <s v="G. Dubois"/>
    <s v="Printers"/>
    <s v="PRN-4911"/>
    <n v="1203.58"/>
    <n v="1856.16"/>
    <n v="1856.16"/>
    <s v="High"/>
    <n v="0.129"/>
    <n v="0.129"/>
    <n v="22"/>
    <n v="35567.737920000007"/>
    <n v="26478.76"/>
    <n v="9088.9779200000085"/>
    <n v="0.25553994860295032"/>
    <d v="2023-01-10T00:00:00"/>
    <n v="22"/>
  </r>
  <r>
    <s v="ORD-2024-787018"/>
    <x v="291"/>
    <x v="291"/>
    <s v="Q2 -2024"/>
    <d v="2024-06-28T00:00:00"/>
    <d v="2024-06-28T00:00:00"/>
    <n v="5"/>
    <n v="1"/>
    <s v="Africa"/>
    <s v="Nigeria"/>
    <s v="Port Harcourt"/>
    <s v="Africa&gt;Nigeria&gt;Port Harcourt"/>
    <s v="Non-Profit"/>
    <s v="Direct"/>
    <s v="M. Rossi"/>
    <s v="Accessories"/>
    <s v="ACC-7671"/>
    <n v="242.31"/>
    <n v="587.95000000000005"/>
    <n v="587.95000000000005"/>
    <s v="Low"/>
    <n v="0.22900000000000001"/>
    <n v="0.22900000000000001"/>
    <n v="6"/>
    <n v="2719.8567000000003"/>
    <n v="1453.8600000000001"/>
    <n v="1265.9967000000001"/>
    <n v="0.46546448568411714"/>
    <d v="2023-01-15T00:00:00"/>
    <n v="17"/>
  </r>
  <r>
    <s v="ORD-2024-788105"/>
    <x v="212"/>
    <x v="212"/>
    <s v="Q4 -2024"/>
    <d v="2024-12-30T00:00:00"/>
    <d v="2024-12-30T00:00:00"/>
    <n v="30"/>
    <n v="0"/>
    <s v="Europe"/>
    <s v="France"/>
    <s v="Marseille"/>
    <s v="Europe&gt;France&gt;Marseille"/>
    <s v="Consumer"/>
    <s v="Marketplace"/>
    <s v="F. Müller"/>
    <s v="Printers"/>
    <s v="PRN-4170"/>
    <n v="117.64"/>
    <n v="175.67"/>
    <n v="175.67"/>
    <s v="Low"/>
    <n v="0"/>
    <n v="0"/>
    <n v="10"/>
    <n v="1756.6999999999998"/>
    <n v="1176.4000000000001"/>
    <n v="580.29999999999973"/>
    <n v="0.33033528775545046"/>
    <d v="2023-01-10T00:00:00"/>
    <n v="22"/>
  </r>
  <r>
    <s v="ORD-2024-792137"/>
    <x v="306"/>
    <x v="306"/>
    <s v="Q1 -2024"/>
    <d v="2024-03-16T00:00:00"/>
    <d v="2024-03-16T00:00:00"/>
    <n v="14"/>
    <n v="0"/>
    <s v="Americas"/>
    <s v="Canada"/>
    <s v="Vancouver"/>
    <s v="Americas&gt;Canada&gt;Vancouver"/>
    <s v="Non-Profit"/>
    <s v="Direct"/>
    <s v="O. Wang"/>
    <s v="Printers"/>
    <s v="PRN-7976"/>
    <n v="248.24"/>
    <n v="464.05"/>
    <n v="464.05"/>
    <s v="Low"/>
    <n v="0.16900000000000001"/>
    <n v="0.16900000000000001"/>
    <n v="11"/>
    <n v="4241.88105"/>
    <n v="2730.6400000000003"/>
    <n v="1511.2410499999996"/>
    <n v="0.3562667203975462"/>
    <d v="2023-01-02T00:00:00"/>
    <n v="14"/>
  </r>
  <r>
    <s v="ORD-2024-792353"/>
    <x v="260"/>
    <x v="260"/>
    <s v="Q3 -2024"/>
    <d v="2024-09-07T00:00:00"/>
    <d v="2024-09-07T00:00:00"/>
    <n v="19"/>
    <n v="0"/>
    <s v="Europe"/>
    <s v="France"/>
    <s v="Lyon"/>
    <s v="Europe&gt;France&gt;Lyon"/>
    <s v="Corporate"/>
    <s v="Direct"/>
    <s v="J. Njeri"/>
    <s v="Components"/>
    <s v="CMP-5435"/>
    <n v="297.58999999999997"/>
    <n v="666.41"/>
    <n v="666.41"/>
    <s v="Low"/>
    <n v="0"/>
    <n v="0"/>
    <n v="10"/>
    <n v="6664.0999999999995"/>
    <n v="2975.8999999999996"/>
    <n v="3688.2"/>
    <n v="0.55344307558409989"/>
    <d v="2023-01-10T00:00:00"/>
    <n v="19"/>
  </r>
  <r>
    <s v="ORD-2024-792558"/>
    <x v="307"/>
    <x v="307"/>
    <s v="Q4 -2024"/>
    <d v="2024-11-08T00:00:00"/>
    <d v="2024-11-08T00:00:00"/>
    <n v="23"/>
    <n v="0"/>
    <s v="Asia"/>
    <s v="Japan"/>
    <s v="Osaka"/>
    <s v="Asia&gt;Japan&gt;Osaka"/>
    <s v="Small Business"/>
    <s v="Retail"/>
    <s v="J. Njeri"/>
    <s v="Networking"/>
    <s v="NET-6387"/>
    <n v="82.14"/>
    <n v="166.04"/>
    <n v="166.04"/>
    <s v="Low"/>
    <n v="0"/>
    <n v="0"/>
    <n v="10"/>
    <n v="1660.3999999999999"/>
    <n v="821.4"/>
    <n v="838.99999999999989"/>
    <n v="0.50529992772825827"/>
    <d v="2023-03-03T00:00:00"/>
    <n v="19"/>
  </r>
  <r>
    <s v="ORD-2024-798002"/>
    <x v="308"/>
    <x v="308"/>
    <s v="Q3 -2024"/>
    <d v="2024-07-24T00:00:00"/>
    <d v="2024-07-31T00:00:00"/>
    <n v="6"/>
    <n v="1"/>
    <s v="Africa"/>
    <s v="Kenya"/>
    <s v="Mombasa"/>
    <s v="Africa&gt;Kenya&gt;Mombasa"/>
    <s v="Non-Profit"/>
    <s v="Direct"/>
    <s v="J. Njeri"/>
    <s v="Laptops"/>
    <s v="LAP-9815"/>
    <n v="1494.4"/>
    <n v="3661.07"/>
    <n v="3661.07"/>
    <s v="High"/>
    <n v="7.1999999999999995E-2"/>
    <n v="7.1999999999999995E-2"/>
    <n v="7"/>
    <n v="23782.310720000001"/>
    <n v="10460.800000000001"/>
    <n v="13321.51072"/>
    <n v="0.56014366630897339"/>
    <d v="2023-01-20T00:00:00"/>
    <n v="18"/>
  </r>
  <r>
    <s v="ORD-2024-800947"/>
    <x v="309"/>
    <x v="309"/>
    <s v="Q4 -2024"/>
    <d v="2024-12-20T00:00:00"/>
    <d v="2024-12-20T00:00:00"/>
    <n v="5"/>
    <n v="1"/>
    <s v="Asia"/>
    <s v="China"/>
    <s v="Shenzhen"/>
    <s v="Asia&gt;China&gt;Shenzhen"/>
    <s v="Small Business"/>
    <s v="Direct"/>
    <s v="J. Njeri"/>
    <s v="Networking"/>
    <s v="NET-1846"/>
    <n v="717.55"/>
    <n v="546.42999999999995"/>
    <n v="546.42999999999995"/>
    <s v="Low"/>
    <n v="4.7E-2"/>
    <n v="4.7E-2"/>
    <n v="18"/>
    <n v="9373.460219999999"/>
    <n v="12915.9"/>
    <n v="-3542.4397800000006"/>
    <n v="-0.37792231437026369"/>
    <d v="2023-01-12T00:00:00"/>
    <n v="23"/>
  </r>
  <r>
    <s v="ORD-2024-805860"/>
    <x v="310"/>
    <x v="310"/>
    <s v="Q3 -2024"/>
    <d v="2024-10-02T00:00:00"/>
    <d v="2024-10-02T00:00:00"/>
    <n v="19"/>
    <n v="0"/>
    <s v="Africa"/>
    <s v="Kenya"/>
    <s v="Mombasa"/>
    <s v="Africa&gt;Kenya&gt;Mombasa"/>
    <s v="Small Business"/>
    <s v="Retail"/>
    <s v="M. Rossi"/>
    <s v="Phones"/>
    <s v="PHN-8804"/>
    <n v="1338.99"/>
    <n v="1765.76"/>
    <n v="1765.76"/>
    <s v="High"/>
    <n v="0.126"/>
    <n v="0.126"/>
    <n v="24"/>
    <n v="37038.581760000001"/>
    <n v="32135.760000000002"/>
    <n v="4902.8217599999989"/>
    <n v="0.1323706666677725"/>
    <d v="2023-01-20T00:00:00"/>
    <n v="19"/>
  </r>
  <r>
    <s v="ORD-2024-811752"/>
    <x v="311"/>
    <x v="311"/>
    <s v="Q1 -2024"/>
    <d v="2024-03-09T00:00:00"/>
    <d v="2024-03-09T00:00:00"/>
    <n v="13"/>
    <n v="0"/>
    <s v="Europe"/>
    <s v="France"/>
    <s v="Marseille"/>
    <s v="Europe&gt;France&gt;Marseille"/>
    <s v="Small Business"/>
    <s v="Distributor"/>
    <s v="E. Garcia"/>
    <s v="Monitors"/>
    <s v="MON-3350"/>
    <n v="322.44"/>
    <n v="395.61"/>
    <n v="395.61"/>
    <s v="Low"/>
    <n v="0"/>
    <n v="0"/>
    <n v="34"/>
    <n v="13450.74"/>
    <n v="10962.96"/>
    <n v="2487.7800000000007"/>
    <n v="0.18495487980586947"/>
    <d v="2023-01-10T00:00:00"/>
    <n v="13"/>
  </r>
  <r>
    <s v="ORD-2024-817997"/>
    <x v="312"/>
    <x v="312"/>
    <s v="Q3 -2024"/>
    <d v="2024-08-23T00:00:00"/>
    <d v="2024-08-23T00:00:00"/>
    <n v="26"/>
    <n v="0"/>
    <s v="Asia"/>
    <s v="India"/>
    <s v="Hyderabad"/>
    <s v="Asia&gt;India&gt;Hyderabad"/>
    <s v="Corporate"/>
    <s v="Retail"/>
    <s v="J. Njeri"/>
    <s v="Networking"/>
    <s v="NET-4675"/>
    <n v="1339.24"/>
    <n v="1558.89"/>
    <n v="1558.89"/>
    <s v="High"/>
    <n v="0.192"/>
    <n v="0.192"/>
    <n v="24"/>
    <n v="30229.994880000002"/>
    <n v="32141.760000000002"/>
    <n v="-1911.76512"/>
    <n v="-6.3240669659021781E-2"/>
    <d v="2023-01-29T00:00:00"/>
    <n v="17"/>
  </r>
  <r>
    <s v="ORD-2024-819778"/>
    <x v="172"/>
    <x v="172"/>
    <s v="Q2 -2024"/>
    <d v="2024-06-15T00:00:00"/>
    <d v="2024-06-15T00:00:00"/>
    <n v="13"/>
    <n v="0"/>
    <s v="Africa"/>
    <s v="Kenya"/>
    <s v="Mombasa"/>
    <s v="Africa&gt;Kenya&gt;Mombasa"/>
    <s v="Education"/>
    <s v="Online"/>
    <s v="O. Wang"/>
    <s v="Phones"/>
    <s v="PHN-6866"/>
    <n v="1295.18"/>
    <n v="3024.03"/>
    <n v="3024.03"/>
    <s v="High"/>
    <n v="0.192"/>
    <n v="0.192"/>
    <n v="8"/>
    <n v="19547.329920000004"/>
    <n v="10361.44"/>
    <n v="9185.8899200000033"/>
    <n v="0.46993067378483178"/>
    <d v="2023-01-20T00:00:00"/>
    <n v="16"/>
  </r>
  <r>
    <s v="ORD-2024-819979"/>
    <x v="279"/>
    <x v="279"/>
    <s v="Q2 -2024"/>
    <d v="2024-06-18T00:00:00"/>
    <d v="2024-06-18T00:00:00"/>
    <n v="21"/>
    <n v="0"/>
    <s v="Europe"/>
    <s v="Germany"/>
    <s v="Frankfurt"/>
    <s v="Europe&gt;Germany&gt;Frankfurt"/>
    <s v="Small Business"/>
    <s v="Online"/>
    <s v="E. Garcia"/>
    <s v="Phones"/>
    <s v="PHN-9399"/>
    <n v="986.85"/>
    <n v="2422.1"/>
    <n v="2422.1"/>
    <s v="High"/>
    <n v="7.5999999999999998E-2"/>
    <n v="7.5999999999999998E-2"/>
    <n v="10"/>
    <n v="22380.204000000002"/>
    <n v="9868.5"/>
    <n v="12511.704000000002"/>
    <n v="0.55905227673527913"/>
    <d v="2023-01-22T00:00:00"/>
    <n v="16"/>
  </r>
  <r>
    <s v="ORD-2024-833375"/>
    <x v="313"/>
    <x v="313"/>
    <s v="Q2 -2024"/>
    <d v="2024-05-10T00:00:00"/>
    <d v="2024-05-10T00:00:00"/>
    <n v="16"/>
    <n v="0"/>
    <s v="Africa"/>
    <s v="Kenya"/>
    <s v="Kisumu"/>
    <s v="Africa&gt;Kenya&gt;Kisumu"/>
    <s v="Non-Profit"/>
    <s v="Online"/>
    <s v="N. Brown"/>
    <s v="Monitors"/>
    <s v="MON-6190"/>
    <n v="513.30999999999995"/>
    <n v="1186.26"/>
    <n v="1186.26"/>
    <s v="Medium"/>
    <n v="9.4E-2"/>
    <n v="9.4E-2"/>
    <n v="15"/>
    <n v="16121.273400000002"/>
    <n v="7699.65"/>
    <n v="8421.6234000000022"/>
    <n v="0.52239194702820446"/>
    <d v="2023-01-20T00:00:00"/>
    <n v="15"/>
  </r>
  <r>
    <s v="ORD-2024-834983"/>
    <x v="314"/>
    <x v="314"/>
    <s v="Q1 -2024"/>
    <d v="2024-04-13T00:00:00"/>
    <d v="2024-04-13T00:00:00"/>
    <n v="28"/>
    <n v="0"/>
    <s v="Europe"/>
    <s v="France"/>
    <s v="Paris"/>
    <s v="Europe&gt;France&gt;Paris"/>
    <s v="Small Business"/>
    <s v="Online"/>
    <s v="K. Singh"/>
    <s v="Printers"/>
    <s v="PRN-8758"/>
    <n v="287.61"/>
    <n v="628.54"/>
    <n v="628.54"/>
    <s v="Low"/>
    <n v="0.13500000000000001"/>
    <n v="0.13500000000000001"/>
    <n v="21"/>
    <n v="11417.429099999999"/>
    <n v="6039.81"/>
    <n v="5377.619099999999"/>
    <n v="0.47100087531964613"/>
    <d v="2023-01-10T00:00:00"/>
    <n v="14"/>
  </r>
  <r>
    <s v="ORD-2024-836421"/>
    <x v="315"/>
    <x v="315"/>
    <s v="Q4 -2024"/>
    <d v="2025-01-12T00:00:00"/>
    <d v="2025-01-12T00:00:00"/>
    <n v="29"/>
    <n v="0"/>
    <s v="Asia"/>
    <s v="China"/>
    <s v="Shenzhen"/>
    <s v="Asia&gt;China&gt;Shenzhen"/>
    <s v="Education"/>
    <s v="Online"/>
    <s v="J. Njeri"/>
    <s v="Components"/>
    <s v="CMP-3720"/>
    <n v="1412.15"/>
    <n v="1631.04"/>
    <n v="1631.04"/>
    <s v="High"/>
    <n v="8.9999999999999993E-3"/>
    <n v="8.9999999999999993E-3"/>
    <n v="6"/>
    <n v="9698.1638399999993"/>
    <n v="8472.9000000000015"/>
    <n v="1225.2638399999978"/>
    <n v="0.12633977526203535"/>
    <d v="2023-01-12T00:00:00"/>
    <n v="23"/>
  </r>
  <r>
    <s v="ORD-2024-837651"/>
    <x v="180"/>
    <x v="180"/>
    <s v="Q4 -2024"/>
    <d v="2024-12-19T00:00:00"/>
    <d v="2024-12-19T00:00:00"/>
    <n v="9"/>
    <n v="0"/>
    <s v="Africa"/>
    <s v="Nigeria"/>
    <s v="Lagos"/>
    <s v="Africa&gt;Nigeria&gt;Lagos"/>
    <s v="Corporate"/>
    <s v="Retail"/>
    <s v="O. Wang"/>
    <s v="Monitors"/>
    <s v="MON-4789"/>
    <n v="488.68"/>
    <n v="984.36"/>
    <n v="984.36"/>
    <s v="Medium"/>
    <n v="5.8999999999999997E-2"/>
    <n v="5.8999999999999997E-2"/>
    <n v="14"/>
    <n v="12967.958640000001"/>
    <n v="6841.52"/>
    <n v="6126.4386400000003"/>
    <n v="0.47242891576649876"/>
    <d v="2023-01-15T00:00:00"/>
    <n v="22"/>
  </r>
  <r>
    <s v="ORD-2024-838925"/>
    <x v="185"/>
    <x v="185"/>
    <s v="Q1 -2024"/>
    <d v="2024-01-27T00:00:00"/>
    <d v="2024-02-03T00:00:00"/>
    <n v="6"/>
    <n v="1"/>
    <s v="Africa"/>
    <s v="South Africa"/>
    <s v="Cape Town"/>
    <s v="Africa&gt;South Africa&gt;Cape Town"/>
    <s v="Enterprise"/>
    <s v="Direct"/>
    <s v="O. Wang"/>
    <s v="Components"/>
    <s v="CMP-1470"/>
    <n v="109.75"/>
    <n v="124.25"/>
    <n v="124.25"/>
    <s v="Low"/>
    <n v="0.12"/>
    <n v="0.12"/>
    <n v="19"/>
    <n v="2077.46"/>
    <n v="2085.25"/>
    <n v="-7.7899999999999636"/>
    <n v="-3.7497713554051405E-3"/>
    <d v="2023-01-07T00:00:00"/>
    <n v="12"/>
  </r>
  <r>
    <s v="ORD-2024-851883"/>
    <x v="181"/>
    <x v="181"/>
    <s v="Q1 -2024"/>
    <d v="2024-01-22T00:00:00"/>
    <d v="2024-01-22T00:00:00"/>
    <n v="9"/>
    <n v="0"/>
    <s v="Asia"/>
    <s v="India"/>
    <s v="Mumbai"/>
    <s v="Asia&gt;India&gt;Mumbai"/>
    <s v="Enterprise"/>
    <s v="Marketplace"/>
    <s v="J. Njeri"/>
    <s v="Components"/>
    <s v="CMP-8141"/>
    <n v="313.60000000000002"/>
    <n v="334.28"/>
    <n v="334.28"/>
    <s v="Low"/>
    <n v="0.14000000000000001"/>
    <n v="0.14000000000000001"/>
    <n v="22"/>
    <n v="6324.5775999999996"/>
    <n v="6899.2000000000007"/>
    <n v="-574.62240000000111"/>
    <n v="-9.0855458868905517E-2"/>
    <d v="2023-01-29T00:00:00"/>
    <n v="11"/>
  </r>
  <r>
    <s v="ORD-2024-851993"/>
    <x v="232"/>
    <x v="232"/>
    <s v="Q2 -2024"/>
    <d v="2024-05-16T00:00:00"/>
    <d v="2024-05-16T00:00:00"/>
    <n v="15"/>
    <n v="0"/>
    <s v="Asia"/>
    <s v="India"/>
    <s v="Bengaluru"/>
    <s v="Asia&gt;India&gt;Bengaluru"/>
    <s v="Small Business"/>
    <s v="Retail"/>
    <s v="L. Okafor"/>
    <s v="Components"/>
    <s v="CMP-6811"/>
    <n v="901.19"/>
    <n v="2125.44"/>
    <n v="2125.44"/>
    <s v="High"/>
    <n v="7.0999999999999994E-2"/>
    <n v="7.0999999999999994E-2"/>
    <n v="12"/>
    <n v="23694.405119999999"/>
    <n v="10814.28"/>
    <n v="12880.125119999999"/>
    <n v="0.54359352154100415"/>
    <d v="2023-01-29T00:00:00"/>
    <n v="15"/>
  </r>
  <r>
    <s v="ORD-2024-853298"/>
    <x v="316"/>
    <x v="316"/>
    <s v="Q1 -2024"/>
    <d v="2024-03-26T00:00:00"/>
    <d v="2024-03-26T00:00:00"/>
    <n v="20"/>
    <n v="0"/>
    <s v="Africa"/>
    <s v="Nigeria"/>
    <s v="Port Harcourt"/>
    <s v="Africa&gt;Nigeria&gt;Port Harcourt"/>
    <s v="Consumer"/>
    <s v="Marketplace"/>
    <s v="I. Johnson"/>
    <s v="Phones"/>
    <s v="PHN-4741"/>
    <n v="65.64"/>
    <n v="151.88"/>
    <n v="151.88"/>
    <s v="Low"/>
    <n v="0.16700000000000001"/>
    <n v="0.16700000000000001"/>
    <n v="23"/>
    <n v="2909.8689199999999"/>
    <n v="1509.72"/>
    <n v="1400.1489199999999"/>
    <n v="0.48117250587356353"/>
    <d v="2023-01-15T00:00:00"/>
    <n v="13"/>
  </r>
  <r>
    <s v="ORD-2024-855073"/>
    <x v="317"/>
    <x v="317"/>
    <s v="Q3 -2024"/>
    <d v="2024-07-19T00:00:00"/>
    <d v="2024-07-19T00:00:00"/>
    <n v="0"/>
    <n v="1"/>
    <s v="Africa"/>
    <s v="Kenya"/>
    <s v="Kisumu"/>
    <s v="Africa&gt;Kenya&gt;Kisumu"/>
    <s v="Small Business"/>
    <s v="Retail"/>
    <s v="A. Patel"/>
    <s v="Phones"/>
    <s v="PHN-6854"/>
    <n v="857.24"/>
    <n v="758.23"/>
    <n v="758.23"/>
    <s v="Medium"/>
    <n v="0.125"/>
    <n v="0.125"/>
    <n v="6"/>
    <n v="3980.7075"/>
    <n v="5143.4400000000005"/>
    <n v="-1162.7325000000005"/>
    <n v="-0.29209192084572921"/>
    <d v="2023-01-20T00:00:00"/>
    <n v="17"/>
  </r>
  <r>
    <s v="ORD-2024-855600"/>
    <x v="318"/>
    <x v="318"/>
    <s v="Q2 -2024"/>
    <d v="2024-05-19T00:00:00"/>
    <d v="2024-05-19T00:00:00"/>
    <n v="20"/>
    <n v="0"/>
    <s v="Europe"/>
    <s v="Germany"/>
    <s v="Frankfurt"/>
    <s v="Europe&gt;Germany&gt;Frankfurt"/>
    <s v="Enterprise"/>
    <s v="Marketplace"/>
    <s v="C. Otieno"/>
    <s v="Laptops"/>
    <s v="LAP-5009"/>
    <n v="668.97"/>
    <n v="1667.44"/>
    <n v="1667.44"/>
    <s v="High"/>
    <n v="3.4000000000000002E-2"/>
    <n v="3.4000000000000002E-2"/>
    <n v="15"/>
    <n v="24161.205600000001"/>
    <n v="10034.550000000001"/>
    <n v="14126.6556"/>
    <n v="0.58468339013679016"/>
    <d v="2023-01-22T00:00:00"/>
    <n v="15"/>
  </r>
  <r>
    <s v="ORD-2024-862371"/>
    <x v="268"/>
    <x v="268"/>
    <s v="Q3 -2024"/>
    <d v="2024-09-07T00:00:00"/>
    <d v="2024-09-07T00:00:00"/>
    <n v="0"/>
    <n v="1"/>
    <s v="Asia"/>
    <s v="India"/>
    <s v="Mumbai"/>
    <s v="Asia&gt;India&gt;Mumbai"/>
    <s v="Education"/>
    <s v="Distributor"/>
    <s v="B. Chen"/>
    <s v="Networking"/>
    <s v="NET-9835"/>
    <n v="1066.6500000000001"/>
    <n v="2569.77"/>
    <n v="2569.77"/>
    <s v="High"/>
    <n v="0.13400000000000001"/>
    <n v="0.13400000000000001"/>
    <n v="9"/>
    <n v="20028.787380000002"/>
    <n v="9599.85"/>
    <n v="10428.937380000001"/>
    <n v="0.52069739331368348"/>
    <d v="2023-01-29T00:00:00"/>
    <n v="19"/>
  </r>
  <r>
    <s v="ORD-2024-866535"/>
    <x v="319"/>
    <x v="319"/>
    <s v="Q4 -2024"/>
    <d v="2024-12-12T00:00:00"/>
    <d v="2024-12-12T00:00:00"/>
    <n v="8"/>
    <n v="0"/>
    <s v="Europe"/>
    <s v="Germany"/>
    <s v="Frankfurt"/>
    <s v="Europe&gt;Germany&gt;Frankfurt"/>
    <s v="Enterprise"/>
    <s v="Marketplace"/>
    <s v="B. Chen"/>
    <s v="Printers"/>
    <s v="PRN-5492"/>
    <n v="72.06"/>
    <n v="122.74"/>
    <n v="122.74"/>
    <s v="Low"/>
    <n v="0.23799999999999999"/>
    <n v="0.23799999999999999"/>
    <n v="8"/>
    <n v="748.22303999999997"/>
    <n v="576.48"/>
    <n v="171.74303999999995"/>
    <n v="0.22953455162246802"/>
    <d v="2023-01-22T00:00:00"/>
    <n v="22"/>
  </r>
  <r>
    <s v="ORD-2024-868223"/>
    <x v="320"/>
    <x v="320"/>
    <s v="Q1 -2024"/>
    <d v="2024-03-19T00:00:00"/>
    <d v="2024-03-19T00:00:00"/>
    <n v="16"/>
    <n v="0"/>
    <s v="Asia"/>
    <s v="China"/>
    <s v="Beijing"/>
    <s v="Asia&gt;China&gt;Beijing"/>
    <s v="Consumer"/>
    <s v="Distributor"/>
    <s v="G. Dubois"/>
    <s v="Phones"/>
    <s v="PHN-4915"/>
    <n v="988.83"/>
    <n v="1206.04"/>
    <n v="1206.04"/>
    <s v="Medium"/>
    <n v="6.3E-2"/>
    <n v="6.3E-2"/>
    <n v="34"/>
    <n v="38422.022320000004"/>
    <n v="33620.22"/>
    <n v="4801.8023200000025"/>
    <n v="0.12497526236406606"/>
    <d v="2023-01-12T00:00:00"/>
    <n v="13"/>
  </r>
  <r>
    <s v="ORD-2024-872291"/>
    <x v="321"/>
    <x v="321"/>
    <s v="Q1 -2024"/>
    <d v="2024-01-12T00:00:00"/>
    <d v="2024-01-12T00:00:00"/>
    <n v="4"/>
    <n v="1"/>
    <s v="Asia"/>
    <s v="India"/>
    <s v="Bengaluru"/>
    <s v="Asia&gt;India&gt;Bengaluru"/>
    <s v="Corporate"/>
    <s v="Direct"/>
    <s v="E. Garcia"/>
    <s v="Printers"/>
    <s v="PRN-6585"/>
    <n v="802.32"/>
    <n v="602.34"/>
    <n v="602.34"/>
    <s v="Low"/>
    <n v="0.12"/>
    <n v="0.12"/>
    <n v="25"/>
    <n v="13251.48"/>
    <n v="20058"/>
    <n v="-6806.52"/>
    <n v="-0.51364224977134632"/>
    <d v="2023-01-29T00:00:00"/>
    <n v="11"/>
  </r>
  <r>
    <s v="ORD-2024-878493"/>
    <x v="322"/>
    <x v="322"/>
    <s v="Q2 -2024"/>
    <d v="2024-06-20T00:00:00"/>
    <d v="2024-06-20T00:00:00"/>
    <n v="1"/>
    <n v="1"/>
    <s v="Africa"/>
    <s v="Kenya"/>
    <s v="Kisumu"/>
    <s v="Africa&gt;Kenya&gt;Kisumu"/>
    <s v="Small Business"/>
    <s v="Direct"/>
    <s v="J. Njeri"/>
    <s v="Laptops"/>
    <s v="LAP-4607"/>
    <n v="231.63"/>
    <n v="537.39"/>
    <n v="537.39"/>
    <s v="Low"/>
    <n v="0.08"/>
    <n v="0.08"/>
    <n v="12"/>
    <n v="5932.7856000000002"/>
    <n v="2779.56"/>
    <n v="3153.2256000000002"/>
    <n v="0.53149158129024587"/>
    <d v="2023-01-20T00:00:00"/>
    <n v="16"/>
  </r>
  <r>
    <s v="ORD-2024-885858"/>
    <x v="323"/>
    <x v="323"/>
    <s v="Q1 -2024"/>
    <d v="2024-01-23T00:00:00"/>
    <d v="2024-01-23T00:00:00"/>
    <n v="13"/>
    <n v="0"/>
    <s v="Europe"/>
    <s v="France"/>
    <s v="Marseille"/>
    <s v="Europe&gt;France&gt;Marseille"/>
    <s v="Corporate"/>
    <s v="Direct"/>
    <s v="A. Patel"/>
    <s v="Printers"/>
    <s v="PRN-6776"/>
    <n v="720"/>
    <n v="907.59"/>
    <n v="907.59"/>
    <s v="Medium"/>
    <n v="0.154"/>
    <n v="0.154"/>
    <n v="10"/>
    <n v="7678.2113999999992"/>
    <n v="7200"/>
    <n v="478.21139999999923"/>
    <n v="6.2281614179052078E-2"/>
    <d v="2023-01-10T00:00:00"/>
    <n v="12"/>
  </r>
  <r>
    <s v="ORD-2024-886939"/>
    <x v="324"/>
    <x v="324"/>
    <s v="Q2 -2024"/>
    <d v="2024-06-24T00:00:00"/>
    <d v="2024-06-24T00:00:00"/>
    <n v="21"/>
    <n v="0"/>
    <s v="Americas"/>
    <s v="Canada"/>
    <s v="Toronto"/>
    <s v="Americas&gt;Canada&gt;Toronto"/>
    <s v="Small Business"/>
    <s v="Direct"/>
    <s v="G. Dubois"/>
    <s v="Monitors"/>
    <s v="MON-5386"/>
    <n v="1205.5"/>
    <n v="2210.17"/>
    <n v="2210.17"/>
    <s v="High"/>
    <n v="0.104"/>
    <n v="0.104"/>
    <n v="23"/>
    <n v="45547.183360000003"/>
    <n v="27726.5"/>
    <n v="17820.683360000003"/>
    <n v="0.39125763758314652"/>
    <d v="2023-01-02T00:00:00"/>
    <n v="17"/>
  </r>
  <r>
    <s v="ORD-2024-890180"/>
    <x v="325"/>
    <x v="325"/>
    <s v="Q1 -2024"/>
    <d v="2024-02-13T00:00:00"/>
    <d v="2024-02-13T00:00:00"/>
    <n v="24"/>
    <n v="0"/>
    <s v="Europe"/>
    <s v="France"/>
    <s v="Marseille"/>
    <s v="Europe&gt;France&gt;Marseille"/>
    <s v="Corporate"/>
    <s v="Retail"/>
    <s v="H. Kim"/>
    <s v="Printers"/>
    <s v="PRN-8392"/>
    <n v="643.53"/>
    <n v="1439.01"/>
    <n v="1439.01"/>
    <s v="Medium"/>
    <n v="0"/>
    <n v="0"/>
    <n v="15"/>
    <n v="21585.15"/>
    <n v="9652.9499999999989"/>
    <n v="11932.200000000003"/>
    <n v="0.55279671440782208"/>
    <d v="2023-01-10T00:00:00"/>
    <n v="12"/>
  </r>
  <r>
    <s v="ORD-2024-892173"/>
    <x v="326"/>
    <x v="326"/>
    <s v="Q1 -2024"/>
    <d v="2024-02-03T00:00:00"/>
    <d v="2024-02-03T00:00:00"/>
    <n v="16"/>
    <n v="0"/>
    <s v="Africa"/>
    <s v="South Africa"/>
    <s v="Cape Town"/>
    <s v="Africa&gt;South Africa&gt;Cape Town"/>
    <s v="Non-Profit"/>
    <s v="Distributor"/>
    <s v="L. Okafor"/>
    <s v="Printers"/>
    <s v="PRN-6660"/>
    <n v="666.23"/>
    <n v="1382.91"/>
    <n v="1382.91"/>
    <s v="Medium"/>
    <n v="0.17599999999999999"/>
    <n v="0.17599999999999999"/>
    <n v="13"/>
    <n v="14813.731920000002"/>
    <n v="8660.99"/>
    <n v="6152.7419200000022"/>
    <n v="0.41534043907553048"/>
    <d v="2023-01-07T00:00:00"/>
    <n v="12"/>
  </r>
  <r>
    <s v="ORD-2024-892879"/>
    <x v="243"/>
    <x v="243"/>
    <s v="Q3 -2024"/>
    <d v="2024-08-08T00:00:00"/>
    <d v="2024-08-08T00:00:00"/>
    <n v="30"/>
    <n v="0"/>
    <s v="Europe"/>
    <s v="France"/>
    <s v="Marseille"/>
    <s v="Europe&gt;France&gt;Marseille"/>
    <s v="Corporate"/>
    <s v="Direct"/>
    <s v="J. Njeri"/>
    <s v="Components"/>
    <s v="CMP-5825"/>
    <n v="1062.3800000000001"/>
    <n v="1503.96"/>
    <n v="1503.96"/>
    <s v="Medium"/>
    <n v="0.18"/>
    <n v="0.18"/>
    <n v="6"/>
    <n v="7399.4832000000006"/>
    <n v="6374.2800000000007"/>
    <n v="1025.2031999999999"/>
    <n v="0.13855064905073369"/>
    <d v="2023-01-10T00:00:00"/>
    <n v="17"/>
  </r>
  <r>
    <s v="ORD-2024-892908"/>
    <x v="179"/>
    <x v="179"/>
    <s v="Q3 -2024"/>
    <d v="2024-07-12T00:00:00"/>
    <d v="2024-07-19T00:00:00"/>
    <n v="6"/>
    <n v="1"/>
    <s v="Asia"/>
    <s v="Japan"/>
    <s v="Nagoya"/>
    <s v="Asia&gt;Japan&gt;Nagoya"/>
    <s v="Small Business"/>
    <s v="Marketplace"/>
    <s v="F. Müller"/>
    <s v="Networking"/>
    <s v="NET-9575"/>
    <n v="105.13"/>
    <n v="244.13"/>
    <n v="244.13"/>
    <s v="Low"/>
    <n v="7.0999999999999994E-2"/>
    <n v="7.0999999999999994E-2"/>
    <n v="14"/>
    <n v="3175.1547799999998"/>
    <n v="1471.82"/>
    <n v="1703.3347799999999"/>
    <n v="0.53645724319618837"/>
    <d v="2023-03-03T00:00:00"/>
    <n v="16"/>
  </r>
  <r>
    <s v="ORD-2024-897622"/>
    <x v="327"/>
    <x v="327"/>
    <s v="Q1 -2024"/>
    <d v="2024-04-24T00:00:00"/>
    <d v="2024-04-24T00:00:00"/>
    <n v="25"/>
    <n v="0"/>
    <s v="Americas"/>
    <s v="USA"/>
    <s v="Austin"/>
    <s v="Americas&gt;USA&gt;Austin"/>
    <s v="Non-Profit"/>
    <s v="Online"/>
    <s v="G. Dubois"/>
    <s v="Laptops"/>
    <s v="LAP-2846"/>
    <n v="160.82"/>
    <n v="258.52"/>
    <n v="258.52"/>
    <s v="Low"/>
    <n v="0.13"/>
    <n v="0.13"/>
    <n v="17"/>
    <n v="3823.5108"/>
    <n v="2733.94"/>
    <n v="1089.5708"/>
    <n v="0.28496605789631874"/>
    <d v="2023-01-13T00:00:00"/>
    <n v="14"/>
  </r>
  <r>
    <s v="ORD-2024-901115"/>
    <x v="308"/>
    <x v="308"/>
    <s v="Q3 -2024"/>
    <d v="2024-08-02T00:00:00"/>
    <d v="2024-08-02T00:00:00"/>
    <n v="8"/>
    <n v="0"/>
    <s v="Americas"/>
    <s v="Canada"/>
    <s v="Montreal"/>
    <s v="Americas&gt;Canada&gt;Montreal"/>
    <s v="Consumer"/>
    <s v="Direct"/>
    <s v="J. Njeri"/>
    <s v="Accessories"/>
    <s v="ACC-6626"/>
    <n v="986.81"/>
    <n v="2050.31"/>
    <n v="2050.31"/>
    <s v="High"/>
    <n v="0.10299999999999999"/>
    <n v="0.10299999999999999"/>
    <n v="43"/>
    <n v="79082.507010000001"/>
    <n v="42432.829999999994"/>
    <n v="36649.677010000007"/>
    <n v="0.46343595310358138"/>
    <d v="2023-01-02T00:00:00"/>
    <n v="18"/>
  </r>
  <r>
    <s v="ORD-2024-902741"/>
    <x v="328"/>
    <x v="328"/>
    <s v="Q4 -2024"/>
    <d v="2025-01-11T00:00:00"/>
    <d v="2025-01-11T00:00:00"/>
    <n v="19"/>
    <n v="0"/>
    <s v="Europe"/>
    <s v="Germany"/>
    <s v="Berlin"/>
    <s v="Europe&gt;Germany&gt;Berlin"/>
    <s v="Education"/>
    <s v="Retail"/>
    <s v="K. Singh"/>
    <s v="Phones"/>
    <s v="PHN-8057"/>
    <n v="501.81"/>
    <n v="921.62"/>
    <n v="921.62"/>
    <s v="Medium"/>
    <n v="0.01"/>
    <n v="0.01"/>
    <n v="9"/>
    <n v="8211.6342000000004"/>
    <n v="4516.29"/>
    <n v="3695.3442000000005"/>
    <n v="0.45001325071202031"/>
    <d v="2023-01-22T00:00:00"/>
    <n v="23"/>
  </r>
  <r>
    <s v="ORD-2024-906395"/>
    <x v="329"/>
    <x v="329"/>
    <s v="Q1 -2024"/>
    <d v="2024-04-09T00:00:00"/>
    <d v="2024-04-09T00:00:00"/>
    <n v="30"/>
    <n v="0"/>
    <s v="Europe"/>
    <s v="France"/>
    <s v="Lyon"/>
    <s v="Europe&gt;France&gt;Lyon"/>
    <s v="Corporate"/>
    <s v="Direct"/>
    <s v="I. Johnson"/>
    <s v="Components"/>
    <s v="CMP-8002"/>
    <n v="1176.56"/>
    <n v="1911.89"/>
    <n v="1911.89"/>
    <s v="High"/>
    <n v="0.11899999999999999"/>
    <n v="0.11899999999999999"/>
    <n v="20"/>
    <n v="33687.501800000005"/>
    <n v="23531.199999999997"/>
    <n v="10156.301800000008"/>
    <n v="0.30148575160892477"/>
    <d v="2023-01-10T00:00:00"/>
    <n v="14"/>
  </r>
  <r>
    <s v="ORD-2024-907733"/>
    <x v="199"/>
    <x v="199"/>
    <s v="Q1 -2024"/>
    <d v="2024-03-22T00:00:00"/>
    <d v="2024-03-22T00:00:00"/>
    <n v="13"/>
    <n v="0"/>
    <s v="Europe"/>
    <s v="United Kingdom"/>
    <s v="Manchester"/>
    <s v="Europe&gt;United Kingdom&gt;Manchester"/>
    <s v="Consumer"/>
    <s v="Online"/>
    <s v="E. Garcia"/>
    <s v="Laptops"/>
    <s v="LAP-8633"/>
    <n v="985.45"/>
    <n v="1802.44"/>
    <n v="1802.44"/>
    <s v="High"/>
    <n v="8.9999999999999993E-3"/>
    <n v="8.9999999999999993E-3"/>
    <n v="19"/>
    <n v="33938.142760000002"/>
    <n v="18723.55"/>
    <n v="15214.592760000003"/>
    <n v="0.44830363486867486"/>
    <d v="2023-01-19T00:00:00"/>
    <n v="13"/>
  </r>
  <r>
    <s v="ORD-2024-909942"/>
    <x v="330"/>
    <x v="330"/>
    <s v="Q2 -2024"/>
    <d v="2024-07-07T00:00:00"/>
    <d v="2024-07-07T00:00:00"/>
    <n v="28"/>
    <n v="0"/>
    <s v="Asia"/>
    <s v="China"/>
    <s v="Shenzhen"/>
    <s v="Asia&gt;China&gt;Shenzhen"/>
    <s v="Corporate"/>
    <s v="Online"/>
    <s v="J. Njeri"/>
    <s v="Components"/>
    <s v="CMP-6392"/>
    <n v="550.22"/>
    <n v="1025.05"/>
    <n v="1025.05"/>
    <s v="Medium"/>
    <n v="0"/>
    <n v="0"/>
    <n v="27"/>
    <n v="27676.35"/>
    <n v="14855.94"/>
    <n v="12820.409999999998"/>
    <n v="0.46322618408858102"/>
    <d v="2023-01-12T00:00:00"/>
    <n v="16"/>
  </r>
  <r>
    <s v="ORD-2024-915495"/>
    <x v="331"/>
    <x v="331"/>
    <s v="Q3 -2024"/>
    <d v="2024-08-20T00:00:00"/>
    <d v="2024-08-20T00:00:00"/>
    <n v="12"/>
    <n v="0"/>
    <s v="Asia"/>
    <s v="Japan"/>
    <s v="Osaka"/>
    <s v="Asia&gt;Japan&gt;Osaka"/>
    <s v="Small Business"/>
    <s v="Retail"/>
    <s v="H. Kim"/>
    <s v="Networking"/>
    <s v="NET-8957"/>
    <n v="1233.3599999999999"/>
    <n v="2120.4"/>
    <n v="2120.4"/>
    <s v="High"/>
    <n v="0.17899999999999999"/>
    <n v="0.17899999999999999"/>
    <n v="20"/>
    <n v="34816.968000000001"/>
    <n v="24667.199999999997"/>
    <n v="10149.768000000004"/>
    <n v="0.29151785991244278"/>
    <d v="2023-03-03T00:00:00"/>
    <n v="17"/>
  </r>
  <r>
    <s v="ORD-2024-919471"/>
    <x v="332"/>
    <x v="332"/>
    <s v="Q2 -2024"/>
    <d v="2024-07-26T00:00:00"/>
    <d v="2024-07-26T00:00:00"/>
    <n v="27"/>
    <n v="0"/>
    <s v="Africa"/>
    <s v="South Africa"/>
    <s v="Durban"/>
    <s v="Africa&gt;South Africa&gt;Durban"/>
    <s v="Enterprise"/>
    <s v="Distributor"/>
    <s v="B. Chen"/>
    <s v="Networking"/>
    <s v="NET-4241"/>
    <n v="5.36"/>
    <n v="4.37"/>
    <n v="4.37"/>
    <s v="Low"/>
    <n v="0.11799999999999999"/>
    <n v="0.11799999999999999"/>
    <n v="9"/>
    <n v="34.689059999999998"/>
    <n v="48.24"/>
    <n v="-13.550940000000004"/>
    <n v="-0.39064016148030545"/>
    <d v="2023-01-07T00:00:00"/>
    <n v="17"/>
  </r>
  <r>
    <s v="ORD-2024-921935"/>
    <x v="333"/>
    <x v="333"/>
    <s v="Q1 -2024"/>
    <d v="2024-01-27T00:00:00"/>
    <d v="2024-01-27T00:00:00"/>
    <n v="26"/>
    <n v="0"/>
    <s v="Europe"/>
    <s v="United Kingdom"/>
    <s v="Manchester"/>
    <s v="Europe&gt;United Kingdom&gt;Manchester"/>
    <s v="Education"/>
    <s v="Distributor"/>
    <s v="D. Smith"/>
    <s v="Accessories"/>
    <s v="ACC-3103"/>
    <n v="657.45"/>
    <n v="1325.96"/>
    <n v="1325.96"/>
    <s v="Medium"/>
    <n v="0.16700000000000001"/>
    <n v="0.16700000000000001"/>
    <n v="21"/>
    <n v="23195.01828"/>
    <n v="13806.45"/>
    <n v="9388.5682799999995"/>
    <n v="0.40476658249048808"/>
    <d v="2023-01-19T00:00:00"/>
    <n v="11"/>
  </r>
  <r>
    <s v="ORD-2024-925626"/>
    <x v="301"/>
    <x v="301"/>
    <s v="Q4 -2024"/>
    <d v="2024-11-05T00:00:00"/>
    <d v="2024-11-05T00:00:00"/>
    <n v="1"/>
    <n v="1"/>
    <s v="Europe"/>
    <s v="United Kingdom"/>
    <s v="London"/>
    <s v="Europe&gt;United Kingdom&gt;London"/>
    <s v="Corporate"/>
    <s v="Retail"/>
    <s v="M. Rossi"/>
    <s v="Printers"/>
    <s v="PRN-2293"/>
    <n v="840.68"/>
    <n v="1493.53"/>
    <n v="1493.53"/>
    <s v="Medium"/>
    <n v="0"/>
    <n v="0"/>
    <n v="27"/>
    <n v="40325.31"/>
    <n v="22698.359999999997"/>
    <n v="17626.95"/>
    <n v="0.43711877230454027"/>
    <d v="2023-01-19T00:00:00"/>
    <n v="21"/>
  </r>
  <r>
    <s v="ORD-2024-930679"/>
    <x v="206"/>
    <x v="206"/>
    <s v="Q4 -2024"/>
    <d v="2025-01-16T00:00:00"/>
    <d v="2025-01-16T00:00:00"/>
    <n v="30"/>
    <n v="0"/>
    <s v="Europe"/>
    <s v="United Kingdom"/>
    <s v="Manchester"/>
    <s v="Europe&gt;United Kingdom&gt;Manchester"/>
    <s v="Corporate"/>
    <s v="Retail"/>
    <s v="D. Smith"/>
    <s v="Monitors"/>
    <s v="MON-4215"/>
    <n v="722.87"/>
    <n v="-33.659999999999997"/>
    <n v="33.659999999999997"/>
    <s v="Low"/>
    <n v="0.10199999999999999"/>
    <n v="0.10199999999999999"/>
    <n v="28"/>
    <n v="846.34703999999988"/>
    <n v="20240.36"/>
    <n v="-19394.01296"/>
    <n v="-22.914965189693348"/>
    <d v="2023-01-19T00:00:00"/>
    <n v="22"/>
  </r>
  <r>
    <s v="ORD-2024-939873"/>
    <x v="334"/>
    <x v="334"/>
    <s v="Q2 -2024"/>
    <d v="2024-05-07T00:00:00"/>
    <d v="2024-05-07T00:00:00"/>
    <n v="25"/>
    <n v="0"/>
    <s v="Africa"/>
    <s v="South Africa"/>
    <s v="Johannesburg"/>
    <s v="Africa&gt;South Africa&gt;Johannesburg"/>
    <s v="Education"/>
    <s v="Distributor"/>
    <s v="A. Patel"/>
    <s v="Laptops"/>
    <s v="LAP-8489"/>
    <n v="1376.51"/>
    <n v="1455.91"/>
    <n v="1455.91"/>
    <s v="Medium"/>
    <n v="0.185"/>
    <n v="0.185"/>
    <n v="17"/>
    <n v="20171.63305"/>
    <n v="23400.67"/>
    <n v="-3229.0369499999979"/>
    <n v="-0.1600781127634085"/>
    <d v="2023-01-07T00:00:00"/>
    <n v="15"/>
  </r>
  <r>
    <s v="ORD-2024-942981"/>
    <x v="335"/>
    <x v="335"/>
    <s v="Q4 -2024"/>
    <d v="2024-11-08T00:00:00"/>
    <d v="2024-11-08T00:00:00"/>
    <n v="30"/>
    <n v="0"/>
    <s v="Europe"/>
    <s v="United Kingdom"/>
    <s v="Manchester"/>
    <s v="Europe&gt;United Kingdom&gt;Manchester"/>
    <s v="Small Business"/>
    <s v="Distributor"/>
    <s v="J. Njeri"/>
    <s v="Components"/>
    <s v="CMP-1072"/>
    <n v="343.85"/>
    <n v="538.04"/>
    <n v="538.04"/>
    <s v="Low"/>
    <n v="0.13900000000000001"/>
    <n v="0.13900000000000001"/>
    <n v="5"/>
    <n v="2316.2621999999997"/>
    <n v="1719.25"/>
    <n v="597.01219999999967"/>
    <n v="0.25774810813732563"/>
    <d v="2023-01-19T00:00:00"/>
    <n v="20"/>
  </r>
  <r>
    <s v="ORD-2024-947056"/>
    <x v="336"/>
    <x v="336"/>
    <s v="Q3 -2024"/>
    <d v="2024-08-15T00:00:00"/>
    <d v="2024-08-15T00:00:00"/>
    <n v="15"/>
    <n v="0"/>
    <s v="Asia"/>
    <s v="Japan"/>
    <s v="Tokyo"/>
    <s v="Asia&gt;Japan&gt;Tokyo"/>
    <s v="Corporate"/>
    <s v="Marketplace"/>
    <s v="F. Müller"/>
    <s v="Monitors"/>
    <s v="MON-1564"/>
    <n v="1252.52"/>
    <n v="1417.24"/>
    <n v="1417.24"/>
    <s v="Medium"/>
    <n v="0.192"/>
    <n v="0.192"/>
    <n v="5"/>
    <n v="5725.6496000000006"/>
    <n v="6262.6"/>
    <n v="-536.95039999999972"/>
    <n v="-9.3779821943696953E-2"/>
    <d v="2023-03-03T00:00:00"/>
    <n v="16"/>
  </r>
  <r>
    <s v="ORD-2024-948800"/>
    <x v="337"/>
    <x v="337"/>
    <s v="Q1 -2024"/>
    <d v="2024-04-11T00:00:00"/>
    <d v="2024-04-11T00:00:00"/>
    <n v="15"/>
    <n v="0"/>
    <s v="Americas"/>
    <s v="USA"/>
    <s v="San Francisco"/>
    <s v="Americas&gt;USA&gt;San Francisco"/>
    <s v="Small Business"/>
    <s v="Direct"/>
    <s v="O. Wang"/>
    <s v="Networking"/>
    <s v="NET-5523"/>
    <n v="1338.35"/>
    <n v="2247.14"/>
    <n v="2247.14"/>
    <s v="High"/>
    <n v="0.115"/>
    <n v="0.115"/>
    <n v="40"/>
    <n v="79548.755999999994"/>
    <n v="53534"/>
    <n v="26014.755999999994"/>
    <n v="0.32702907384246205"/>
    <d v="2023-01-13T00:00:00"/>
    <n v="14"/>
  </r>
  <r>
    <s v="ORD-2024-960952"/>
    <x v="300"/>
    <x v="300"/>
    <s v="Q1 -2024"/>
    <d v="2024-02-21T00:00:00"/>
    <d v="2024-02-21T00:00:00"/>
    <n v="18"/>
    <n v="0"/>
    <s v="Europe"/>
    <s v="Germany"/>
    <s v="Frankfurt"/>
    <s v="Europe&gt;Germany&gt;Frankfurt"/>
    <s v="Corporate"/>
    <s v="Retail"/>
    <s v="H. Kim"/>
    <s v="Components"/>
    <s v="CMP-9264"/>
    <n v="39.229999999999997"/>
    <n v="30.09"/>
    <n v="30.09"/>
    <s v="Low"/>
    <n v="0.17699999999999999"/>
    <n v="0.17699999999999999"/>
    <n v="13"/>
    <n v="321.93290999999999"/>
    <n v="509.98999999999995"/>
    <n v="-188.05708999999996"/>
    <n v="-0.58414993981199359"/>
    <d v="2023-01-22T00:00:00"/>
    <n v="12"/>
  </r>
  <r>
    <s v="ORD-2024-961501"/>
    <x v="306"/>
    <x v="306"/>
    <s v="Q1 -2024"/>
    <d v="2024-03-23T00:00:00"/>
    <d v="2024-03-23T00:00:00"/>
    <n v="21"/>
    <n v="0"/>
    <s v="Americas"/>
    <s v="USA"/>
    <s v="Chicago"/>
    <s v="Americas&gt;USA&gt;Chicago"/>
    <s v="Small Business"/>
    <s v="Online"/>
    <s v="F. Müller"/>
    <s v="Components"/>
    <s v="CMP-3223"/>
    <n v="225.01"/>
    <n v="333.48"/>
    <n v="333.48"/>
    <s v="Low"/>
    <n v="0.11899999999999999"/>
    <n v="0.11899999999999999"/>
    <n v="12"/>
    <n v="3525.5505600000001"/>
    <n v="2700.12"/>
    <n v="825.43056000000024"/>
    <n v="0.23412813004729685"/>
    <d v="2023-01-13T00:00:00"/>
    <n v="13"/>
  </r>
  <r>
    <s v="ORD-2024-961756"/>
    <x v="338"/>
    <x v="338"/>
    <s v="Q4 -2024"/>
    <d v="2024-12-07T00:00:00"/>
    <d v="2024-12-07T00:00:00"/>
    <n v="12"/>
    <n v="0"/>
    <s v="Asia"/>
    <s v="China"/>
    <s v="Shanghai"/>
    <s v="Asia&gt;China&gt;Shanghai"/>
    <s v="Corporate"/>
    <s v="Distributor"/>
    <s v="A. Patel"/>
    <s v="Accessories"/>
    <s v="ACC-7047"/>
    <n v="769.9"/>
    <n v="814.36"/>
    <n v="814.36"/>
    <s v="Medium"/>
    <n v="0"/>
    <n v="0"/>
    <n v="5"/>
    <n v="4071.8"/>
    <n v="3849.5"/>
    <n v="222.30000000000018"/>
    <n v="5.4595019401738831E-2"/>
    <d v="2023-01-12T00:00:00"/>
    <n v="22"/>
  </r>
  <r>
    <s v="ORD-2024-964950"/>
    <x v="339"/>
    <x v="339"/>
    <s v="Q4 -2024"/>
    <d v="2024-10-11T00:00:00"/>
    <d v="2024-10-11T00:00:00"/>
    <n v="1"/>
    <n v="1"/>
    <s v="Europe"/>
    <s v="United Kingdom"/>
    <s v="Manchester"/>
    <s v="Europe&gt;United Kingdom&gt;Manchester"/>
    <s v="Non-Profit"/>
    <s v="Distributor"/>
    <s v="L. Okafor"/>
    <s v="Components"/>
    <s v="CMP-8127"/>
    <n v="1389.46"/>
    <n v="1784.7"/>
    <n v="1784.7"/>
    <s v="High"/>
    <n v="0.14599999999999999"/>
    <n v="0.14599999999999999"/>
    <n v="33"/>
    <n v="50296.415399999998"/>
    <n v="45852.18"/>
    <n v="4444.2353999999978"/>
    <n v="8.8360877503011831E-2"/>
    <d v="2023-01-19T00:00:00"/>
    <n v="20"/>
  </r>
  <r>
    <s v="ORD-2024-966651"/>
    <x v="340"/>
    <x v="340"/>
    <s v="Q4 -2024"/>
    <d v="2024-11-08T00:00:00"/>
    <d v="2024-11-08T00:00:00"/>
    <n v="25"/>
    <n v="0"/>
    <s v="Africa"/>
    <s v="Nigeria"/>
    <s v="Lagos"/>
    <s v="Africa&gt;Nigeria&gt;Lagos"/>
    <s v="Enterprise"/>
    <s v="Online"/>
    <s v="O. Wang"/>
    <s v="Networking"/>
    <s v="NET-5268"/>
    <n v="859.35"/>
    <n v="1825.61"/>
    <n v="1825.61"/>
    <s v="High"/>
    <n v="0.187"/>
    <n v="0.187"/>
    <n v="24"/>
    <n v="35621.302319999995"/>
    <n v="20624.400000000001"/>
    <n v="14996.902319999994"/>
    <n v="0.42100937762681989"/>
    <d v="2023-01-15T00:00:00"/>
    <n v="20"/>
  </r>
  <r>
    <s v="ORD-2024-968374"/>
    <x v="341"/>
    <x v="341"/>
    <s v="Q1 -2024"/>
    <d v="2024-03-03T00:00:00"/>
    <d v="2024-03-03T00:00:00"/>
    <n v="21"/>
    <n v="0"/>
    <s v="Africa"/>
    <s v="Kenya"/>
    <s v="Kisumu"/>
    <s v="Africa&gt;Kenya&gt;Kisumu"/>
    <s v="Enterprise"/>
    <s v="Online"/>
    <s v="B. Chen"/>
    <s v="Phones"/>
    <s v="PHN-5082"/>
    <n v="516.86"/>
    <n v="852.54"/>
    <n v="852.54"/>
    <s v="Medium"/>
    <n v="5.0999999999999997E-2"/>
    <n v="5.0999999999999997E-2"/>
    <n v="14"/>
    <n v="11326.846439999999"/>
    <n v="7236.04"/>
    <n v="4090.8064399999994"/>
    <n v="0.36116022775355994"/>
    <d v="2023-01-20T00:00:00"/>
    <n v="12"/>
  </r>
  <r>
    <s v="ORD-2024-970848"/>
    <x v="211"/>
    <x v="211"/>
    <s v="Q2 -2024"/>
    <d v="2024-06-03T00:00:00"/>
    <d v="2024-06-03T00:00:00"/>
    <n v="11"/>
    <n v="0"/>
    <s v="Africa"/>
    <s v="South Africa"/>
    <s v="Johannesburg"/>
    <s v="Africa&gt;South Africa&gt;Johannesburg"/>
    <s v="Small Business"/>
    <s v="Distributor"/>
    <s v="F. Müller"/>
    <s v="Printers"/>
    <s v="PRN-3785"/>
    <n v="180.89"/>
    <n v="249.57"/>
    <n v="249.57"/>
    <s v="Low"/>
    <n v="2.1999999999999999E-2"/>
    <n v="2.1999999999999999E-2"/>
    <n v="8"/>
    <n v="1952.6356799999999"/>
    <n v="1447.12"/>
    <n v="505.51567999999997"/>
    <n v="0.25888888806948362"/>
    <d v="2023-01-07T00:00:00"/>
    <n v="16"/>
  </r>
  <r>
    <s v="ORD-2024-972318"/>
    <x v="342"/>
    <x v="342"/>
    <s v="Q4 -2024"/>
    <d v="2025-01-13T00:00:00"/>
    <d v="2025-01-13T00:00:00"/>
    <n v="20"/>
    <n v="0"/>
    <s v="Asia"/>
    <s v="India"/>
    <s v="Bengaluru"/>
    <s v="Asia&gt;India&gt;Bengaluru"/>
    <s v="Corporate"/>
    <s v="Marketplace"/>
    <s v="D. Smith"/>
    <s v="Networking"/>
    <s v="NET-9832"/>
    <n v="126.15"/>
    <n v="284.23"/>
    <n v="284.23"/>
    <s v="Low"/>
    <n v="0.113"/>
    <n v="0.113"/>
    <n v="22"/>
    <n v="5546.4642200000008"/>
    <n v="2775.3"/>
    <n v="2771.1642200000006"/>
    <n v="0.49962716968541088"/>
    <d v="2023-01-29T00:00:00"/>
    <n v="22"/>
  </r>
  <r>
    <s v="ORD-2024-972999"/>
    <x v="272"/>
    <x v="272"/>
    <s v="Q3 -2024"/>
    <d v="2024-10-04T00:00:00"/>
    <d v="2024-10-04T00:00:00"/>
    <n v="28"/>
    <n v="0"/>
    <s v="Africa"/>
    <s v="South Africa"/>
    <s v="Cape Town"/>
    <s v="Africa&gt;South Africa&gt;Cape Town"/>
    <s v="Corporate"/>
    <s v="Marketplace"/>
    <s v="D. Smith"/>
    <s v="Monitors"/>
    <s v="MON-3504"/>
    <n v="1174.17"/>
    <n v="1641.61"/>
    <n v="1641.61"/>
    <s v="High"/>
    <n v="0.122"/>
    <n v="0.122"/>
    <n v="9"/>
    <n v="12972.00222"/>
    <n v="10567.53"/>
    <n v="2404.4722199999997"/>
    <n v="0.18535860380079394"/>
    <d v="2023-01-07T00:00:00"/>
    <n v="19"/>
  </r>
  <r>
    <s v="ORD-2024-973420"/>
    <x v="343"/>
    <x v="343"/>
    <s v="Q2 -2024"/>
    <d v="2024-05-24T00:00:00"/>
    <d v="2024-05-24T00:00:00"/>
    <n v="12"/>
    <n v="0"/>
    <s v="Europe"/>
    <s v="United Kingdom"/>
    <s v="Manchester"/>
    <s v="Europe&gt;United Kingdom&gt;Manchester"/>
    <s v="Education"/>
    <s v="Marketplace"/>
    <s v="K. Singh"/>
    <s v="Printers"/>
    <s v="PRN-5813"/>
    <n v="111.02"/>
    <n v="172.88"/>
    <n v="172.88"/>
    <s v="Low"/>
    <n v="0.19700000000000001"/>
    <n v="0.19700000000000001"/>
    <n v="29"/>
    <n v="4025.8565599999993"/>
    <n v="3219.58"/>
    <n v="806.27655999999934"/>
    <n v="0.20027453735212053"/>
    <d v="2023-01-19T00:00:00"/>
    <n v="15"/>
  </r>
  <r>
    <s v="ORD-2024-979401"/>
    <x v="344"/>
    <x v="344"/>
    <s v="Q1 -2024"/>
    <d v="2024-02-09T00:00:00"/>
    <d v="2024-02-09T00:00:00"/>
    <n v="1"/>
    <n v="1"/>
    <s v="Africa"/>
    <s v="Kenya"/>
    <s v="Mombasa"/>
    <s v="Africa&gt;Kenya&gt;Mombasa"/>
    <s v="Corporate"/>
    <s v="Direct"/>
    <s v="F. Müller"/>
    <s v="Components"/>
    <s v="CMP-5911"/>
    <n v="1233.52"/>
    <n v="1543.76"/>
    <n v="1543.76"/>
    <s v="Medium"/>
    <n v="0.126"/>
    <n v="0.126"/>
    <n v="13"/>
    <n v="17540.201120000002"/>
    <n v="16035.76"/>
    <n v="1504.4411200000013"/>
    <n v="8.5771030201277493E-2"/>
    <d v="2023-01-20T00:00:00"/>
    <n v="12"/>
  </r>
  <r>
    <s v="ORD-2024-988736"/>
    <x v="249"/>
    <x v="249"/>
    <s v="Q3 -2024"/>
    <d v="2024-10-01T00:00:00"/>
    <d v="2024-10-01T00:00:00"/>
    <n v="22"/>
    <n v="0"/>
    <s v="Asia"/>
    <s v="China"/>
    <s v="Shenzhen"/>
    <s v="Asia&gt;China&gt;Shenzhen"/>
    <s v="Consumer"/>
    <s v="Direct"/>
    <s v="L. Okafor"/>
    <s v="Printers"/>
    <s v="PRN-3014"/>
    <n v="1166.18"/>
    <n v="1335.02"/>
    <n v="1335.02"/>
    <s v="Medium"/>
    <n v="0.128"/>
    <n v="0.128"/>
    <n v="6"/>
    <n v="6984.8246399999998"/>
    <n v="6997.08"/>
    <n v="-12.25536000000011"/>
    <n v="-1.7545694604582242E-3"/>
    <d v="2023-01-12T00:00:00"/>
    <n v="19"/>
  </r>
  <r>
    <s v="ORD-2024-993481"/>
    <x v="345"/>
    <x v="345"/>
    <s v="Q3 -2024"/>
    <d v="2024-09-12T00:00:00"/>
    <d v="2024-09-12T00:00:00"/>
    <n v="25"/>
    <n v="0"/>
    <s v="Asia"/>
    <s v="India"/>
    <s v="Mumbai"/>
    <s v="Asia&gt;India&gt;Mumbai"/>
    <s v="Consumer"/>
    <s v="Marketplace"/>
    <s v="C. Otieno"/>
    <s v="Phones"/>
    <s v="PHN-3077"/>
    <n v="1154.03"/>
    <n v="1590.36"/>
    <n v="1590.36"/>
    <s v="High"/>
    <n v="0.314"/>
    <n v="0.3"/>
    <n v="18"/>
    <n v="20038.536"/>
    <n v="20772.54"/>
    <n v="-734.00400000000081"/>
    <n v="-3.6629622044245191E-2"/>
    <d v="2023-01-29T00:00:00"/>
    <n v="18"/>
  </r>
  <r>
    <s v="ORD-2024-997336"/>
    <x v="346"/>
    <x v="346"/>
    <s v="Q4 -2024"/>
    <d v="2024-11-02T00:00:00"/>
    <d v="2024-11-02T00:00:00"/>
    <n v="29"/>
    <n v="0"/>
    <s v="Africa"/>
    <s v="Nigeria"/>
    <s v="Abuja"/>
    <s v="Africa&gt;Nigeria&gt;Abuja"/>
    <s v="Corporate"/>
    <s v="Distributor"/>
    <s v="F. Müller"/>
    <s v="Accessories"/>
    <s v="ACC-9038"/>
    <n v="412.09"/>
    <n v="968.94"/>
    <n v="968.94"/>
    <s v="Medium"/>
    <n v="9.9000000000000005E-2"/>
    <n v="9.9000000000000005E-2"/>
    <n v="23"/>
    <n v="20079.343620000003"/>
    <n v="9478.07"/>
    <n v="10601.273620000004"/>
    <n v="0.52796913189137418"/>
    <d v="2023-01-15T00:00:00"/>
    <n v="20"/>
  </r>
  <r>
    <s v="ORD-2024-998320"/>
    <x v="198"/>
    <x v="198"/>
    <s v="Q4 -2024"/>
    <d v="2024-11-14T00:00:00"/>
    <d v="2024-11-14T00:00:00"/>
    <n v="20"/>
    <n v="0"/>
    <s v="Africa"/>
    <s v="Kenya"/>
    <s v="Mombasa"/>
    <s v="Africa&gt;Kenya&gt;Mombasa"/>
    <s v="Corporate"/>
    <s v="Direct"/>
    <s v="H. Kim"/>
    <s v="Printers"/>
    <s v="PRN-3143"/>
    <n v="1396.48"/>
    <n v="3204.5"/>
    <n v="3204.5"/>
    <s v="High"/>
    <n v="0.318"/>
    <n v="0.3"/>
    <n v="14"/>
    <n v="31404.1"/>
    <n v="19550.72"/>
    <n v="11853.379999999997"/>
    <n v="0.3774468938769141"/>
    <d v="2023-01-20T00:00:00"/>
    <n v="21"/>
  </r>
  <r>
    <s v="ORD-2024-999607"/>
    <x v="168"/>
    <x v="168"/>
    <s v="Q1 -2024"/>
    <d v="2024-01-29T00:00:00"/>
    <d v="2024-01-29T00:00:00"/>
    <n v="17"/>
    <n v="0"/>
    <s v="Americas"/>
    <s v="USA"/>
    <s v="Chicago"/>
    <s v="Americas&gt;USA&gt;Chicago"/>
    <s v="Education"/>
    <s v="Distributor"/>
    <s v="A. Patel"/>
    <s v="Printers"/>
    <s v="PRN-8604"/>
    <n v="493.76"/>
    <n v="625.04"/>
    <n v="625.04"/>
    <s v="Low"/>
    <n v="0.25800000000000001"/>
    <n v="0.25800000000000001"/>
    <n v="10"/>
    <n v="4637.7968000000001"/>
    <n v="4937.6000000000004"/>
    <n v="-299.80320000000029"/>
    <n v="-6.464345311549663E-2"/>
    <d v="2023-01-13T00:00:00"/>
    <n v="11"/>
  </r>
  <r>
    <s v="ORD-2025-114382"/>
    <x v="347"/>
    <x v="347"/>
    <s v="Q2 -2025"/>
    <d v="2025-05-24T00:00:00"/>
    <d v="2025-05-24T00:00:00"/>
    <n v="10"/>
    <n v="0"/>
    <s v="Europe"/>
    <s v="France"/>
    <s v="Paris"/>
    <s v="Europe&gt;France&gt;Paris"/>
    <s v="Small Business"/>
    <s v="Marketplace"/>
    <s v="K. Singh"/>
    <s v="Components"/>
    <s v="CMP-2865"/>
    <n v="170.39"/>
    <n v="388.04"/>
    <n v="388.04"/>
    <s v="Low"/>
    <n v="8.4000000000000005E-2"/>
    <n v="8.4000000000000005E-2"/>
    <n v="15"/>
    <n v="5331.6696000000002"/>
    <n v="2555.85"/>
    <n v="2775.8196000000003"/>
    <n v="0.52062858508711796"/>
    <d v="2023-01-10T00:00:00"/>
    <n v="28"/>
  </r>
  <r>
    <s v="ORD-2025-125517"/>
    <x v="348"/>
    <x v="348"/>
    <s v="Q1 -2025"/>
    <d v="2025-04-09T00:00:00"/>
    <d v="2025-04-09T00:00:00"/>
    <n v="19"/>
    <n v="0"/>
    <s v="Asia"/>
    <s v="Japan"/>
    <s v="Tokyo"/>
    <s v="Asia&gt;Japan&gt;Tokyo"/>
    <s v="Small Business"/>
    <s v="Distributor"/>
    <s v="E. Garcia"/>
    <s v="Components"/>
    <s v="CMP-7055"/>
    <n v="1055.45"/>
    <n v="1210.04"/>
    <n v="1210.04"/>
    <s v="Medium"/>
    <n v="8.9999999999999993E-3"/>
    <n v="8.9999999999999993E-3"/>
    <n v="18"/>
    <n v="21584.693520000001"/>
    <n v="18998.100000000002"/>
    <n v="2586.5935199999985"/>
    <n v="0.1198346188053727"/>
    <d v="2023-03-03T00:00:00"/>
    <n v="24"/>
  </r>
  <r>
    <s v="ORD-2025-132174"/>
    <x v="349"/>
    <x v="349"/>
    <s v="Q3 -2025"/>
    <d v="2025-07-23T00:00:00"/>
    <d v="2025-07-23T00:00:00"/>
    <n v="6"/>
    <n v="1"/>
    <s v="Americas"/>
    <s v="Canada"/>
    <s v="Vancouver"/>
    <s v="Americas&gt;Canada&gt;Vancouver"/>
    <s v="Consumer"/>
    <s v="Online"/>
    <s v="H. Kim"/>
    <s v="Components"/>
    <s v="CMP-8851"/>
    <n v="1364.89"/>
    <n v="2757.54"/>
    <n v="2757.54"/>
    <s v="High"/>
    <n v="0.17199999999999999"/>
    <n v="0.17199999999999999"/>
    <n v="61"/>
    <n v="139277.83032000001"/>
    <n v="83258.290000000008"/>
    <n v="56019.54032"/>
    <n v="0.4022143379983118"/>
    <d v="2023-01-02T00:00:00"/>
    <n v="30"/>
  </r>
  <r>
    <s v="ORD-2025-137394"/>
    <x v="350"/>
    <x v="350"/>
    <s v="Q1 -2025"/>
    <d v="2025-01-05T00:00:00"/>
    <d v="2025-01-05T00:00:00"/>
    <n v="1"/>
    <n v="1"/>
    <s v="Asia"/>
    <s v="India"/>
    <s v="Delhi"/>
    <s v="Asia&gt;India&gt;Delhi"/>
    <s v="Education"/>
    <s v="Retail"/>
    <s v="I. Johnson"/>
    <s v="Components"/>
    <s v="CMP-1156"/>
    <n v="1428.33"/>
    <n v="3028.05"/>
    <n v="3028.05"/>
    <s v="High"/>
    <n v="0"/>
    <n v="0"/>
    <n v="11"/>
    <n v="33308.550000000003"/>
    <n v="15711.63"/>
    <n v="17596.920000000006"/>
    <n v="0.52830039134096207"/>
    <d v="2023-01-29T00:00:00"/>
    <n v="23"/>
  </r>
  <r>
    <s v="ORD-2025-138578"/>
    <x v="351"/>
    <x v="351"/>
    <s v="Q2 -2025"/>
    <d v="2025-04-12T00:00:00"/>
    <d v="2025-04-12T00:00:00"/>
    <n v="3"/>
    <n v="1"/>
    <s v="Europe"/>
    <s v="France"/>
    <s v="Lyon"/>
    <s v="Europe&gt;France&gt;Lyon"/>
    <s v="Small Business"/>
    <s v="Distributor"/>
    <s v="H. Kim"/>
    <s v="Monitors"/>
    <s v="MON-5276"/>
    <n v="86.68"/>
    <n v="213.32"/>
    <n v="213.32"/>
    <s v="Low"/>
    <n v="3.7999999999999999E-2"/>
    <n v="3.7999999999999999E-2"/>
    <n v="8"/>
    <n v="1641.7107199999998"/>
    <n v="693.44"/>
    <n v="948.27071999999976"/>
    <n v="0.57761133459614611"/>
    <d v="2023-01-10T00:00:00"/>
    <n v="26"/>
  </r>
  <r>
    <s v="ORD-2025-146850"/>
    <x v="352"/>
    <x v="352"/>
    <s v="Q1 -2025"/>
    <d v="2025-02-14T00:00:00"/>
    <d v="2025-02-14T00:00:00"/>
    <n v="24"/>
    <n v="0"/>
    <s v="Africa"/>
    <s v="Kenya"/>
    <s v="Nairobi"/>
    <s v="Africa&gt;Kenya&gt;Nairobi"/>
    <s v="Small Business"/>
    <s v="Retail"/>
    <s v="J. Njeri"/>
    <s v="Accessories"/>
    <s v="ACC-1659"/>
    <n v="1030.44"/>
    <n v="2562.84"/>
    <n v="2562.84"/>
    <s v="High"/>
    <n v="0.14799999999999999"/>
    <n v="0.14799999999999999"/>
    <n v="13"/>
    <n v="28386.015839999996"/>
    <n v="13395.720000000001"/>
    <n v="14990.295839999995"/>
    <n v="0.52808734852027039"/>
    <d v="2023-01-20T00:00:00"/>
    <n v="24"/>
  </r>
  <r>
    <s v="ORD-2025-149156"/>
    <x v="353"/>
    <x v="353"/>
    <s v="Q1 -2025"/>
    <d v="2025-02-06T00:00:00"/>
    <d v="2025-02-06T00:00:00"/>
    <n v="27"/>
    <n v="0"/>
    <s v="Americas"/>
    <s v="Brazil"/>
    <s v="Brasília"/>
    <s v="Americas&gt;Brazil&gt;Brasília"/>
    <s v="Non-Profit"/>
    <s v="Retail"/>
    <s v="B. Chen"/>
    <s v="Laptops"/>
    <s v="LAP-7353"/>
    <n v="725.62"/>
    <n v="1559.19"/>
    <n v="1559.19"/>
    <s v="High"/>
    <n v="0.19"/>
    <n v="0.19"/>
    <n v="12"/>
    <n v="15155.326800000001"/>
    <n v="8707.44"/>
    <n v="6447.8868000000002"/>
    <n v="0.42545349797405885"/>
    <d v="2023-01-29T00:00:00"/>
    <n v="23"/>
  </r>
  <r>
    <s v="ORD-2025-150713"/>
    <x v="354"/>
    <x v="354"/>
    <s v="Q3 -2025"/>
    <d v="2025-07-16T00:00:00"/>
    <d v="2025-07-16T00:00:00"/>
    <n v="5"/>
    <n v="1"/>
    <s v="Europe"/>
    <s v="United Kingdom"/>
    <s v="London"/>
    <s v="Europe&gt;United Kingdom&gt;London"/>
    <s v="Enterprise"/>
    <s v="Online"/>
    <s v="K. Singh"/>
    <s v="Printers"/>
    <s v="PRN-5753"/>
    <n v="930.03"/>
    <n v="1086.68"/>
    <n v="1086.68"/>
    <s v="Medium"/>
    <n v="0.109"/>
    <n v="0.109"/>
    <n v="26"/>
    <n v="25174.028880000002"/>
    <n v="24180.78"/>
    <n v="993.24888000000283"/>
    <n v="3.9455300728168656E-2"/>
    <d v="2023-01-19T00:00:00"/>
    <n v="29"/>
  </r>
  <r>
    <s v="ORD-2025-155182"/>
    <x v="354"/>
    <x v="354"/>
    <s v="Q3 -2025"/>
    <d v="2025-08-03T00:00:00"/>
    <d v="2025-08-03T00:00:00"/>
    <n v="23"/>
    <n v="0"/>
    <s v="Africa"/>
    <s v="Kenya"/>
    <s v="Nakuru"/>
    <s v="Africa&gt;Kenya&gt;Nakuru"/>
    <s v="Small Business"/>
    <s v="Retail"/>
    <s v="C. Otieno"/>
    <s v="Phones"/>
    <s v="PHN-7636"/>
    <n v="389.93"/>
    <n v="486.13"/>
    <n v="486.13"/>
    <s v="Low"/>
    <n v="0.13200000000000001"/>
    <n v="0.13200000000000001"/>
    <n v="17"/>
    <n v="7173.3342799999991"/>
    <n v="6628.81"/>
    <n v="544.52427999999873"/>
    <n v="7.5909508569562828E-2"/>
    <d v="2023-01-20T00:00:00"/>
    <n v="29"/>
  </r>
  <r>
    <s v="ORD-2025-168148"/>
    <x v="355"/>
    <x v="355"/>
    <s v="Q1 -2025"/>
    <d v="2025-04-02T00:00:00"/>
    <d v="2025-04-02T00:00:00"/>
    <n v="4"/>
    <n v="1"/>
    <s v="Africa"/>
    <s v="Nigeria"/>
    <s v="Lagos"/>
    <s v="Africa&gt;Nigeria&gt;Lagos"/>
    <s v="Non-Profit"/>
    <s v="Marketplace"/>
    <s v="G. Dubois"/>
    <s v="Phones"/>
    <s v="PHN-4556"/>
    <n v="259.93"/>
    <n v="255.94"/>
    <n v="255.94"/>
    <s v="Low"/>
    <n v="7.1999999999999995E-2"/>
    <n v="7.1999999999999995E-2"/>
    <n v="22"/>
    <n v="5225.2710400000005"/>
    <n v="5718.46"/>
    <n v="-493.1889599999995"/>
    <n v="-9.4385335463861311E-2"/>
    <d v="2023-01-15T00:00:00"/>
    <n v="26"/>
  </r>
  <r>
    <s v="ORD-2025-169093"/>
    <x v="356"/>
    <x v="356"/>
    <s v="Q2 -2025"/>
    <d v="2025-04-14T00:00:00"/>
    <d v="2025-04-14T00:00:00"/>
    <n v="1"/>
    <n v="1"/>
    <s v="Asia"/>
    <s v="Japan"/>
    <s v="Osaka"/>
    <s v="Asia&gt;Japan&gt;Osaka"/>
    <s v="Enterprise"/>
    <s v="Online"/>
    <s v="G. Dubois"/>
    <s v="Components"/>
    <s v="CMP-6495"/>
    <n v="138.9"/>
    <n v="289.92"/>
    <n v="289.92"/>
    <s v="Low"/>
    <n v="2.9000000000000001E-2"/>
    <n v="2.9000000000000001E-2"/>
    <n v="12"/>
    <n v="3378.1478400000001"/>
    <n v="1666.8000000000002"/>
    <n v="1711.3478399999999"/>
    <n v="0.50659353025828491"/>
    <d v="2023-03-03T00:00:00"/>
    <n v="25"/>
  </r>
  <r>
    <s v="ORD-2025-177994"/>
    <x v="357"/>
    <x v="357"/>
    <s v="Q1 -2025"/>
    <d v="2025-04-04T00:00:00"/>
    <d v="2025-04-04T00:00:00"/>
    <n v="11"/>
    <n v="0"/>
    <s v="Asia"/>
    <s v="India"/>
    <s v="Mumbai"/>
    <s v="Asia&gt;India&gt;Mumbai"/>
    <s v="Education"/>
    <s v="Marketplace"/>
    <s v="J. Njeri"/>
    <s v="Phones"/>
    <s v="PHN-4395"/>
    <n v="23.83"/>
    <n v="47.29"/>
    <n v="47.29"/>
    <s v="Low"/>
    <n v="6.4000000000000001E-2"/>
    <n v="6.4000000000000001E-2"/>
    <n v="19"/>
    <n v="841.00536"/>
    <n v="452.77"/>
    <n v="388.23536000000001"/>
    <n v="0.46163244429262618"/>
    <d v="2023-01-29T00:00:00"/>
    <n v="25"/>
  </r>
  <r>
    <s v="ORD-2025-184082"/>
    <x v="358"/>
    <x v="358"/>
    <s v="Q2 -2025"/>
    <d v="2025-07-12T00:00:00"/>
    <d v="2025-07-12T00:00:00"/>
    <n v="23"/>
    <n v="0"/>
    <s v="Europe"/>
    <s v="United Kingdom"/>
    <s v="Unknown"/>
    <s v="Europe&gt;United Kingdom&gt;Unknown"/>
    <s v="Non-Profit"/>
    <s v="Direct"/>
    <s v="Unassigned"/>
    <s v="Networking"/>
    <s v="NET-6370"/>
    <n v="801.24"/>
    <n v="1959.09"/>
    <n v="1959.09"/>
    <s v="High"/>
    <n v="0.123"/>
    <n v="0.123"/>
    <n v="23"/>
    <n v="39516.804389999998"/>
    <n v="18428.52"/>
    <n v="21088.284389999997"/>
    <n v="0.53365358650651762"/>
    <d v="2023-01-19T00:00:00"/>
    <n v="29"/>
  </r>
  <r>
    <s v="ORD-2025-184754"/>
    <x v="359"/>
    <x v="359"/>
    <s v="Q2 -2025"/>
    <d v="2025-07-05T00:00:00"/>
    <d v="2025-07-05T00:00:00"/>
    <n v="8"/>
    <n v="0"/>
    <s v="Europe"/>
    <s v="Germany"/>
    <s v="Munich"/>
    <s v="Europe&gt;Germany&gt;Munich"/>
    <s v="Small Business"/>
    <s v="Direct"/>
    <s v="G. Dubois"/>
    <s v="Monitors"/>
    <s v="MON-7626"/>
    <n v="314.93"/>
    <n v="687.95"/>
    <n v="687.95"/>
    <s v="Low"/>
    <n v="0.20499999999999999"/>
    <n v="0.20499999999999999"/>
    <n v="8"/>
    <n v="4375.3620000000001"/>
    <n v="2519.44"/>
    <n v="1855.922"/>
    <n v="0.424175645352316"/>
    <d v="2023-01-22T00:00:00"/>
    <n v="29"/>
  </r>
  <r>
    <s v="ORD-2025-188059"/>
    <x v="359"/>
    <x v="359"/>
    <s v="Q2 -2025"/>
    <d v="2025-07-11T00:00:00"/>
    <d v="2025-07-11T00:00:00"/>
    <n v="14"/>
    <n v="0"/>
    <s v="Asia"/>
    <s v="China"/>
    <s v="Shanghai"/>
    <s v="Asia&gt;China&gt;Shanghai"/>
    <s v="Small Business"/>
    <s v="Marketplace"/>
    <s v="L. Okafor"/>
    <s v="Networking"/>
    <s v="NET-3535"/>
    <n v="1227.7"/>
    <n v="2197.23"/>
    <n v="2197.23"/>
    <s v="High"/>
    <n v="9.9000000000000005E-2"/>
    <n v="9.9000000000000005E-2"/>
    <n v="22"/>
    <n v="43553.493060000001"/>
    <n v="27009.4"/>
    <n v="16544.093059999999"/>
    <n v="0.37985685871873898"/>
    <d v="2023-01-12T00:00:00"/>
    <n v="29"/>
  </r>
  <r>
    <s v="ORD-2025-189846"/>
    <x v="360"/>
    <x v="360"/>
    <s v="Q3 -2025"/>
    <d v="2025-08-28T00:00:00"/>
    <d v="2025-08-28T00:00:00"/>
    <n v="17"/>
    <n v="0"/>
    <s v="Europe"/>
    <s v="France"/>
    <s v="Paris"/>
    <s v="Europe&gt;France&gt;Paris"/>
    <s v="Education"/>
    <s v="Online"/>
    <s v="F. Müller"/>
    <s v="Networking"/>
    <s v="NET-6218"/>
    <n v="416.16"/>
    <n v="571.9"/>
    <n v="571.9"/>
    <s v="Low"/>
    <n v="7.0999999999999994E-2"/>
    <n v="7.0999999999999994E-2"/>
    <n v="2"/>
    <n v="1062.5902000000001"/>
    <n v="832.32"/>
    <n v="230.27020000000005"/>
    <n v="0.21670649701079497"/>
    <d v="2023-01-10T00:00:00"/>
    <n v="31"/>
  </r>
  <r>
    <s v="ORD-2025-191328"/>
    <x v="361"/>
    <x v="361"/>
    <s v="Q2 -2025"/>
    <d v="2025-05-27T00:00:00"/>
    <d v="2025-05-27T00:00:00"/>
    <n v="17"/>
    <n v="0"/>
    <s v="Americas"/>
    <s v="Canada"/>
    <s v="Vancouver"/>
    <s v="Americas&gt;Canada&gt;Vancouver"/>
    <s v="Education"/>
    <s v="Direct"/>
    <s v="C. Otieno"/>
    <s v="Components"/>
    <s v="CMP-9307"/>
    <n v="862.89"/>
    <n v="1426.03"/>
    <n v="1426.03"/>
    <s v="Medium"/>
    <n v="5.6000000000000001E-2"/>
    <n v="5.6000000000000001E-2"/>
    <n v="19"/>
    <n v="25577.274079999999"/>
    <n v="16394.91"/>
    <n v="9182.3640799999994"/>
    <n v="0.35900479665188778"/>
    <d v="2023-01-02T00:00:00"/>
    <n v="28"/>
  </r>
  <r>
    <s v="ORD-2025-192876"/>
    <x v="362"/>
    <x v="362"/>
    <s v="Q1 -2025"/>
    <d v="2025-02-17T00:00:00"/>
    <d v="2025-02-17T00:00:00"/>
    <n v="17"/>
    <n v="0"/>
    <s v="Europe"/>
    <s v="United Kingdom"/>
    <s v="London"/>
    <s v="Europe&gt;United Kingdom&gt;London"/>
    <s v="Enterprise"/>
    <s v="Retail"/>
    <s v="H. Kim"/>
    <s v="Components"/>
    <s v="CMP-5820"/>
    <n v="378.26"/>
    <n v="541.55999999999995"/>
    <n v="541.55999999999995"/>
    <s v="Low"/>
    <n v="0.16300000000000001"/>
    <n v="0.16300000000000001"/>
    <n v="25"/>
    <n v="11332.142999999998"/>
    <n v="9456.5"/>
    <n v="1875.6429999999982"/>
    <n v="0.16551529573885526"/>
    <d v="2023-01-19T00:00:00"/>
    <n v="24"/>
  </r>
  <r>
    <s v="ORD-2025-222035"/>
    <x v="363"/>
    <x v="363"/>
    <s v="Q1 -2025"/>
    <d v="2025-04-08T00:00:00"/>
    <d v="2025-04-08T00:00:00"/>
    <n v="25"/>
    <n v="0"/>
    <s v="Asia"/>
    <s v="China"/>
    <s v="Unknown"/>
    <s v="Asia&gt;China&gt;Unknown"/>
    <s v="Corporate"/>
    <s v="Distributor"/>
    <s v="D. Smith"/>
    <s v="Printers"/>
    <s v="PRN-5815"/>
    <n v="80.59"/>
    <n v="157.82"/>
    <n v="157.82"/>
    <s v="Low"/>
    <n v="0.217"/>
    <n v="0.217"/>
    <n v="6"/>
    <n v="741.43835999999999"/>
    <n v="483.54"/>
    <n v="257.89835999999997"/>
    <n v="0.34783519967863541"/>
    <d v="2023-01-12T00:00:00"/>
    <n v="26"/>
  </r>
  <r>
    <s v="ORD-2025-231184"/>
    <x v="364"/>
    <x v="364"/>
    <s v="Q2 -2025"/>
    <d v="2025-06-06T00:00:00"/>
    <d v="2025-06-06T00:00:00"/>
    <n v="5"/>
    <n v="1"/>
    <s v="Europe"/>
    <s v="France"/>
    <s v="Paris"/>
    <s v="Europe&gt;France&gt;Paris"/>
    <s v="Consumer"/>
    <s v="Distributor"/>
    <s v="G. Dubois"/>
    <s v="Components"/>
    <s v="CMP-4093"/>
    <n v="379.45"/>
    <n v="742.23"/>
    <n v="742.23"/>
    <s v="Medium"/>
    <n v="0.09"/>
    <n v="0.09"/>
    <n v="13"/>
    <n v="8780.5809000000008"/>
    <n v="4932.8499999999995"/>
    <n v="3847.7309000000014"/>
    <n v="0.43820915083192286"/>
    <d v="2023-01-10T00:00:00"/>
    <n v="28"/>
  </r>
  <r>
    <s v="ORD-2025-233883"/>
    <x v="365"/>
    <x v="365"/>
    <s v="Q3 -2025"/>
    <d v="2025-09-16T00:00:00"/>
    <d v="2025-09-16T00:00:00"/>
    <n v="8"/>
    <n v="0"/>
    <s v="Asia"/>
    <s v="Japan"/>
    <s v="Osaka"/>
    <s v="Asia&gt;Japan&gt;Osaka"/>
    <s v="Corporate"/>
    <s v="Distributor"/>
    <s v="C. Otieno"/>
    <s v="Phones"/>
    <s v="PHN-1197"/>
    <n v="1225.57"/>
    <n v="2705.57"/>
    <n v="2705.57"/>
    <s v="High"/>
    <n v="0.183"/>
    <n v="0.183"/>
    <n v="16"/>
    <n v="35367.211040000002"/>
    <n v="19609.12"/>
    <n v="15758.091040000003"/>
    <n v="0.44555650775453404"/>
    <d v="2023-03-03T00:00:00"/>
    <n v="30"/>
  </r>
  <r>
    <s v="ORD-2025-244832"/>
    <x v="366"/>
    <x v="366"/>
    <s v="Q3 -2025"/>
    <d v="2025-09-28T00:00:00"/>
    <d v="2025-09-28T00:00:00"/>
    <n v="17"/>
    <n v="0"/>
    <s v="Africa"/>
    <s v="Kenya"/>
    <s v="Nairobi"/>
    <s v="Africa&gt;Kenya&gt;Nairobi"/>
    <s v="Non-Profit"/>
    <s v="Distributor"/>
    <s v="J. Njeri"/>
    <s v="Laptops"/>
    <s v="LAP-3278"/>
    <n v="891.46"/>
    <n v="728.61"/>
    <n v="728.61"/>
    <s v="Medium"/>
    <n v="0.185"/>
    <n v="0.185"/>
    <n v="6"/>
    <n v="3562.9028999999996"/>
    <n v="5348.76"/>
    <n v="-1785.8571000000006"/>
    <n v="-0.50123653383874167"/>
    <d v="2023-01-20T00:00:00"/>
    <n v="31"/>
  </r>
  <r>
    <s v="ORD-2025-246470"/>
    <x v="367"/>
    <x v="367"/>
    <s v="Q2 -2025"/>
    <d v="2025-05-16T00:00:00"/>
    <d v="2025-05-16T00:00:00"/>
    <n v="30"/>
    <n v="0"/>
    <s v="Americas"/>
    <s v="Canada"/>
    <s v="Montreal"/>
    <s v="Americas&gt;Canada&gt;Montreal"/>
    <s v="Enterprise"/>
    <s v="Distributor"/>
    <s v="K. Singh"/>
    <s v="Printers"/>
    <s v="PRN-6178"/>
    <n v="763.32"/>
    <n v="568.29"/>
    <n v="568.29"/>
    <s v="Low"/>
    <n v="0.13100000000000001"/>
    <n v="0.13100000000000001"/>
    <n v="16"/>
    <n v="7901.5041599999995"/>
    <n v="12213.12"/>
    <n v="-4311.6158400000013"/>
    <n v="-0.54567026134426555"/>
    <d v="2023-01-02T00:00:00"/>
    <n v="27"/>
  </r>
  <r>
    <s v="ORD-2025-246692"/>
    <x v="368"/>
    <x v="368"/>
    <s v="Q2 -2025"/>
    <d v="2025-04-17T00:00:00"/>
    <d v="2025-04-17T00:00:00"/>
    <n v="0"/>
    <n v="1"/>
    <s v="Americas"/>
    <s v="Brazil"/>
    <s v="São Paulo"/>
    <s v="Americas&gt;Brazil&gt;São Paulo"/>
    <s v="Corporate"/>
    <s v="Distributor"/>
    <s v="L. Okafor"/>
    <s v="Phones"/>
    <s v="PHN-4566"/>
    <n v="719.41"/>
    <n v="1125.99"/>
    <n v="1125.99"/>
    <s v="Medium"/>
    <n v="4.1000000000000002E-2"/>
    <n v="4.1000000000000002E-2"/>
    <n v="21"/>
    <n v="22676.312610000001"/>
    <n v="15107.609999999999"/>
    <n v="7568.7026100000021"/>
    <n v="0.33377131194876403"/>
    <d v="2023-01-29T00:00:00"/>
    <n v="26"/>
  </r>
  <r>
    <s v="ORD-2025-248586"/>
    <x v="369"/>
    <x v="369"/>
    <s v="Q3 -2025"/>
    <d v="2025-09-30T00:00:00"/>
    <d v="2025-09-30T00:00:00"/>
    <n v="18"/>
    <n v="0"/>
    <s v="Asia"/>
    <s v="Japan"/>
    <s v="Nagoya"/>
    <s v="Asia&gt;Japan&gt;Nagoya"/>
    <s v="Non-Profit"/>
    <s v="Marketplace"/>
    <s v="F. Müller"/>
    <s v="Monitors"/>
    <s v="MON-2998"/>
    <n v="1212.99"/>
    <n v="1653.64"/>
    <n v="1653.64"/>
    <s v="High"/>
    <n v="0.107"/>
    <n v="0.107"/>
    <n v="8"/>
    <n v="11813.604160000001"/>
    <n v="9703.92"/>
    <n v="2109.6841600000007"/>
    <n v="0.17858090819931455"/>
    <d v="2023-03-03T00:00:00"/>
    <n v="30"/>
  </r>
  <r>
    <s v="ORD-2025-252117"/>
    <x v="370"/>
    <x v="370"/>
    <s v="Q2 -2025"/>
    <d v="2025-05-19T00:00:00"/>
    <d v="2025-05-19T00:00:00"/>
    <n v="21"/>
    <n v="0"/>
    <s v="Europe"/>
    <s v="Germany"/>
    <s v="Berlin"/>
    <s v="Europe&gt;Germany&gt;Berlin"/>
    <s v="Corporate"/>
    <s v="Distributor"/>
    <s v="B. Chen"/>
    <s v="Phones"/>
    <s v="PHN-2462"/>
    <n v="350.76"/>
    <n v="492.18"/>
    <n v="492.18"/>
    <s v="Low"/>
    <n v="5.2999999999999999E-2"/>
    <n v="5.2999999999999999E-2"/>
    <n v="11"/>
    <n v="5127.0390600000001"/>
    <n v="3858.3599999999997"/>
    <n v="1268.6790600000004"/>
    <n v="0.24744868239798437"/>
    <d v="2023-01-22T00:00:00"/>
    <n v="27"/>
  </r>
  <r>
    <s v="ORD-2025-254721"/>
    <x v="371"/>
    <x v="371"/>
    <s v="Q2 -2025"/>
    <d v="2025-06-05T00:00:00"/>
    <d v="2025-06-05T00:00:00"/>
    <n v="21"/>
    <n v="0"/>
    <s v="Asia"/>
    <s v="Japan"/>
    <s v="Osaka"/>
    <s v="Asia&gt;Japan&gt;Osaka"/>
    <s v="Enterprise"/>
    <s v="Direct"/>
    <s v="H. Kim"/>
    <s v="Phones"/>
    <s v="PHN-6480"/>
    <n v="1466.5"/>
    <n v="2778.74"/>
    <n v="2778.74"/>
    <s v="High"/>
    <n v="0.13500000000000001"/>
    <n v="0.13500000000000001"/>
    <n v="4"/>
    <n v="9614.4403999999995"/>
    <n v="5866"/>
    <n v="3748.4403999999995"/>
    <n v="0.38987608680792279"/>
    <d v="2023-03-03T00:00:00"/>
    <n v="26"/>
  </r>
  <r>
    <s v="ORD-2025-262434"/>
    <x v="358"/>
    <x v="358"/>
    <s v="Q2 -2025"/>
    <d v="2025-06-21T00:00:00"/>
    <d v="2025-06-21T00:00:00"/>
    <n v="2"/>
    <n v="1"/>
    <s v="Africa"/>
    <s v="South Africa"/>
    <s v="Johannesburg"/>
    <s v="Africa&gt;South Africa&gt;Johannesburg"/>
    <s v="Small Business"/>
    <s v="Unspecified"/>
    <s v="H. Kim"/>
    <s v="Phones"/>
    <s v="PHN-7379"/>
    <n v="1466.27"/>
    <n v="3589.89"/>
    <n v="3589.89"/>
    <s v="High"/>
    <n v="9.7000000000000003E-2"/>
    <n v="9.7000000000000003E-2"/>
    <n v="9"/>
    <n v="29175.036029999999"/>
    <n v="13196.43"/>
    <n v="15978.606029999999"/>
    <n v="0.54768076425234147"/>
    <d v="2023-01-07T00:00:00"/>
    <n v="29"/>
  </r>
  <r>
    <s v="ORD-2025-262491"/>
    <x v="372"/>
    <x v="372"/>
    <s v="Q3 -2025"/>
    <d v="2025-08-16T00:00:00"/>
    <d v="2025-08-16T00:00:00"/>
    <n v="15"/>
    <n v="0"/>
    <s v="Asia"/>
    <s v="India"/>
    <s v="Unknown"/>
    <s v="Asia&gt;India&gt;Unknown"/>
    <s v="Enterprise"/>
    <s v="Direct"/>
    <s v="O. Wang"/>
    <s v="Monitors"/>
    <s v="MON-1822"/>
    <n v="24.44"/>
    <n v="28.69"/>
    <n v="28.69"/>
    <s v="Low"/>
    <n v="0.14599999999999999"/>
    <n v="0.14599999999999999"/>
    <n v="6"/>
    <n v="147.00756000000001"/>
    <n v="146.64000000000001"/>
    <n v="0.36755999999999744"/>
    <n v="2.5002795774584476E-3"/>
    <d v="2023-01-29T00:00:00"/>
    <n v="30"/>
  </r>
  <r>
    <s v="ORD-2025-269934"/>
    <x v="373"/>
    <x v="373"/>
    <s v="Q2 -2025"/>
    <d v="2025-04-10T00:00:00"/>
    <d v="2025-04-10T00:00:00"/>
    <n v="6"/>
    <n v="1"/>
    <s v="Europe"/>
    <s v="United Kingdom"/>
    <s v="Birmingham"/>
    <s v="Europe&gt;United Kingdom&gt;Birmingham"/>
    <s v="Non-Profit"/>
    <s v="Direct"/>
    <s v="N. Brown"/>
    <s v="Printers"/>
    <s v="PRN-8657"/>
    <n v="290.14"/>
    <n v="250.73"/>
    <n v="250.73"/>
    <s v="Low"/>
    <n v="3.4000000000000002E-2"/>
    <n v="3.4000000000000002E-2"/>
    <n v="17"/>
    <n v="4117.4880599999997"/>
    <n v="4932.38"/>
    <n v="-814.89194000000043"/>
    <n v="-0.19790997038131072"/>
    <d v="2023-01-19T00:00:00"/>
    <n v="26"/>
  </r>
  <r>
    <s v="ORD-2025-276968"/>
    <x v="374"/>
    <x v="374"/>
    <s v="Q1 -2025"/>
    <d v="2025-03-17T00:00:00"/>
    <d v="2025-03-17T00:00:00"/>
    <n v="20"/>
    <n v="0"/>
    <s v="Americas"/>
    <s v="USA"/>
    <s v="San Francisco"/>
    <s v="Americas&gt;USA&gt;San Francisco"/>
    <s v="Non-Profit"/>
    <s v="Marketplace"/>
    <s v="H. Kim"/>
    <s v="Phones"/>
    <s v="PHN-1044"/>
    <n v="1205.26"/>
    <n v="1696.35"/>
    <n v="1696.35"/>
    <s v="High"/>
    <n v="1.9E-2"/>
    <n v="1.9E-2"/>
    <n v="6"/>
    <n v="9984.7160999999978"/>
    <n v="7231.5599999999995"/>
    <n v="2753.1560999999983"/>
    <n v="0.27573704374028213"/>
    <d v="2023-01-13T00:00:00"/>
    <n v="25"/>
  </r>
  <r>
    <s v="ORD-2025-278048"/>
    <x v="375"/>
    <x v="375"/>
    <s v="Q2 -2025"/>
    <d v="2025-07-08T00:00:00"/>
    <d v="2025-07-08T00:00:00"/>
    <n v="16"/>
    <n v="0"/>
    <s v="Europe"/>
    <s v="United Kingdom"/>
    <s v="London"/>
    <s v="Europe&gt;United Kingdom&gt;London"/>
    <s v="Education"/>
    <s v="Direct"/>
    <s v="A. Patel"/>
    <s v="Phones"/>
    <s v="PHN-5316"/>
    <n v="892.73"/>
    <n v="979.84"/>
    <n v="979.84"/>
    <s v="Medium"/>
    <n v="0.17399999999999999"/>
    <n v="0.17399999999999999"/>
    <n v="10"/>
    <n v="8093.4784"/>
    <n v="8927.2999999999993"/>
    <n v="-833.82159999999931"/>
    <n v="-0.10302388649112838"/>
    <d v="2023-01-19T00:00:00"/>
    <n v="29"/>
  </r>
  <r>
    <s v="ORD-2025-281062"/>
    <x v="376"/>
    <x v="376"/>
    <s v="Q1 -2025"/>
    <d v="2025-02-27T00:00:00"/>
    <d v="2025-02-27T00:00:00"/>
    <n v="12"/>
    <n v="0"/>
    <s v="Europe"/>
    <s v="France"/>
    <s v="Lyon"/>
    <s v="Europe&gt;France&gt;Lyon"/>
    <s v="Non-Profit"/>
    <s v="Direct"/>
    <s v="K. Singh"/>
    <s v="Accessories"/>
    <s v="ACC-1604"/>
    <n v="1027.26"/>
    <n v="2200.41"/>
    <n v="2200.41"/>
    <s v="High"/>
    <n v="8.7999999999999995E-2"/>
    <n v="8.7999999999999995E-2"/>
    <n v="6"/>
    <n v="12040.64352"/>
    <n v="6163.5599999999995"/>
    <n v="5877.0835200000001"/>
    <n v="0.48810377204822358"/>
    <d v="2023-01-10T00:00:00"/>
    <n v="25"/>
  </r>
  <r>
    <s v="ORD-2025-281413"/>
    <x v="377"/>
    <x v="377"/>
    <s v="Q3 -2025"/>
    <d v="2025-08-16T00:00:00"/>
    <d v="2025-08-16T00:00:00"/>
    <n v="13"/>
    <n v="0"/>
    <s v="Americas"/>
    <s v="Canada"/>
    <s v="Montreal"/>
    <s v="Americas&gt;Canada&gt;Montreal"/>
    <s v="Enterprise"/>
    <s v="Distributor"/>
    <s v="O. Wang"/>
    <s v="Networking"/>
    <s v="NET-3785"/>
    <n v="698.66"/>
    <n v="868.62"/>
    <n v="868.62"/>
    <s v="Medium"/>
    <n v="7.1999999999999995E-2"/>
    <n v="7.1999999999999995E-2"/>
    <n v="15"/>
    <n v="12091.190399999999"/>
    <n v="10479.9"/>
    <n v="1611.2903999999999"/>
    <n v="0.13326151906432637"/>
    <d v="2023-01-02T00:00:00"/>
    <n v="31"/>
  </r>
  <r>
    <s v="ORD-2025-289139"/>
    <x v="378"/>
    <x v="378"/>
    <s v="Q3 -2025"/>
    <d v="2025-08-30T00:00:00"/>
    <d v="2025-08-30T00:00:00"/>
    <n v="20"/>
    <n v="0"/>
    <s v="Americas"/>
    <s v="USA"/>
    <s v="San Francisco"/>
    <s v="Americas&gt;USA&gt;San Francisco"/>
    <s v="Corporate"/>
    <s v="Marketplace"/>
    <s v="K. Singh"/>
    <s v="Printers"/>
    <s v="PRN-2098"/>
    <n v="933.29"/>
    <n v="1456.81"/>
    <n v="1456.81"/>
    <s v="Medium"/>
    <n v="0.123"/>
    <n v="0.123"/>
    <n v="13"/>
    <n v="16609.090809999998"/>
    <n v="12132.77"/>
    <n v="4476.3208099999974"/>
    <n v="0.26951028573489977"/>
    <d v="2023-01-13T00:00:00"/>
    <n v="30"/>
  </r>
  <r>
    <s v="ORD-2025-306251"/>
    <x v="379"/>
    <x v="379"/>
    <s v="Q2 -2025"/>
    <d v="2025-04-19T00:00:00"/>
    <d v="2025-04-19T00:00:00"/>
    <n v="9"/>
    <n v="0"/>
    <s v="Africa"/>
    <s v="South Africa"/>
    <s v="Durban"/>
    <s v="Africa&gt;South Africa&gt;Durban"/>
    <s v="Enterprise"/>
    <s v="Unspecified"/>
    <s v="G. Dubois"/>
    <s v="Networking"/>
    <s v="NET-5270"/>
    <n v="113.74"/>
    <n v="165.7"/>
    <n v="165.7"/>
    <s v="Low"/>
    <n v="0.124"/>
    <n v="0.124"/>
    <n v="13"/>
    <n v="1886.9915999999998"/>
    <n v="1478.62"/>
    <n v="408.37159999999994"/>
    <n v="0.21641410592394794"/>
    <d v="2023-01-07T00:00:00"/>
    <n v="27"/>
  </r>
  <r>
    <s v="ORD-2025-306903"/>
    <x v="380"/>
    <x v="380"/>
    <s v="Q2 -2025"/>
    <d v="2025-07-23T00:00:00"/>
    <d v="2025-07-23T00:00:00"/>
    <n v="29"/>
    <n v="0"/>
    <s v="Americas"/>
    <s v="Canada"/>
    <s v="Vancouver"/>
    <s v="Americas&gt;Canada&gt;Vancouver"/>
    <s v="Non-Profit"/>
    <s v="Marketplace"/>
    <s v="I. Johnson"/>
    <s v="Printers"/>
    <s v="PRN-3775"/>
    <n v="255.4"/>
    <n v="322.70999999999998"/>
    <n v="322.70999999999998"/>
    <s v="Low"/>
    <n v="0.115"/>
    <n v="0.115"/>
    <n v="16"/>
    <n v="4569.5735999999997"/>
    <n v="4086.4"/>
    <n v="483.17359999999962"/>
    <n v="0.10573713048412212"/>
    <d v="2023-01-02T00:00:00"/>
    <n v="29"/>
  </r>
  <r>
    <s v="ORD-2025-312803"/>
    <x v="380"/>
    <x v="380"/>
    <s v="Q2 -2025"/>
    <d v="2025-07-14T00:00:00"/>
    <d v="2025-07-14T00:00:00"/>
    <n v="20"/>
    <n v="0"/>
    <s v="Africa"/>
    <s v="South Africa"/>
    <s v="Johannesburg"/>
    <s v="Africa&gt;South Africa&gt;Johannesburg"/>
    <s v="Enterprise"/>
    <s v="Marketplace"/>
    <s v="J. Njeri"/>
    <s v="Laptops"/>
    <s v="LAP-1308"/>
    <n v="1151.06"/>
    <n v="2821.36"/>
    <n v="2821.36"/>
    <s v="High"/>
    <n v="0.248"/>
    <n v="0.248"/>
    <n v="20"/>
    <n v="42433.254400000005"/>
    <n v="23021.199999999997"/>
    <n v="19412.054400000008"/>
    <n v="0.45747267501594235"/>
    <d v="2023-01-07T00:00:00"/>
    <n v="29"/>
  </r>
  <r>
    <s v="ORD-2025-323492"/>
    <x v="381"/>
    <x v="381"/>
    <s v="Q2 -2025"/>
    <d v="2025-05-27T00:00:00"/>
    <d v="2025-05-27T00:00:00"/>
    <n v="30"/>
    <n v="0"/>
    <s v="Asia"/>
    <s v="India"/>
    <s v="Unknown"/>
    <s v="Asia&gt;India&gt;Unknown"/>
    <s v="Enterprise"/>
    <s v="Marketplace"/>
    <s v="H. Kim"/>
    <s v="Phones"/>
    <s v="PHN-3854"/>
    <n v="481.32"/>
    <n v="1135.99"/>
    <n v="1135.99"/>
    <s v="Medium"/>
    <n v="0.14499999999999999"/>
    <n v="0.14499999999999999"/>
    <n v="5"/>
    <n v="4856.35725"/>
    <n v="2406.6"/>
    <n v="2449.7572500000001"/>
    <n v="0.50444337677175621"/>
    <d v="2023-01-29T00:00:00"/>
    <n v="26"/>
  </r>
  <r>
    <s v="ORD-2025-328504"/>
    <x v="382"/>
    <x v="382"/>
    <s v="Q1 -2025"/>
    <d v="2025-02-15T00:00:00"/>
    <d v="2025-02-15T00:00:00"/>
    <n v="19"/>
    <n v="0"/>
    <s v="Asia"/>
    <s v="China"/>
    <s v="Shenzhen"/>
    <s v="Asia&gt;China&gt;Shenzhen"/>
    <s v="Non-Profit"/>
    <s v="Direct"/>
    <s v="L. Okafor"/>
    <s v="Phones"/>
    <s v="PHN-8368"/>
    <n v="1253.22"/>
    <n v="3104.71"/>
    <n v="3104.71"/>
    <s v="High"/>
    <n v="0"/>
    <n v="0"/>
    <n v="17"/>
    <n v="52780.07"/>
    <n v="21304.74"/>
    <n v="31475.329999999998"/>
    <n v="0.59634877331538205"/>
    <d v="2023-01-12T00:00:00"/>
    <n v="24"/>
  </r>
  <r>
    <s v="ORD-2025-330203"/>
    <x v="383"/>
    <x v="383"/>
    <s v="Q1 -2025"/>
    <d v="2025-04-17T00:00:00"/>
    <d v="2025-04-17T00:00:00"/>
    <n v="23"/>
    <n v="0"/>
    <s v="Europe"/>
    <s v="United Kingdom"/>
    <s v="London"/>
    <s v="Europe&gt;United Kingdom&gt;London"/>
    <s v="Consumer"/>
    <s v="Retail"/>
    <s v="H. Kim"/>
    <s v="Networking"/>
    <s v="NET-7166"/>
    <n v="1421.19"/>
    <n v="1808.26"/>
    <n v="1808.26"/>
    <s v="High"/>
    <n v="0.104"/>
    <n v="0.104"/>
    <n v="13"/>
    <n v="21062.61248"/>
    <n v="18475.47"/>
    <n v="2587.1424799999986"/>
    <n v="0.12283103449093123"/>
    <d v="2023-01-19T00:00:00"/>
    <n v="26"/>
  </r>
  <r>
    <s v="ORD-2025-331237"/>
    <x v="357"/>
    <x v="357"/>
    <s v="Q1 -2025"/>
    <d v="2025-03-25T00:00:00"/>
    <d v="2025-03-25T00:00:00"/>
    <n v="1"/>
    <n v="1"/>
    <s v="Asia"/>
    <s v="China"/>
    <s v="Beijing"/>
    <s v="Asia&gt;China&gt;Beijing"/>
    <s v="Non-Profit"/>
    <s v="Online"/>
    <s v="G. Dubois"/>
    <s v="Networking"/>
    <s v="NET-8329"/>
    <n v="1133.03"/>
    <n v="1921.51"/>
    <n v="1921.51"/>
    <s v="High"/>
    <n v="0.10100000000000001"/>
    <n v="0.10100000000000001"/>
    <n v="5"/>
    <n v="8637.1874499999994"/>
    <n v="5665.15"/>
    <n v="2972.0374499999998"/>
    <n v="0.3440978289755654"/>
    <d v="2023-01-12T00:00:00"/>
    <n v="26"/>
  </r>
  <r>
    <s v="ORD-2025-332931"/>
    <x v="376"/>
    <x v="376"/>
    <s v="Q1 -2025"/>
    <d v="2025-03-01T00:00:00"/>
    <d v="2025-03-01T00:00:00"/>
    <n v="14"/>
    <n v="0"/>
    <s v="Africa"/>
    <s v="Kenya"/>
    <s v="Mombasa"/>
    <s v="Africa&gt;Kenya&gt;Mombasa"/>
    <s v="Education"/>
    <s v="Direct"/>
    <s v="L. Okafor"/>
    <s v="Accessories"/>
    <s v="ACC-5144"/>
    <n v="1162.8599999999999"/>
    <n v="1447.68"/>
    <n v="1447.68"/>
    <s v="Medium"/>
    <n v="8.6999999999999994E-2"/>
    <n v="8.6999999999999994E-2"/>
    <n v="12"/>
    <n v="15860.782080000001"/>
    <n v="13954.32"/>
    <n v="1906.4620800000012"/>
    <n v="0.12019975247021369"/>
    <d v="2023-01-20T00:00:00"/>
    <n v="24"/>
  </r>
  <r>
    <s v="ORD-2025-337268"/>
    <x v="384"/>
    <x v="384"/>
    <s v="Q1 -2025"/>
    <d v="2025-03-17T00:00:00"/>
    <d v="2025-03-17T00:00:00"/>
    <n v="29"/>
    <n v="0"/>
    <s v="Europe"/>
    <s v="Germany"/>
    <s v="Munich"/>
    <s v="Europe&gt;Germany&gt;Munich"/>
    <s v="Consumer"/>
    <s v="Retail"/>
    <s v="L. Okafor"/>
    <s v="Accessories"/>
    <s v="ACC-5150"/>
    <n v="730.42"/>
    <n v="956.7"/>
    <n v="956.7"/>
    <s v="Medium"/>
    <n v="4.2000000000000003E-2"/>
    <n v="4.2000000000000003E-2"/>
    <n v="22"/>
    <n v="20163.409200000002"/>
    <n v="16069.24"/>
    <n v="4094.1692000000021"/>
    <n v="0.20304945256975698"/>
    <d v="2023-01-22T00:00:00"/>
    <n v="24"/>
  </r>
  <r>
    <s v="ORD-2025-354346"/>
    <x v="385"/>
    <x v="385"/>
    <s v="Q1 -2025"/>
    <d v="2025-01-15T00:00:00"/>
    <d v="2025-01-15T00:00:00"/>
    <n v="6"/>
    <n v="1"/>
    <s v="Asia"/>
    <s v="China"/>
    <s v="Beijing"/>
    <s v="Asia&gt;China&gt;Beijing"/>
    <s v="Education"/>
    <s v="Online"/>
    <s v="C. Otieno"/>
    <s v="Phones"/>
    <s v="PHN-2875"/>
    <n v="304.77999999999997"/>
    <n v="537.27"/>
    <n v="537.27"/>
    <s v="Low"/>
    <n v="0.187"/>
    <n v="0.187"/>
    <n v="8"/>
    <n v="3494.4040799999998"/>
    <n v="2438.2399999999998"/>
    <n v="1056.16408"/>
    <n v="0.3022444044307549"/>
    <d v="2023-01-12T00:00:00"/>
    <n v="23"/>
  </r>
  <r>
    <s v="ORD-2025-364852"/>
    <x v="386"/>
    <x v="386"/>
    <s v="Q2 -2025"/>
    <d v="2025-06-09T00:00:00"/>
    <d v="2025-06-09T00:00:00"/>
    <n v="22"/>
    <n v="0"/>
    <s v="Americas"/>
    <s v="USA"/>
    <s v="New York"/>
    <s v="Americas&gt;USA&gt;New York"/>
    <s v="Consumer"/>
    <s v="Retail"/>
    <s v="H. Kim"/>
    <s v="Networking"/>
    <s v="NET-3749"/>
    <n v="382.96"/>
    <n v="552.84"/>
    <n v="552.84"/>
    <s v="Low"/>
    <n v="0.17599999999999999"/>
    <n v="0.17599999999999999"/>
    <n v="8"/>
    <n v="3644.3212800000006"/>
    <n v="3063.68"/>
    <n v="580.64128000000073"/>
    <n v="0.15932768693763483"/>
    <d v="2023-01-13T00:00:00"/>
    <n v="28"/>
  </r>
  <r>
    <s v="ORD-2025-398335"/>
    <x v="364"/>
    <x v="364"/>
    <s v="Q2 -2025"/>
    <d v="2025-06-27T00:00:00"/>
    <d v="2025-06-27T00:00:00"/>
    <n v="26"/>
    <n v="0"/>
    <s v="Europe"/>
    <s v="Germany"/>
    <s v="Munich"/>
    <s v="Europe&gt;Germany&gt;Munich"/>
    <s v="Consumer"/>
    <s v="Distributor"/>
    <s v="E. Garcia"/>
    <s v="Laptops"/>
    <s v="LAP-1619"/>
    <n v="1362.31"/>
    <n v="3294.57"/>
    <n v="3294.57"/>
    <s v="High"/>
    <n v="0.113"/>
    <n v="0.113"/>
    <n v="7"/>
    <n v="20455.985130000001"/>
    <n v="9536.17"/>
    <n v="10919.815130000001"/>
    <n v="0.5338200561157721"/>
    <d v="2023-01-22T00:00:00"/>
    <n v="28"/>
  </r>
  <r>
    <s v="ORD-2025-411385"/>
    <x v="387"/>
    <x v="387"/>
    <s v="Q2 -2025"/>
    <d v="2025-06-14T00:00:00"/>
    <d v="2025-06-14T00:00:00"/>
    <n v="9"/>
    <n v="0"/>
    <s v="Asia"/>
    <s v="India"/>
    <s v="Delhi"/>
    <s v="Asia&gt;India&gt;Delhi"/>
    <s v="Non-Profit"/>
    <s v="Retail"/>
    <s v="A. Patel"/>
    <s v="Accessories"/>
    <s v="ACC-2902"/>
    <n v="618.69000000000005"/>
    <n v="796.15"/>
    <n v="796.15"/>
    <s v="Medium"/>
    <n v="0.09"/>
    <n v="0.09"/>
    <n v="11"/>
    <n v="7969.4615000000003"/>
    <n v="6805.59"/>
    <n v="1163.8715000000002"/>
    <n v="0.14604142325049191"/>
    <d v="2023-01-29T00:00:00"/>
    <n v="28"/>
  </r>
  <r>
    <s v="ORD-2025-415018"/>
    <x v="388"/>
    <x v="388"/>
    <s v="Q1 -2025"/>
    <d v="2025-02-04T00:00:00"/>
    <d v="2025-02-04T00:00:00"/>
    <n v="13"/>
    <n v="0"/>
    <s v="Asia"/>
    <s v="Japan"/>
    <s v="Tokyo"/>
    <s v="Asia&gt;Japan&gt;Tokyo"/>
    <s v="Small Business"/>
    <s v="Distributor"/>
    <s v="L. Okafor"/>
    <s v="Printers"/>
    <s v="PRN-2991"/>
    <n v="122.29"/>
    <n v="224.95"/>
    <n v="224.95"/>
    <s v="Low"/>
    <n v="0.153"/>
    <n v="0.153"/>
    <n v="28"/>
    <n v="5334.9141999999993"/>
    <n v="3424.1200000000003"/>
    <n v="1910.7941999999989"/>
    <n v="0.3581677471026618"/>
    <d v="2023-03-03T00:00:00"/>
    <n v="22"/>
  </r>
  <r>
    <s v="ORD-2025-417336"/>
    <x v="389"/>
    <x v="389"/>
    <s v="Q3 -2025"/>
    <d v="2025-09-03T00:00:00"/>
    <d v="2025-09-03T00:00:00"/>
    <n v="4"/>
    <n v="1"/>
    <s v="Europe"/>
    <s v="France"/>
    <s v="Marseille"/>
    <s v="Europe&gt;France&gt;Marseille"/>
    <s v="Small Business"/>
    <s v="Marketplace"/>
    <s v="J. Njeri"/>
    <s v="Laptops"/>
    <s v="LAP-3220"/>
    <n v="1286.56"/>
    <n v="2777.35"/>
    <n v="2777.35"/>
    <s v="High"/>
    <n v="0.13200000000000001"/>
    <n v="0.13200000000000001"/>
    <n v="15"/>
    <n v="36161.097000000002"/>
    <n v="19298.399999999998"/>
    <n v="16862.697000000004"/>
    <n v="0.46632150014696744"/>
    <d v="2023-01-10T00:00:00"/>
    <n v="31"/>
  </r>
  <r>
    <s v="ORD-2025-417942"/>
    <x v="390"/>
    <x v="390"/>
    <s v="Q2 -2025"/>
    <d v="2025-06-24T00:00:00"/>
    <d v="2025-06-24T00:00:00"/>
    <n v="15"/>
    <n v="0"/>
    <s v="Asia"/>
    <s v="Japan"/>
    <s v="Nagoya"/>
    <s v="Asia&gt;Japan&gt;Nagoya"/>
    <s v="Corporate"/>
    <s v="Direct"/>
    <s v="B. Chen"/>
    <s v="Phones"/>
    <s v="PHN-5675"/>
    <n v="400.39"/>
    <n v="712.75"/>
    <n v="712.75"/>
    <s v="Low"/>
    <n v="0.115"/>
    <n v="0.115"/>
    <n v="19"/>
    <n v="11984.891250000001"/>
    <n v="7607.41"/>
    <n v="4377.4812500000007"/>
    <n v="0.36524997671547504"/>
    <d v="2023-03-03T00:00:00"/>
    <n v="27"/>
  </r>
  <r>
    <s v="ORD-2025-418232"/>
    <x v="372"/>
    <x v="372"/>
    <s v="Q3 -2025"/>
    <d v="2025-08-21T00:00:00"/>
    <d v="2025-08-21T00:00:00"/>
    <n v="20"/>
    <n v="0"/>
    <s v="Asia"/>
    <s v="China"/>
    <s v="Shanghai"/>
    <s v="Asia&gt;China&gt;Shanghai"/>
    <s v="Corporate"/>
    <s v="Direct"/>
    <s v="I. Johnson"/>
    <s v="Phones"/>
    <s v="PHN-9234"/>
    <n v="1220.4100000000001"/>
    <n v="2552.2199999999998"/>
    <n v="2552.2199999999998"/>
    <s v="High"/>
    <n v="0.18099999999999999"/>
    <n v="0.18099999999999999"/>
    <n v="14"/>
    <n v="29263.754519999995"/>
    <n v="17085.740000000002"/>
    <n v="12178.014519999993"/>
    <n v="0.41614668793360271"/>
    <d v="2023-01-12T00:00:00"/>
    <n v="30"/>
  </r>
  <r>
    <s v="ORD-2025-419532"/>
    <x v="391"/>
    <x v="391"/>
    <s v="Q3 -2025"/>
    <d v="2025-08-23T00:00:00"/>
    <d v="2025-08-23T00:00:00"/>
    <n v="17"/>
    <n v="0"/>
    <s v="Americas"/>
    <s v="Brazil"/>
    <s v="Brasília"/>
    <s v="Americas&gt;Brazil&gt;Brasília"/>
    <s v="Consumer"/>
    <s v="Distributor"/>
    <s v="A. Patel"/>
    <s v="Monitors"/>
    <s v="MON-4317"/>
    <n v="86.64"/>
    <n v="213.06"/>
    <n v="213.06"/>
    <s v="Low"/>
    <n v="0.21199999999999999"/>
    <n v="0.21199999999999999"/>
    <n v="11"/>
    <n v="1846.8040799999999"/>
    <n v="953.04"/>
    <n v="893.76407999999992"/>
    <n v="0.48395175735154322"/>
    <d v="2023-01-29T00:00:00"/>
    <n v="30"/>
  </r>
  <r>
    <s v="ORD-2025-440093"/>
    <x v="367"/>
    <x v="367"/>
    <s v="Q2 -2025"/>
    <d v="2025-04-26T00:00:00"/>
    <d v="2025-04-26T00:00:00"/>
    <n v="10"/>
    <n v="0"/>
    <s v="Africa"/>
    <s v="Nigeria"/>
    <s v="Port Harcourt"/>
    <s v="Africa&gt;Nigeria&gt;Port Harcourt"/>
    <s v="Enterprise"/>
    <s v="Marketplace"/>
    <s v="F. Müller"/>
    <s v="Laptops"/>
    <s v="LAP-3490"/>
    <n v="1457.44"/>
    <n v="1996.81"/>
    <n v="1996.81"/>
    <s v="High"/>
    <n v="0.126"/>
    <n v="0.126"/>
    <n v="23"/>
    <n v="40139.874619999995"/>
    <n v="33521.120000000003"/>
    <n v="6618.7546199999924"/>
    <n v="0.16489225944672353"/>
    <d v="2023-01-15T00:00:00"/>
    <n v="27"/>
  </r>
  <r>
    <s v="ORD-2025-460466"/>
    <x v="392"/>
    <x v="392"/>
    <s v="Q1 -2025"/>
    <d v="2025-02-16T00:00:00"/>
    <d v="2025-02-16T00:00:00"/>
    <n v="9"/>
    <n v="0"/>
    <s v="Africa"/>
    <s v="Nigeria"/>
    <s v="Lagos"/>
    <s v="Africa&gt;Nigeria&gt;Lagos"/>
    <s v="Small Business"/>
    <s v="Distributor"/>
    <s v="C. Otieno"/>
    <s v="Printers"/>
    <s v="PRN-1882"/>
    <n v="90.68"/>
    <n v="118.17"/>
    <n v="118.17"/>
    <s v="Low"/>
    <n v="0.13500000000000001"/>
    <n v="0.13500000000000001"/>
    <n v="21"/>
    <n v="2146.5580500000001"/>
    <n v="1904.2800000000002"/>
    <n v="242.27804999999989"/>
    <n v="0.11286815653552899"/>
    <d v="2023-01-15T00:00:00"/>
    <n v="24"/>
  </r>
  <r>
    <s v="ORD-2025-473192"/>
    <x v="393"/>
    <x v="393"/>
    <s v="Q1 -2025"/>
    <d v="2025-04-29T00:00:00"/>
    <d v="2025-04-29T00:00:00"/>
    <n v="30"/>
    <n v="0"/>
    <s v="Africa"/>
    <s v="South Africa"/>
    <s v="Durban"/>
    <s v="Africa&gt;South Africa&gt;Durban"/>
    <s v="Consumer"/>
    <s v="Marketplace"/>
    <s v="J. Njeri"/>
    <s v="Monitors"/>
    <s v="MON-7106"/>
    <n v="194.6"/>
    <n v="314.87"/>
    <n v="314.87"/>
    <s v="Low"/>
    <n v="0.29299999999999998"/>
    <n v="0.29299999999999998"/>
    <n v="25"/>
    <n v="5565.3272500000003"/>
    <n v="4865"/>
    <n v="700.32725000000028"/>
    <n v="0.1258375686712763"/>
    <d v="2023-01-07T00:00:00"/>
    <n v="26"/>
  </r>
  <r>
    <s v="ORD-2025-474368"/>
    <x v="381"/>
    <x v="381"/>
    <s v="Q2 -2025"/>
    <d v="2025-05-17T00:00:00"/>
    <d v="2025-05-17T00:00:00"/>
    <n v="20"/>
    <n v="0"/>
    <s v="Americas"/>
    <s v="USA"/>
    <s v="Austin"/>
    <s v="Americas&gt;USA&gt;Austin"/>
    <s v="Corporate"/>
    <s v="Direct"/>
    <s v="N. Brown"/>
    <s v="Phones"/>
    <s v="PHN-8776"/>
    <n v="932.26"/>
    <n v="1624.67"/>
    <n v="1624.67"/>
    <s v="High"/>
    <n v="0.23499999999999999"/>
    <n v="0.23499999999999999"/>
    <n v="28"/>
    <n v="34800.431400000001"/>
    <n v="26103.279999999999"/>
    <n v="8697.1514000000025"/>
    <n v="0.24991504559337163"/>
    <d v="2023-01-13T00:00:00"/>
    <n v="27"/>
  </r>
  <r>
    <s v="ORD-2025-474710"/>
    <x v="394"/>
    <x v="394"/>
    <s v="Q3 -2025"/>
    <d v="2025-08-06T00:00:00"/>
    <d v="2025-08-06T00:00:00"/>
    <n v="13"/>
    <n v="0"/>
    <s v="Africa"/>
    <s v="South Africa"/>
    <s v="Johannesburg"/>
    <s v="Africa&gt;South Africa&gt;Johannesburg"/>
    <s v="Education"/>
    <s v="Marketplace"/>
    <s v="D. Smith"/>
    <s v="Networking"/>
    <s v="NET-7966"/>
    <n v="1463.9"/>
    <n v="2633.02"/>
    <n v="2633.02"/>
    <s v="High"/>
    <n v="8.4000000000000005E-2"/>
    <n v="8.4000000000000005E-2"/>
    <n v="4"/>
    <n v="9647.3852800000004"/>
    <n v="5855.6"/>
    <n v="3791.7852800000001"/>
    <n v="0.39303761277791527"/>
    <d v="2023-01-07T00:00:00"/>
    <n v="30"/>
  </r>
  <r>
    <s v="ORD-2025-480172"/>
    <x v="395"/>
    <x v="395"/>
    <s v="Q2 -2025"/>
    <d v="2025-07-05T00:00:00"/>
    <d v="2025-07-05T00:00:00"/>
    <n v="18"/>
    <n v="0"/>
    <s v="Asia"/>
    <s v="India"/>
    <s v="Delhi"/>
    <s v="Asia&gt;India&gt;Delhi"/>
    <s v="Consumer"/>
    <s v="Marketplace"/>
    <s v="L. Okafor"/>
    <s v="Laptops"/>
    <s v="LAP-1990"/>
    <n v="982.93"/>
    <n v="2299.3000000000002"/>
    <n v="2299.3000000000002"/>
    <s v="High"/>
    <n v="0.113"/>
    <n v="0.113"/>
    <n v="6"/>
    <n v="12236.874600000001"/>
    <n v="5897.58"/>
    <n v="6339.2946000000011"/>
    <n v="0.51804850562087157"/>
    <d v="2023-01-29T00:00:00"/>
    <n v="28"/>
  </r>
  <r>
    <s v="ORD-2025-484073"/>
    <x v="396"/>
    <x v="396"/>
    <s v="Q1 -2025"/>
    <d v="2025-03-09T00:00:00"/>
    <d v="2025-03-09T00:00:00"/>
    <n v="18"/>
    <n v="0"/>
    <s v="Asia"/>
    <s v="India"/>
    <s v="Delhi"/>
    <s v="Asia&gt;India&gt;Delhi"/>
    <s v="Small Business"/>
    <s v="Direct"/>
    <s v="O. Wang"/>
    <s v="Monitors"/>
    <s v="MON-1436"/>
    <n v="325.87"/>
    <n v="538.79"/>
    <n v="538.79"/>
    <s v="Low"/>
    <n v="0.17399999999999999"/>
    <n v="0.17399999999999999"/>
    <n v="16"/>
    <n v="7120.6486400000003"/>
    <n v="5213.92"/>
    <n v="1906.7286400000003"/>
    <n v="0.26777457172778013"/>
    <d v="2023-01-29T00:00:00"/>
    <n v="24"/>
  </r>
  <r>
    <s v="ORD-2025-485946"/>
    <x v="397"/>
    <x v="397"/>
    <s v="Q2 -2025"/>
    <d v="2025-06-30T00:00:00"/>
    <d v="2025-06-30T00:00:00"/>
    <n v="15"/>
    <n v="0"/>
    <s v="Africa"/>
    <s v="South Africa"/>
    <s v="Johannesburg"/>
    <s v="Africa&gt;South Africa&gt;Johannesburg"/>
    <s v="Small Business"/>
    <s v="Direct"/>
    <s v="C. Otieno"/>
    <s v="Monitors"/>
    <s v="MON-5891"/>
    <n v="1487.59"/>
    <n v="1480.83"/>
    <n v="1480.83"/>
    <s v="High"/>
    <n v="8.9999999999999993E-3"/>
    <n v="8.9999999999999993E-3"/>
    <n v="11"/>
    <n v="16142.527829999999"/>
    <n v="16363.49"/>
    <n v="-220.9621700000007"/>
    <n v="-1.3688201273492908E-2"/>
    <d v="2023-01-07T00:00:00"/>
    <n v="29"/>
  </r>
  <r>
    <s v="ORD-2025-486350"/>
    <x v="398"/>
    <x v="398"/>
    <s v="Q2 -2025"/>
    <d v="2025-06-08T00:00:00"/>
    <d v="2025-06-08T00:00:00"/>
    <n v="12"/>
    <n v="0"/>
    <s v="Asia"/>
    <s v="Japan"/>
    <s v="Osaka"/>
    <s v="Asia&gt;Japan&gt;Osaka"/>
    <s v="Corporate"/>
    <s v="Retail"/>
    <s v="H. Kim"/>
    <s v="Accessories"/>
    <s v="ACC-1249"/>
    <n v="653.6"/>
    <n v="842.09"/>
    <n v="842.09"/>
    <s v="Medium"/>
    <n v="9.8000000000000004E-2"/>
    <n v="9.8000000000000004E-2"/>
    <n v="19"/>
    <n v="14431.738420000001"/>
    <n v="12418.4"/>
    <n v="2013.3384200000019"/>
    <n v="0.13950768517324622"/>
    <d v="2023-03-03T00:00:00"/>
    <n v="26"/>
  </r>
  <r>
    <s v="ORD-2025-487025"/>
    <x v="399"/>
    <x v="399"/>
    <s v="Q2 -2025"/>
    <d v="2025-05-04T00:00:00"/>
    <d v="2025-05-04T00:00:00"/>
    <n v="23"/>
    <n v="0"/>
    <s v="Asia"/>
    <s v="Japan"/>
    <s v="Osaka"/>
    <s v="Asia&gt;Japan&gt;Osaka"/>
    <s v="Small Business"/>
    <s v="Online"/>
    <s v="M. Rossi"/>
    <s v="Components"/>
    <s v="CMP-3743"/>
    <n v="786.2"/>
    <n v="1075.3"/>
    <n v="1075.3"/>
    <s v="Medium"/>
    <n v="0.08"/>
    <n v="0.08"/>
    <n v="9"/>
    <n v="8903.4839999999986"/>
    <n v="7075.8"/>
    <n v="1827.6839999999984"/>
    <n v="0.20527739478163815"/>
    <d v="2023-03-03T00:00:00"/>
    <n v="25"/>
  </r>
  <r>
    <s v="ORD-2025-487261"/>
    <x v="400"/>
    <x v="400"/>
    <s v="Q1 -2025"/>
    <d v="2025-03-31T00:00:00"/>
    <d v="2025-03-31T00:00:00"/>
    <n v="25"/>
    <n v="0"/>
    <s v="Americas"/>
    <s v="Brazil"/>
    <s v="Brasília"/>
    <s v="Americas&gt;Brazil&gt;Brasília"/>
    <s v="Non-Profit"/>
    <s v="Online"/>
    <s v="J. Njeri"/>
    <s v="Components"/>
    <s v="CMP-3693"/>
    <n v="331.57"/>
    <n v="548.4"/>
    <n v="548.4"/>
    <s v="Low"/>
    <n v="9.4E-2"/>
    <n v="9.4E-2"/>
    <n v="10"/>
    <n v="4968.5039999999999"/>
    <n v="3315.7"/>
    <n v="1652.8040000000001"/>
    <n v="0.33265626836568918"/>
    <d v="2023-01-29T00:00:00"/>
    <n v="25"/>
  </r>
  <r>
    <s v="ORD-2025-488349"/>
    <x v="401"/>
    <x v="401"/>
    <s v="Q2 -2025"/>
    <d v="2025-04-22T00:00:00"/>
    <d v="2025-04-29T00:00:00"/>
    <n v="6"/>
    <n v="1"/>
    <s v="Americas"/>
    <s v="USA"/>
    <s v="San Francisco"/>
    <s v="Americas&gt;USA&gt;San Francisco"/>
    <s v="Non-Profit"/>
    <s v="Distributor"/>
    <s v="D. Smith"/>
    <s v="Monitors"/>
    <s v="MON-3371"/>
    <n v="23.24"/>
    <n v="44.57"/>
    <n v="44.57"/>
    <s v="Low"/>
    <n v="0.215"/>
    <n v="0.215"/>
    <n v="15"/>
    <n v="524.81174999999996"/>
    <n v="348.59999999999997"/>
    <n v="176.21174999999999"/>
    <n v="0.33576182316802167"/>
    <d v="2023-01-13T00:00:00"/>
    <n v="27"/>
  </r>
  <r>
    <s v="ORD-2025-496178"/>
    <x v="402"/>
    <x v="402"/>
    <s v="Q3 -2025"/>
    <d v="2025-08-15T00:00:00"/>
    <d v="2025-08-15T00:00:00"/>
    <n v="19"/>
    <n v="0"/>
    <s v="Asia"/>
    <s v="Japan"/>
    <s v="Tokyo"/>
    <s v="Asia&gt;Japan&gt;Tokyo"/>
    <s v="Small Business"/>
    <s v="Marketplace"/>
    <s v="J. Njeri"/>
    <s v="Components"/>
    <s v="CMP-5658"/>
    <n v="275.43"/>
    <n v="608.36"/>
    <n v="608.36"/>
    <s v="Low"/>
    <n v="0.25700000000000001"/>
    <n v="0.25700000000000001"/>
    <n v="4"/>
    <n v="1808.04592"/>
    <n v="1101.72"/>
    <n v="706.32592"/>
    <n v="0.39065706915231446"/>
    <d v="2023-03-03T00:00:00"/>
    <n v="28"/>
  </r>
  <r>
    <s v="ORD-2025-501927"/>
    <x v="403"/>
    <x v="403"/>
    <s v="Q1 -2025"/>
    <d v="2025-03-24T00:00:00"/>
    <d v="2025-03-24T00:00:00"/>
    <n v="21"/>
    <n v="0"/>
    <s v="Africa"/>
    <s v="Nigeria"/>
    <s v="Abuja"/>
    <s v="Africa&gt;Nigeria&gt;Abuja"/>
    <s v="Enterprise"/>
    <s v="Direct"/>
    <s v="H. Kim"/>
    <s v="Accessories"/>
    <s v="ACC-4056"/>
    <n v="555.95000000000005"/>
    <n v="468.09"/>
    <n v="468.09"/>
    <s v="Low"/>
    <n v="0.14199999999999999"/>
    <n v="0.14199999999999999"/>
    <n v="11"/>
    <n v="4417.8334199999999"/>
    <n v="6115.4500000000007"/>
    <n v="-1697.6165800000008"/>
    <n v="-0.38426450674095375"/>
    <d v="2023-01-15T00:00:00"/>
    <n v="25"/>
  </r>
  <r>
    <s v="ORD-2025-509940"/>
    <x v="404"/>
    <x v="404"/>
    <s v="Q2 -2025"/>
    <d v="2025-05-27T00:00:00"/>
    <d v="2025-05-27T00:00:00"/>
    <n v="11"/>
    <n v="0"/>
    <s v="Asia"/>
    <s v="China"/>
    <s v="Beijing"/>
    <s v="Asia&gt;China&gt;Beijing"/>
    <s v="Enterprise"/>
    <s v="Online"/>
    <s v="F. Müller"/>
    <s v="Phones"/>
    <s v="PHN-3800"/>
    <n v="918.12"/>
    <n v="1337.69"/>
    <n v="1337.69"/>
    <s v="Medium"/>
    <n v="9.5000000000000001E-2"/>
    <n v="9.5000000000000001E-2"/>
    <n v="8"/>
    <n v="9684.8756000000012"/>
    <n v="7344.96"/>
    <n v="2339.9156000000012"/>
    <n v="0.24160512707050164"/>
    <d v="2023-01-12T00:00:00"/>
    <n v="28"/>
  </r>
  <r>
    <s v="ORD-2025-512310"/>
    <x v="405"/>
    <x v="405"/>
    <s v="Q1 -2025"/>
    <d v="2025-03-15T00:00:00"/>
    <d v="2025-03-15T00:00:00"/>
    <n v="7"/>
    <n v="1"/>
    <s v="Asia"/>
    <s v="India"/>
    <s v="Bengaluru"/>
    <s v="Asia&gt;India&gt;Bengaluru"/>
    <s v="Corporate"/>
    <s v="Distributor"/>
    <s v="K. Singh"/>
    <s v="Laptops"/>
    <s v="LAP-8119"/>
    <n v="475.66"/>
    <n v="529.14"/>
    <n v="529.14"/>
    <s v="Low"/>
    <n v="0.19600000000000001"/>
    <n v="0.19600000000000001"/>
    <n v="11"/>
    <n v="4679.7141600000004"/>
    <n v="5232.26"/>
    <n v="-552.54583999999977"/>
    <n v="-0.11807256193613323"/>
    <d v="2023-01-29T00:00:00"/>
    <n v="25"/>
  </r>
  <r>
    <s v="ORD-2025-515515"/>
    <x v="406"/>
    <x v="406"/>
    <s v="Q1 -2025"/>
    <d v="2025-01-23T00:00:00"/>
    <d v="2025-01-23T00:00:00"/>
    <n v="20"/>
    <n v="0"/>
    <s v="Asia"/>
    <s v="Japan"/>
    <s v="Osaka"/>
    <s v="Asia&gt;Japan&gt;Osaka"/>
    <s v="Corporate"/>
    <s v="Distributor"/>
    <s v="F. Müller"/>
    <s v="Phones"/>
    <s v="PHN-7019"/>
    <n v="908.6"/>
    <n v="691.37"/>
    <n v="691.37"/>
    <s v="Low"/>
    <n v="0.25"/>
    <n v="0.25"/>
    <n v="20"/>
    <n v="10370.549999999999"/>
    <n v="18172"/>
    <n v="-7801.4500000000007"/>
    <n v="-0.75226964818645115"/>
    <d v="2023-03-03T00:00:00"/>
    <n v="22"/>
  </r>
  <r>
    <s v="ORD-2025-526650"/>
    <x v="381"/>
    <x v="381"/>
    <s v="Q2 -2025"/>
    <d v="2025-05-25T00:00:00"/>
    <d v="2025-05-25T00:00:00"/>
    <n v="28"/>
    <n v="0"/>
    <s v="Europe"/>
    <s v="France"/>
    <s v="Paris"/>
    <s v="Europe&gt;France&gt;Paris"/>
    <s v="Small Business"/>
    <s v="Marketplace"/>
    <s v="I. Johnson"/>
    <s v="Phones"/>
    <s v="PHN-8350"/>
    <n v="603.45000000000005"/>
    <n v="1244.08"/>
    <n v="1244.08"/>
    <s v="Medium"/>
    <n v="0.2"/>
    <n v="0.2"/>
    <n v="11"/>
    <n v="10947.904"/>
    <n v="6637.9500000000007"/>
    <n v="4309.9539999999997"/>
    <n v="0.39367846119220623"/>
    <d v="2023-01-10T00:00:00"/>
    <n v="27"/>
  </r>
  <r>
    <s v="ORD-2025-526752"/>
    <x v="390"/>
    <x v="390"/>
    <s v="Q2 -2025"/>
    <d v="2025-06-25T00:00:00"/>
    <d v="2025-06-25T00:00:00"/>
    <n v="16"/>
    <n v="0"/>
    <s v="Asia"/>
    <s v="India"/>
    <s v="Hyderabad"/>
    <s v="Asia&gt;India&gt;Hyderabad"/>
    <s v="Enterprise"/>
    <s v="Distributor"/>
    <s v="M. Rossi"/>
    <s v="Phones"/>
    <s v="PHN-3482"/>
    <n v="527.33000000000004"/>
    <n v="911.72"/>
    <n v="911.72"/>
    <s v="Medium"/>
    <n v="0.14399999999999999"/>
    <n v="0.14399999999999999"/>
    <n v="25"/>
    <n v="19510.808000000001"/>
    <n v="13183.250000000002"/>
    <n v="6327.5579999999991"/>
    <n v="0.32431040272652978"/>
    <d v="2023-01-29T00:00:00"/>
    <n v="28"/>
  </r>
  <r>
    <s v="ORD-2025-532859"/>
    <x v="407"/>
    <x v="407"/>
    <s v="Q1 -2025"/>
    <d v="2025-03-27T00:00:00"/>
    <d v="2025-03-27T00:00:00"/>
    <n v="16"/>
    <n v="0"/>
    <s v="Asia"/>
    <s v="Japan"/>
    <s v="Tokyo"/>
    <s v="Asia&gt;Japan&gt;Tokyo"/>
    <s v="Enterprise"/>
    <s v="Distributor"/>
    <s v="B. Chen"/>
    <s v="Printers"/>
    <s v="PRN-5264"/>
    <n v="1317.58"/>
    <n v="1897.74"/>
    <n v="1897.74"/>
    <s v="High"/>
    <n v="8.1000000000000003E-2"/>
    <n v="8.1000000000000003E-2"/>
    <n v="6"/>
    <n v="10464.138360000001"/>
    <n v="7905.48"/>
    <n v="2558.6583600000013"/>
    <n v="0.24451687009230266"/>
    <d v="2023-03-03T00:00:00"/>
    <n v="24"/>
  </r>
  <r>
    <s v="ORD-2025-537785"/>
    <x v="408"/>
    <x v="408"/>
    <s v="Q3 -2025"/>
    <d v="2025-08-14T00:00:00"/>
    <d v="2025-08-14T00:00:00"/>
    <n v="9"/>
    <n v="0"/>
    <s v="Europe"/>
    <s v="United Kingdom"/>
    <s v="London"/>
    <s v="Europe&gt;United Kingdom&gt;London"/>
    <s v="Non-Profit"/>
    <s v="Direct"/>
    <s v="E. Garcia"/>
    <s v="Components"/>
    <s v="CMP-6346"/>
    <n v="41.76"/>
    <n v="45.19"/>
    <n v="45.19"/>
    <s v="Low"/>
    <n v="0.17899999999999999"/>
    <n v="0.17899999999999999"/>
    <n v="23"/>
    <n v="853.32276999999988"/>
    <n v="960.4799999999999"/>
    <n v="-107.15723000000003"/>
    <n v="-0.12557643340514638"/>
    <d v="2023-01-19T00:00:00"/>
    <n v="30"/>
  </r>
  <r>
    <s v="ORD-2025-541048"/>
    <x v="373"/>
    <x v="373"/>
    <s v="Q2 -2025"/>
    <d v="2025-04-13T00:00:00"/>
    <d v="2025-04-13T00:00:00"/>
    <n v="9"/>
    <n v="0"/>
    <s v="Europe"/>
    <s v="Germany"/>
    <s v="Munich"/>
    <s v="Europe&gt;Germany&gt;Munich"/>
    <s v="Consumer"/>
    <s v="Marketplace"/>
    <s v="F. Müller"/>
    <s v="Phones"/>
    <s v="PHN-3803"/>
    <n v="7.02"/>
    <n v="6.28"/>
    <n v="6.28"/>
    <s v="Low"/>
    <n v="0.13400000000000001"/>
    <n v="0.13400000000000001"/>
    <n v="14"/>
    <n v="76.138720000000006"/>
    <n v="98.28"/>
    <n v="-22.141279999999995"/>
    <n v="-0.29080184169106066"/>
    <d v="2023-01-22T00:00:00"/>
    <n v="26"/>
  </r>
  <r>
    <s v="ORD-2025-541501"/>
    <x v="409"/>
    <x v="409"/>
    <s v="Q3 -2025"/>
    <d v="2025-08-18T00:00:00"/>
    <d v="2025-08-18T00:00:00"/>
    <n v="27"/>
    <n v="0"/>
    <s v="Asia"/>
    <s v="China"/>
    <s v="Shenzhen"/>
    <s v="Asia&gt;China&gt;Shenzhen"/>
    <s v="Non-Profit"/>
    <s v="Marketplace"/>
    <s v="M. Rossi"/>
    <s v="Networking"/>
    <s v="NET-1804"/>
    <n v="547.32000000000005"/>
    <n v="419.17"/>
    <n v="419.17"/>
    <s v="Low"/>
    <n v="9.1999999999999998E-2"/>
    <n v="9.1999999999999998E-2"/>
    <n v="14"/>
    <n v="5328.4890400000004"/>
    <n v="7662.4800000000005"/>
    <n v="-2333.9909600000001"/>
    <n v="-0.43802116181137907"/>
    <d v="2023-01-12T00:00:00"/>
    <n v="30"/>
  </r>
  <r>
    <s v="ORD-2025-542939"/>
    <x v="410"/>
    <x v="410"/>
    <s v="Q1 -2025"/>
    <d v="2025-02-08T00:00:00"/>
    <d v="2025-02-08T00:00:00"/>
    <n v="26"/>
    <n v="0"/>
    <s v="Europe"/>
    <s v="France"/>
    <s v="Paris"/>
    <s v="Europe&gt;France&gt;Paris"/>
    <s v="Non-Profit"/>
    <s v="Unspecified"/>
    <s v="E. Garcia"/>
    <s v="Monitors"/>
    <s v="MON-1593"/>
    <n v="594.74"/>
    <n v="1020.69"/>
    <n v="1020.69"/>
    <s v="Medium"/>
    <n v="0.21099999999999999"/>
    <n v="0.21099999999999999"/>
    <n v="6"/>
    <n v="4831.9464600000001"/>
    <n v="3568.44"/>
    <n v="1263.5064600000001"/>
    <n v="0.26149016146176424"/>
    <d v="2023-01-10T00:00:00"/>
    <n v="24"/>
  </r>
  <r>
    <s v="ORD-2025-548982"/>
    <x v="411"/>
    <x v="411"/>
    <s v="Q2 -2025"/>
    <d v="2025-04-11T00:00:00"/>
    <d v="2025-04-11T00:00:00"/>
    <n v="4"/>
    <n v="1"/>
    <s v="Europe"/>
    <s v="France"/>
    <s v="Lyon"/>
    <s v="Europe&gt;France&gt;Lyon"/>
    <s v="Education"/>
    <s v="Retail"/>
    <s v="E. Garcia"/>
    <s v="Networking"/>
    <s v="NET-9716"/>
    <n v="754.77"/>
    <n v="1666.18"/>
    <n v="1666.18"/>
    <s v="Medium"/>
    <n v="0.13900000000000001"/>
    <n v="0.13900000000000001"/>
    <n v="14"/>
    <n v="20084.133720000002"/>
    <n v="10566.779999999999"/>
    <n v="9517.3537200000028"/>
    <n v="0.47387424584424653"/>
    <d v="2023-01-10T00:00:00"/>
    <n v="26"/>
  </r>
  <r>
    <s v="ORD-2025-564184"/>
    <x v="412"/>
    <x v="412"/>
    <s v="Q1 -2025"/>
    <d v="2025-02-06T00:00:00"/>
    <d v="2025-02-06T00:00:00"/>
    <n v="8"/>
    <n v="0"/>
    <s v="Africa"/>
    <s v="Kenya"/>
    <s v="Kisumu"/>
    <s v="Africa&gt;Kenya&gt;Kisumu"/>
    <s v="Education"/>
    <s v="Retail"/>
    <s v="B. Chen"/>
    <s v="Phones"/>
    <s v="PHN-1671"/>
    <n v="1445.27"/>
    <n v="2691.45"/>
    <n v="2691.45"/>
    <s v="High"/>
    <n v="0"/>
    <n v="0"/>
    <n v="9"/>
    <n v="24223.05"/>
    <n v="13007.43"/>
    <n v="11215.619999999999"/>
    <n v="0.46301436028906351"/>
    <d v="2023-01-20T00:00:00"/>
    <n v="24"/>
  </r>
  <r>
    <s v="ORD-2025-578007"/>
    <x v="352"/>
    <x v="352"/>
    <s v="Q1 -2025"/>
    <d v="2025-02-16T00:00:00"/>
    <d v="2025-02-16T00:00:00"/>
    <n v="26"/>
    <n v="0"/>
    <s v="Europe"/>
    <s v="France"/>
    <s v="Lyon"/>
    <s v="Europe&gt;France&gt;Lyon"/>
    <s v="Corporate"/>
    <s v="Distributor"/>
    <s v="O. Wang"/>
    <s v="Laptops"/>
    <s v="LAP-3779"/>
    <n v="204.11"/>
    <n v="236.87"/>
    <n v="236.87"/>
    <s v="Low"/>
    <n v="0.182"/>
    <n v="0.182"/>
    <n v="13"/>
    <n v="2518.8755800000004"/>
    <n v="2653.4300000000003"/>
    <n v="-134.55441999999994"/>
    <n v="-5.3418446337075494E-2"/>
    <d v="2023-01-10T00:00:00"/>
    <n v="24"/>
  </r>
  <r>
    <s v="ORD-2025-580047"/>
    <x v="413"/>
    <x v="413"/>
    <s v="Q2 -2025"/>
    <d v="2025-06-29T00:00:00"/>
    <d v="2025-06-29T00:00:00"/>
    <n v="15"/>
    <n v="0"/>
    <s v="Africa"/>
    <s v="Nigeria"/>
    <s v="Port Harcourt"/>
    <s v="Africa&gt;Nigeria&gt;Port Harcourt"/>
    <s v="Consumer"/>
    <s v="Marketplace"/>
    <s v="M. Rossi"/>
    <s v="Accessories"/>
    <s v="ACC-3961"/>
    <n v="730.99"/>
    <n v="1242.8399999999999"/>
    <n v="1242.8399999999999"/>
    <s v="Medium"/>
    <n v="0.12"/>
    <n v="0.12"/>
    <n v="10"/>
    <n v="10936.992"/>
    <n v="7309.9"/>
    <n v="3627.0920000000006"/>
    <n v="0.33163524303574515"/>
    <d v="2023-01-15T00:00:00"/>
    <n v="28"/>
  </r>
  <r>
    <s v="ORD-2025-586799"/>
    <x v="414"/>
    <x v="414"/>
    <s v="Q3 -2025"/>
    <d v="2025-08-04T00:00:00"/>
    <d v="2025-08-04T00:00:00"/>
    <n v="21"/>
    <n v="0"/>
    <s v="Americas"/>
    <s v="Canada"/>
    <s v="Montreal"/>
    <s v="Americas&gt;Canada&gt;Montreal"/>
    <s v="Consumer"/>
    <s v="Online"/>
    <s v="H. Kim"/>
    <s v="Monitors"/>
    <s v="MON-7868"/>
    <n v="90.3"/>
    <n v="131.76"/>
    <n v="131.76"/>
    <s v="Low"/>
    <n v="0.10199999999999999"/>
    <n v="0.10199999999999999"/>
    <n v="15"/>
    <n v="1774.8072"/>
    <n v="1354.5"/>
    <n v="420.30719999999997"/>
    <n v="0.23681851189244668"/>
    <d v="2023-01-02T00:00:00"/>
    <n v="30"/>
  </r>
  <r>
    <s v="ORD-2025-588029"/>
    <x v="415"/>
    <x v="415"/>
    <s v="Q3 -2025"/>
    <d v="2025-09-23T00:00:00"/>
    <d v="2025-09-23T00:00:00"/>
    <n v="9"/>
    <n v="0"/>
    <s v="Africa"/>
    <s v="South Africa"/>
    <s v="Durban"/>
    <s v="Africa&gt;South Africa&gt;Durban"/>
    <s v="Non-Profit"/>
    <s v="Online"/>
    <s v="D. Smith"/>
    <s v="Components"/>
    <s v="CMP-6898"/>
    <n v="1310.3"/>
    <n v="2875.8"/>
    <n v="2875.8"/>
    <s v="High"/>
    <n v="8.3000000000000004E-2"/>
    <n v="8.3000000000000004E-2"/>
    <n v="5"/>
    <n v="13185.543"/>
    <n v="6551.5"/>
    <n v="6634.0429999999997"/>
    <n v="0.50313005691157353"/>
    <d v="2023-01-07T00:00:00"/>
    <n v="32"/>
  </r>
  <r>
    <s v="ORD-2025-591006"/>
    <x v="416"/>
    <x v="416"/>
    <s v="Q2 -2025"/>
    <d v="2025-07-10T00:00:00"/>
    <d v="2025-07-10T00:00:00"/>
    <n v="15"/>
    <n v="0"/>
    <s v="Europe"/>
    <s v="United Kingdom"/>
    <s v="Birmingham"/>
    <s v="Europe&gt;United Kingdom&gt;Birmingham"/>
    <s v="Non-Profit"/>
    <s v="Marketplace"/>
    <s v="D. Smith"/>
    <s v="Phones"/>
    <s v="PHN-5383"/>
    <n v="546.83000000000004"/>
    <n v="400.84"/>
    <n v="400.84"/>
    <s v="Low"/>
    <n v="7.8E-2"/>
    <n v="7.8E-2"/>
    <n v="13"/>
    <n v="4804.4682400000002"/>
    <n v="7108.7900000000009"/>
    <n v="-2304.3217600000007"/>
    <n v="-0.47962056254533608"/>
    <d v="2023-01-19T00:00:00"/>
    <n v="29"/>
  </r>
  <r>
    <s v="ORD-2025-608069"/>
    <x v="417"/>
    <x v="417"/>
    <s v="Q2 -2025"/>
    <d v="2025-04-30T00:00:00"/>
    <d v="2025-04-30T00:00:00"/>
    <n v="18"/>
    <n v="0"/>
    <s v="Africa"/>
    <s v="Kenya"/>
    <s v="Kisumu"/>
    <s v="Africa&gt;Kenya&gt;Kisumu"/>
    <s v="Corporate"/>
    <s v="Marketplace"/>
    <s v="F. Müller"/>
    <s v="Networking"/>
    <s v="NET-3432"/>
    <n v="1119.04"/>
    <n v="1299.02"/>
    <n v="1299.02"/>
    <s v="Medium"/>
    <n v="2.5000000000000001E-2"/>
    <n v="2.5000000000000001E-2"/>
    <n v="14"/>
    <n v="17731.623"/>
    <n v="15666.56"/>
    <n v="2065.0630000000001"/>
    <n v="0.11646215352085933"/>
    <d v="2023-01-20T00:00:00"/>
    <n v="26"/>
  </r>
  <r>
    <s v="ORD-2025-624006"/>
    <x v="418"/>
    <x v="418"/>
    <s v="Q1 -2025"/>
    <d v="2025-03-29T00:00:00"/>
    <d v="2025-03-29T00:00:00"/>
    <n v="14"/>
    <n v="0"/>
    <s v="Asia"/>
    <s v="India"/>
    <s v="Mumbai"/>
    <s v="Asia&gt;India&gt;Mumbai"/>
    <s v="Enterprise"/>
    <s v="Direct"/>
    <s v="C. Otieno"/>
    <s v="Components"/>
    <s v="CMP-3259"/>
    <n v="935.83"/>
    <n v="2303.46"/>
    <n v="2303.46"/>
    <s v="High"/>
    <n v="0.105"/>
    <n v="0.105"/>
    <n v="9"/>
    <n v="18554.370299999999"/>
    <n v="8422.4700000000012"/>
    <n v="10131.900299999998"/>
    <n v="0.54606543559174292"/>
    <d v="2023-01-29T00:00:00"/>
    <n v="25"/>
  </r>
  <r>
    <s v="ORD-2025-626047"/>
    <x v="370"/>
    <x v="370"/>
    <s v="Q2 -2025"/>
    <d v="2025-05-15T00:00:00"/>
    <d v="2025-05-15T00:00:00"/>
    <n v="17"/>
    <n v="0"/>
    <s v="Asia"/>
    <s v="Japan"/>
    <s v="Nagoya"/>
    <s v="Asia&gt;Japan&gt;Nagoya"/>
    <s v="Education"/>
    <s v="Direct"/>
    <s v="N. Brown"/>
    <s v="Networking"/>
    <s v="NET-1966"/>
    <n v="691.19"/>
    <n v="1284.3"/>
    <n v="1284.3"/>
    <s v="Medium"/>
    <n v="7.3999999999999996E-2"/>
    <n v="7.3999999999999996E-2"/>
    <n v="7"/>
    <n v="8324.8326000000015"/>
    <n v="4838.33"/>
    <n v="3486.5026000000016"/>
    <n v="0.41880753253825198"/>
    <d v="2023-03-03T00:00:00"/>
    <n v="25"/>
  </r>
  <r>
    <s v="ORD-2025-629393"/>
    <x v="419"/>
    <x v="419"/>
    <s v="Q3 -2025"/>
    <d v="2025-08-07T00:00:00"/>
    <d v="2025-08-07T00:00:00"/>
    <n v="17"/>
    <n v="0"/>
    <s v="Africa"/>
    <s v="Nigeria"/>
    <s v="Lagos"/>
    <s v="Africa&gt;Nigeria&gt;Lagos"/>
    <s v="Enterprise"/>
    <s v="Direct"/>
    <s v="M. Rossi"/>
    <s v="Accessories"/>
    <s v="ACC-8999"/>
    <n v="1204.95"/>
    <n v="2065.73"/>
    <n v="2065.73"/>
    <s v="High"/>
    <n v="0.13600000000000001"/>
    <n v="0.13600000000000001"/>
    <n v="10"/>
    <n v="17847.907199999998"/>
    <n v="12049.5"/>
    <n v="5798.4071999999978"/>
    <n v="0.32487882949100039"/>
    <d v="2023-01-15T00:00:00"/>
    <n v="30"/>
  </r>
  <r>
    <s v="ORD-2025-635337"/>
    <x v="408"/>
    <x v="408"/>
    <s v="Q3 -2025"/>
    <d v="2025-08-28T00:00:00"/>
    <d v="2025-08-28T00:00:00"/>
    <n v="23"/>
    <n v="0"/>
    <s v="Asia"/>
    <s v="India"/>
    <s v="Mumbai"/>
    <s v="Asia&gt;India&gt;Mumbai"/>
    <s v="Non-Profit"/>
    <s v="Distributor"/>
    <s v="N. Brown"/>
    <s v="Laptops"/>
    <s v="LAP-3905"/>
    <n v="638.54"/>
    <n v="987.24"/>
    <n v="987.24"/>
    <s v="Medium"/>
    <n v="0"/>
    <n v="0"/>
    <n v="11"/>
    <n v="10859.64"/>
    <n v="7023.94"/>
    <n v="3835.7"/>
    <n v="0.35320692030306716"/>
    <d v="2023-01-29T00:00:00"/>
    <n v="30"/>
  </r>
  <r>
    <s v="ORD-2025-636162"/>
    <x v="420"/>
    <x v="420"/>
    <s v="Q1 -2025"/>
    <d v="2025-01-20T00:00:00"/>
    <d v="2025-01-20T00:00:00"/>
    <n v="13"/>
    <n v="0"/>
    <s v="Africa"/>
    <s v="South Africa"/>
    <s v="Cape Town"/>
    <s v="Africa&gt;South Africa&gt;Cape Town"/>
    <s v="Corporate"/>
    <s v="Direct"/>
    <s v="K. Singh"/>
    <s v="Networking"/>
    <s v="NET-7901"/>
    <n v="432.13"/>
    <n v="1034.6600000000001"/>
    <n v="1034.6600000000001"/>
    <s v="Medium"/>
    <n v="9.1999999999999998E-2"/>
    <n v="9.1999999999999998E-2"/>
    <n v="7"/>
    <n v="6576.298960000001"/>
    <n v="3024.91"/>
    <n v="3551.3889600000011"/>
    <n v="0.54002851476204794"/>
    <d v="2023-01-07T00:00:00"/>
    <n v="24"/>
  </r>
  <r>
    <s v="ORD-2025-639542"/>
    <x v="390"/>
    <x v="390"/>
    <s v="Q2 -2025"/>
    <d v="2025-06-18T00:00:00"/>
    <d v="2025-06-18T00:00:00"/>
    <n v="9"/>
    <n v="0"/>
    <s v="Europe"/>
    <s v="France"/>
    <s v="Marseille"/>
    <s v="Europe&gt;France&gt;Marseille"/>
    <s v="Small Business"/>
    <s v="Marketplace"/>
    <s v="H. Kim"/>
    <s v="Accessories"/>
    <s v="ACC-1770"/>
    <n v="1225.5"/>
    <n v="-5.27"/>
    <n v="5.27"/>
    <s v="Low"/>
    <n v="7.4999999999999997E-2"/>
    <n v="7.4999999999999997E-2"/>
    <n v="56"/>
    <n v="272.98599999999999"/>
    <n v="68628"/>
    <n v="-68355.013999999996"/>
    <n v="-250.39750756449047"/>
    <d v="2023-01-10T00:00:00"/>
    <n v="28"/>
  </r>
  <r>
    <s v="ORD-2025-640677"/>
    <x v="351"/>
    <x v="351"/>
    <s v="Q2 -2025"/>
    <d v="2025-05-06T00:00:00"/>
    <d v="2025-05-06T00:00:00"/>
    <n v="27"/>
    <n v="0"/>
    <s v="Americas"/>
    <s v="Brazil"/>
    <s v="Brasília"/>
    <s v="Americas&gt;Brazil&gt;Brasília"/>
    <s v="Enterprise"/>
    <s v="Marketplace"/>
    <s v="F. Müller"/>
    <s v="Laptops"/>
    <s v="LAP-4517"/>
    <n v="264.19"/>
    <n v="620.92999999999995"/>
    <n v="620.92999999999995"/>
    <s v="Low"/>
    <n v="0.14199999999999999"/>
    <n v="0.14199999999999999"/>
    <n v="12"/>
    <n v="6393.0952799999995"/>
    <n v="3170.2799999999997"/>
    <n v="3222.8152799999998"/>
    <n v="0.50410875152794532"/>
    <d v="2023-01-29T00:00:00"/>
    <n v="26"/>
  </r>
  <r>
    <s v="ORD-2025-646342"/>
    <x v="421"/>
    <x v="421"/>
    <s v="Q3 -2025"/>
    <d v="2025-08-08T00:00:00"/>
    <d v="2025-08-08T00:00:00"/>
    <n v="6"/>
    <n v="1"/>
    <s v="Asia"/>
    <s v="Japan"/>
    <s v="Osaka"/>
    <s v="Asia&gt;Japan&gt;Osaka"/>
    <s v="Consumer"/>
    <s v="Direct"/>
    <s v="N. Brown"/>
    <s v="Laptops"/>
    <s v="LAP-4828"/>
    <n v="1225.94"/>
    <n v="1793.08"/>
    <n v="1793.08"/>
    <s v="High"/>
    <n v="0.13600000000000001"/>
    <n v="0.13600000000000001"/>
    <n v="22"/>
    <n v="34082.864639999993"/>
    <n v="26970.68"/>
    <n v="7112.1846399999922"/>
    <n v="0.20867332353434462"/>
    <d v="2023-03-03T00:00:00"/>
    <n v="28"/>
  </r>
  <r>
    <s v="ORD-2025-649239"/>
    <x v="422"/>
    <x v="422"/>
    <s v="Q1 -2025"/>
    <d v="2025-01-24T00:00:00"/>
    <d v="2025-01-24T00:00:00"/>
    <n v="7"/>
    <n v="1"/>
    <s v="Americas"/>
    <s v="USA"/>
    <s v="Austin"/>
    <s v="Americas&gt;USA&gt;Austin"/>
    <s v="Enterprise"/>
    <s v="Online"/>
    <s v="G. Dubois"/>
    <s v="Accessories"/>
    <s v="ACC-4511"/>
    <n v="142.09"/>
    <n v="218.5"/>
    <n v="218.5"/>
    <s v="Low"/>
    <n v="0.11899999999999999"/>
    <n v="0.11899999999999999"/>
    <n v="11"/>
    <n v="2117.4834999999998"/>
    <n v="1562.99"/>
    <n v="554.49349999999981"/>
    <n v="0.26186437816398561"/>
    <d v="2023-01-13T00:00:00"/>
    <n v="24"/>
  </r>
  <r>
    <s v="ORD-2025-649633"/>
    <x v="423"/>
    <x v="423"/>
    <s v="Q3 -2025"/>
    <d v="2025-07-31T00:00:00"/>
    <d v="2025-07-31T00:00:00"/>
    <n v="12"/>
    <n v="0"/>
    <s v="Africa"/>
    <s v="Kenya"/>
    <s v="Nairobi"/>
    <s v="Africa&gt;Kenya&gt;Nairobi"/>
    <s v="Small Business"/>
    <s v="Marketplace"/>
    <s v="O. Wang"/>
    <s v="Accessories"/>
    <s v="ACC-1028"/>
    <n v="619.64"/>
    <n v="861.16"/>
    <n v="861.16"/>
    <s v="Low"/>
    <n v="0.113"/>
    <n v="0.113"/>
    <n v="14"/>
    <n v="10693.88488"/>
    <n v="8674.9599999999991"/>
    <n v="2018.9248800000005"/>
    <n v="0.18879246435276761"/>
    <d v="2023-01-20T00:00:00"/>
    <n v="29"/>
  </r>
  <r>
    <s v="ORD-2025-650719"/>
    <x v="424"/>
    <x v="424"/>
    <s v="Q1 -2025"/>
    <d v="2025-02-28T00:00:00"/>
    <d v="2025-02-28T00:00:00"/>
    <n v="16"/>
    <n v="0"/>
    <s v="Americas"/>
    <s v="Brazil"/>
    <s v="São Paulo"/>
    <s v="Americas&gt;Brazil&gt;São Paulo"/>
    <s v="Non-Profit"/>
    <s v="Direct"/>
    <s v="B. Chen"/>
    <s v="Monitors"/>
    <s v="MON-5179"/>
    <n v="414.95"/>
    <n v="1027.73"/>
    <n v="1027.73"/>
    <s v="Medium"/>
    <n v="6.3E-2"/>
    <n v="6.3E-2"/>
    <n v="8"/>
    <n v="7703.8640800000003"/>
    <n v="3319.6"/>
    <n v="4384.2640800000008"/>
    <n v="0.56909935513815568"/>
    <d v="2023-01-29T00:00:00"/>
    <n v="24"/>
  </r>
  <r>
    <s v="ORD-2025-650841"/>
    <x v="425"/>
    <x v="425"/>
    <s v="Q3 -2025"/>
    <d v="2025-07-06T00:00:00"/>
    <d v="2025-07-06T00:00:00"/>
    <n v="3"/>
    <n v="1"/>
    <s v="Africa"/>
    <s v="Nigeria"/>
    <s v="Lagos"/>
    <s v="Africa&gt;Nigeria&gt;Lagos"/>
    <s v="Consumer"/>
    <s v="Online"/>
    <s v="Unassigned"/>
    <s v="Laptops"/>
    <s v="LAP-8910"/>
    <n v="1313.3"/>
    <n v="2884.34"/>
    <n v="2884.34"/>
    <s v="High"/>
    <n v="0.157"/>
    <n v="0.157"/>
    <n v="42"/>
    <n v="102122.94203999999"/>
    <n v="55158.6"/>
    <n v="46964.342039999996"/>
    <n v="0.45988042551305253"/>
    <d v="2023-01-15T00:00:00"/>
    <n v="29"/>
  </r>
  <r>
    <s v="ORD-2025-652467"/>
    <x v="426"/>
    <x v="426"/>
    <s v="Q3 -2025"/>
    <d v="2025-09-12T00:00:00"/>
    <d v="2025-09-12T00:00:00"/>
    <n v="22"/>
    <n v="0"/>
    <s v="Asia"/>
    <s v="China"/>
    <s v="Shenzhen"/>
    <s v="Asia&gt;China&gt;Shenzhen"/>
    <s v="Education"/>
    <s v="Retail"/>
    <s v="B. Chen"/>
    <s v="Printers"/>
    <s v="PRN-8137"/>
    <n v="352.66"/>
    <n v="411.18"/>
    <n v="411.18"/>
    <s v="Low"/>
    <n v="0.17299999999999999"/>
    <n v="0.17299999999999999"/>
    <n v="13"/>
    <n v="4420.5961799999995"/>
    <n v="4584.58"/>
    <n v="-163.98382000000038"/>
    <n v="-3.7095408248758066E-2"/>
    <d v="2023-01-12T00:00:00"/>
    <n v="31"/>
  </r>
  <r>
    <s v="ORD-2025-653781"/>
    <x v="427"/>
    <x v="427"/>
    <s v="Q1 -2025"/>
    <d v="2025-01-23T00:00:00"/>
    <d v="2025-01-23T00:00:00"/>
    <n v="12"/>
    <n v="0"/>
    <s v="Americas"/>
    <s v="USA"/>
    <s v="Austin"/>
    <s v="Americas&gt;USA&gt;Austin"/>
    <s v="Consumer"/>
    <s v="Distributor"/>
    <s v="H. Kim"/>
    <s v="Phones"/>
    <s v="PHN-6307"/>
    <n v="100.69"/>
    <n v="226.14"/>
    <n v="226.14"/>
    <s v="Low"/>
    <n v="6.5000000000000002E-2"/>
    <n v="6.5000000000000002E-2"/>
    <n v="12"/>
    <n v="2537.2908000000002"/>
    <n v="1208.28"/>
    <n v="1329.0108000000002"/>
    <n v="0.52379128162999689"/>
    <d v="2023-01-13T00:00:00"/>
    <n v="23"/>
  </r>
  <r>
    <s v="ORD-2025-659650"/>
    <x v="428"/>
    <x v="428"/>
    <s v="Q1 -2025"/>
    <d v="2025-02-08T00:00:00"/>
    <d v="2025-02-08T00:00:00"/>
    <n v="4"/>
    <n v="1"/>
    <s v="Europe"/>
    <s v="United Kingdom"/>
    <s v="Manchester"/>
    <s v="Europe&gt;United Kingdom&gt;Manchester"/>
    <s v="Enterprise"/>
    <s v="Marketplace"/>
    <s v="L. Okafor"/>
    <s v="Networking"/>
    <s v="NET-2502"/>
    <n v="586.21"/>
    <n v="727.22"/>
    <n v="727.22"/>
    <s v="Low"/>
    <n v="6.8000000000000005E-2"/>
    <n v="6.8000000000000005E-2"/>
    <n v="15"/>
    <n v="10166.535600000001"/>
    <n v="8793.1500000000015"/>
    <n v="1373.3855999999996"/>
    <n v="0.13508884973559721"/>
    <d v="2023-01-19T00:00:00"/>
    <n v="24"/>
  </r>
  <r>
    <s v="ORD-2025-662997"/>
    <x v="429"/>
    <x v="429"/>
    <s v="Q1 -2025"/>
    <d v="2025-04-04T00:00:00"/>
    <d v="2025-04-04T00:00:00"/>
    <n v="4"/>
    <n v="1"/>
    <s v="Africa"/>
    <s v="Kenya"/>
    <s v="Nakuru"/>
    <s v="Africa&gt;Kenya&gt;Nakuru"/>
    <s v="Corporate"/>
    <s v="Direct"/>
    <s v="C. Otieno"/>
    <s v="Laptops"/>
    <s v="LAP-7136"/>
    <n v="862.08"/>
    <n v="1952.83"/>
    <n v="1952.83"/>
    <s v="High"/>
    <n v="0"/>
    <n v="0"/>
    <n v="7"/>
    <n v="13669.81"/>
    <n v="6034.56"/>
    <n v="7635.2499999999991"/>
    <n v="0.5585483631447693"/>
    <d v="2023-01-20T00:00:00"/>
    <n v="26"/>
  </r>
  <r>
    <s v="ORD-2025-667201"/>
    <x v="430"/>
    <x v="430"/>
    <s v="Q3 -2025"/>
    <d v="2025-09-18T00:00:00"/>
    <d v="2025-09-18T00:00:00"/>
    <n v="3"/>
    <n v="1"/>
    <s v="Americas"/>
    <s v="Brazil"/>
    <s v="Rio de Janeiro"/>
    <s v="Americas&gt;Brazil&gt;Rio de Janeiro"/>
    <s v="Non-Profit"/>
    <s v="Direct"/>
    <s v="L. Okafor"/>
    <s v="Accessories"/>
    <s v="ACC-6777"/>
    <n v="5.5"/>
    <n v="5.92"/>
    <n v="5.92"/>
    <s v="Low"/>
    <n v="0.21199999999999999"/>
    <n v="0.21199999999999999"/>
    <n v="4"/>
    <n v="18.659839999999999"/>
    <n v="22"/>
    <n v="-3.3401600000000009"/>
    <n v="-0.17900260666758133"/>
    <d v="2023-01-29T00:00:00"/>
    <n v="31"/>
  </r>
  <r>
    <s v="ORD-2025-673091"/>
    <x v="431"/>
    <x v="431"/>
    <s v="Q2 -2025"/>
    <d v="2025-05-13T00:00:00"/>
    <d v="2025-05-13T00:00:00"/>
    <n v="6"/>
    <n v="1"/>
    <s v="Asia"/>
    <s v="India"/>
    <s v="Bengaluru"/>
    <s v="Asia&gt;India&gt;Bengaluru"/>
    <s v="Enterprise"/>
    <s v="Direct"/>
    <s v="J. Njeri"/>
    <s v="Phones"/>
    <s v="PHN-5683"/>
    <n v="935.98"/>
    <n v="2077.69"/>
    <n v="2077.69"/>
    <s v="High"/>
    <n v="0.17499999999999999"/>
    <n v="0.17499999999999999"/>
    <n v="24"/>
    <n v="41138.261999999995"/>
    <n v="22463.52"/>
    <n v="18674.741999999995"/>
    <n v="0.45395067978321491"/>
    <d v="2023-01-29T00:00:00"/>
    <n v="27"/>
  </r>
  <r>
    <s v="ORD-2025-677880"/>
    <x v="426"/>
    <x v="426"/>
    <s v="Q3 -2025"/>
    <d v="2025-09-14T00:00:00"/>
    <d v="2025-09-14T00:00:00"/>
    <n v="24"/>
    <n v="0"/>
    <s v="Europe"/>
    <s v="Germany"/>
    <s v="Berlin"/>
    <s v="Europe&gt;Germany&gt;Berlin"/>
    <s v="Non-Profit"/>
    <s v="Online"/>
    <s v="A. Patel"/>
    <s v="Monitors"/>
    <s v="MON-9662"/>
    <n v="1397.67"/>
    <n v="3131.37"/>
    <n v="3131.37"/>
    <s v="High"/>
    <n v="0.10299999999999999"/>
    <n v="0.10299999999999999"/>
    <n v="20"/>
    <n v="56176.777799999996"/>
    <n v="27953.4"/>
    <n v="28223.377799999995"/>
    <n v="0.50240293062874808"/>
    <d v="2023-01-22T00:00:00"/>
    <n v="30"/>
  </r>
  <r>
    <s v="ORD-2025-678328"/>
    <x v="380"/>
    <x v="380"/>
    <s v="Q2 -2025"/>
    <d v="2025-07-14T00:00:00"/>
    <d v="2025-07-14T00:00:00"/>
    <n v="20"/>
    <n v="0"/>
    <s v="Europe"/>
    <s v="Germany"/>
    <s v="Berlin"/>
    <s v="Europe&gt;Germany&gt;Berlin"/>
    <s v="Corporate"/>
    <s v="Direct"/>
    <s v="O. Wang"/>
    <s v="Accessories"/>
    <s v="ACC-8094"/>
    <n v="385.08"/>
    <n v="893.19"/>
    <n v="893.19"/>
    <s v="Low"/>
    <n v="0.151"/>
    <n v="0.151"/>
    <n v="8"/>
    <n v="6066.54648"/>
    <n v="3080.64"/>
    <n v="2985.9064800000001"/>
    <n v="0.49219213762621666"/>
    <d v="2023-01-22T00:00:00"/>
    <n v="29"/>
  </r>
  <r>
    <s v="ORD-2025-678688"/>
    <x v="432"/>
    <x v="432"/>
    <s v="Q3 -2025"/>
    <d v="2025-07-17T00:00:00"/>
    <d v="2025-07-17T00:00:00"/>
    <n v="1"/>
    <n v="1"/>
    <s v="Africa"/>
    <s v="South Africa"/>
    <s v="Durban"/>
    <s v="Africa&gt;South Africa&gt;Durban"/>
    <s v="Small Business"/>
    <s v="Distributor"/>
    <s v="B. Chen"/>
    <s v="Networking"/>
    <s v="NET-1612"/>
    <n v="1198.9000000000001"/>
    <n v="2941.2"/>
    <n v="2941.2"/>
    <s v="High"/>
    <n v="5.0999999999999997E-2"/>
    <n v="5.0999999999999997E-2"/>
    <n v="24"/>
    <n v="66988.771199999988"/>
    <n v="28773.600000000002"/>
    <n v="38215.171199999982"/>
    <n v="0.57047129713583977"/>
    <d v="2023-01-07T00:00:00"/>
    <n v="30"/>
  </r>
  <r>
    <s v="ORD-2025-680118"/>
    <x v="433"/>
    <x v="433"/>
    <s v="Q1 -2025"/>
    <d v="2025-03-27T00:00:00"/>
    <d v="2025-03-27T00:00:00"/>
    <n v="17"/>
    <n v="0"/>
    <s v="Americas"/>
    <s v="Brazil"/>
    <s v="Rio de Janeiro"/>
    <s v="Americas&gt;Brazil&gt;Rio de Janeiro"/>
    <s v="Enterprise"/>
    <s v="Direct"/>
    <s v="F. Müller"/>
    <s v="Networking"/>
    <s v="NET-6269"/>
    <n v="996.73"/>
    <n v="1217.43"/>
    <n v="1217.43"/>
    <s v="Medium"/>
    <n v="7.0000000000000007E-2"/>
    <n v="7.0000000000000007E-2"/>
    <n v="9"/>
    <n v="10189.8891"/>
    <n v="8970.57"/>
    <n v="1219.3191000000006"/>
    <n v="0.11965970267527255"/>
    <d v="2023-01-29T00:00:00"/>
    <n v="25"/>
  </r>
  <r>
    <s v="ORD-2025-683043"/>
    <x v="434"/>
    <x v="434"/>
    <s v="Q3 -2025"/>
    <d v="2025-09-03T00:00:00"/>
    <d v="2025-09-03T00:00:00"/>
    <n v="21"/>
    <n v="0"/>
    <s v="Europe"/>
    <s v="France"/>
    <s v="Paris"/>
    <s v="Europe&gt;France&gt;Paris"/>
    <s v="Education"/>
    <s v="Retail"/>
    <s v="I. Johnson"/>
    <s v="Phones"/>
    <s v="PHN-9465"/>
    <n v="603.47"/>
    <n v="1344.05"/>
    <n v="1344.05"/>
    <s v="Medium"/>
    <n v="0.20499999999999999"/>
    <n v="0.20499999999999999"/>
    <n v="18"/>
    <n v="19233.355499999998"/>
    <n v="10862.460000000001"/>
    <n v="8370.8954999999969"/>
    <n v="0.43522803392262976"/>
    <d v="2023-01-10T00:00:00"/>
    <n v="31"/>
  </r>
  <r>
    <s v="ORD-2025-683247"/>
    <x v="433"/>
    <x v="433"/>
    <s v="Q1 -2025"/>
    <d v="2025-04-04T00:00:00"/>
    <d v="2025-04-04T00:00:00"/>
    <n v="25"/>
    <n v="0"/>
    <s v="Asia"/>
    <s v="Japan"/>
    <s v="Osaka"/>
    <s v="Asia&gt;Japan&gt;Osaka"/>
    <s v="Corporate"/>
    <s v="Direct"/>
    <s v="H. Kim"/>
    <s v="Printers"/>
    <s v="PRN-9867"/>
    <n v="783.72"/>
    <n v="1355.94"/>
    <n v="1355.94"/>
    <s v="Medium"/>
    <n v="0.187"/>
    <n v="0.187"/>
    <n v="4"/>
    <n v="4409.5168800000001"/>
    <n v="3134.88"/>
    <n v="1274.63688"/>
    <n v="0.28906497348525856"/>
    <d v="2023-03-03T00:00:00"/>
    <n v="24"/>
  </r>
  <r>
    <s v="ORD-2025-685236"/>
    <x v="363"/>
    <x v="363"/>
    <s v="Q1 -2025"/>
    <d v="2025-03-29T00:00:00"/>
    <d v="2025-03-29T00:00:00"/>
    <n v="15"/>
    <n v="0"/>
    <s v="Asia"/>
    <s v="Japan"/>
    <s v="Tokyo"/>
    <s v="Asia&gt;Japan&gt;Tokyo"/>
    <s v="Non-Profit"/>
    <s v="Direct"/>
    <s v="H. Kim"/>
    <s v="Networking"/>
    <s v="NET-8430"/>
    <n v="1106.96"/>
    <n v="2726.62"/>
    <n v="2726.62"/>
    <s v="High"/>
    <n v="0.317"/>
    <n v="0.3"/>
    <n v="7"/>
    <n v="13360.438"/>
    <n v="7748.72"/>
    <n v="5611.7179999999998"/>
    <n v="0.42002500217432992"/>
    <d v="2023-03-03T00:00:00"/>
    <n v="24"/>
  </r>
  <r>
    <s v="ORD-2025-698069"/>
    <x v="435"/>
    <x v="435"/>
    <s v="Q2 -2025"/>
    <d v="2025-06-10T00:00:00"/>
    <d v="2025-06-10T00:00:00"/>
    <n v="7"/>
    <n v="1"/>
    <s v="Americas"/>
    <s v="Canada"/>
    <s v="Toronto"/>
    <s v="Americas&gt;Canada&gt;Toronto"/>
    <s v="Consumer"/>
    <s v="Distributor"/>
    <s v="O. Wang"/>
    <s v="Printers"/>
    <s v="PRN-6429"/>
    <n v="75.180000000000007"/>
    <n v="53.45"/>
    <n v="53.45"/>
    <s v="Low"/>
    <n v="0.157"/>
    <n v="0.157"/>
    <n v="17"/>
    <n v="765.99195000000009"/>
    <n v="1278.0600000000002"/>
    <n v="-512.06805000000008"/>
    <n v="-0.66850317421743144"/>
    <d v="2023-01-02T00:00:00"/>
    <n v="29"/>
  </r>
  <r>
    <s v="ORD-2025-700847"/>
    <x v="436"/>
    <x v="436"/>
    <s v="Q2 -2025"/>
    <d v="2025-05-19T00:00:00"/>
    <d v="2025-05-26T00:00:00"/>
    <n v="5"/>
    <n v="1"/>
    <s v="Africa"/>
    <s v="South Africa"/>
    <s v="Johannesburg"/>
    <s v="Africa&gt;South Africa&gt;Johannesburg"/>
    <s v="Non-Profit"/>
    <s v="Distributor"/>
    <s v="O. Wang"/>
    <s v="Laptops"/>
    <s v="LAP-7099"/>
    <n v="1263.8399999999999"/>
    <n v="2281.7199999999998"/>
    <n v="2281.7199999999998"/>
    <s v="High"/>
    <n v="7.8E-2"/>
    <n v="7.8E-2"/>
    <n v="15"/>
    <n v="31556.187599999997"/>
    <n v="18957.599999999999"/>
    <n v="12598.587599999999"/>
    <n v="0.39924301882398494"/>
    <d v="2023-01-07T00:00:00"/>
    <n v="28"/>
  </r>
  <r>
    <s v="ORD-2025-703623"/>
    <x v="437"/>
    <x v="437"/>
    <s v="Q3 -2025"/>
    <d v="2025-08-19T00:00:00"/>
    <d v="2025-08-19T00:00:00"/>
    <n v="27"/>
    <n v="0"/>
    <s v="Asia"/>
    <s v="Japan"/>
    <s v="Nagoya"/>
    <s v="Asia&gt;Japan&gt;Nagoya"/>
    <s v="Consumer"/>
    <s v="Marketplace"/>
    <s v="B. Chen"/>
    <s v="Accessories"/>
    <s v="ACC-1596"/>
    <n v="896.09"/>
    <n v="744.27"/>
    <n v="744.27"/>
    <s v="Low"/>
    <n v="8.3000000000000004E-2"/>
    <n v="8.3000000000000004E-2"/>
    <n v="11"/>
    <n v="7507.4514899999995"/>
    <n v="9856.99"/>
    <n v="-2349.5385100000003"/>
    <n v="-0.31296086469950679"/>
    <d v="2023-03-03T00:00:00"/>
    <n v="28"/>
  </r>
  <r>
    <s v="ORD-2025-705398"/>
    <x v="438"/>
    <x v="438"/>
    <s v="Q1 -2025"/>
    <d v="2025-02-15T00:00:00"/>
    <d v="2025-02-22T00:00:00"/>
    <n v="5"/>
    <n v="1"/>
    <s v="Americas"/>
    <s v="Canada"/>
    <s v="Toronto"/>
    <s v="Americas&gt;Canada&gt;Toronto"/>
    <s v="Small Business"/>
    <s v="Retail"/>
    <s v="D. Smith"/>
    <s v="Components"/>
    <s v="CMP-5065"/>
    <n v="1133.47"/>
    <n v="1698.75"/>
    <n v="1698.75"/>
    <s v="Medium"/>
    <n v="4.2999999999999997E-2"/>
    <n v="4.2999999999999997E-2"/>
    <n v="5"/>
    <n v="8128.5187499999993"/>
    <n v="5667.35"/>
    <n v="2461.1687499999989"/>
    <n v="0.30278194904821976"/>
    <d v="2023-01-02T00:00:00"/>
    <n v="25"/>
  </r>
  <r>
    <s v="ORD-2025-718992"/>
    <x v="380"/>
    <x v="380"/>
    <s v="Q2 -2025"/>
    <d v="2025-07-10T00:00:00"/>
    <d v="2025-07-10T00:00:00"/>
    <n v="16"/>
    <n v="0"/>
    <s v="Asia"/>
    <s v="China"/>
    <s v="Shanghai"/>
    <s v="Asia&gt;China&gt;Shanghai"/>
    <s v="Enterprise"/>
    <s v="Direct"/>
    <s v="N. Brown"/>
    <s v="Components"/>
    <s v="CMP-8390"/>
    <n v="757.19"/>
    <n v="1735.41"/>
    <n v="1735.41"/>
    <s v="High"/>
    <n v="0.13600000000000001"/>
    <n v="0.13600000000000001"/>
    <n v="8"/>
    <n v="11995.153920000001"/>
    <n v="6057.52"/>
    <n v="5937.6339200000002"/>
    <n v="0.4950027285685718"/>
    <d v="2023-01-12T00:00:00"/>
    <n v="29"/>
  </r>
  <r>
    <s v="ORD-2025-725646"/>
    <x v="439"/>
    <x v="439"/>
    <s v="Q3 -2025"/>
    <d v="2025-09-30T00:00:00"/>
    <d v="2025-09-30T00:00:00"/>
    <n v="20"/>
    <n v="0"/>
    <s v="Africa"/>
    <s v="Kenya"/>
    <s v="Mombasa"/>
    <s v="Africa&gt;Kenya&gt;Mombasa"/>
    <s v="Corporate"/>
    <s v="Direct"/>
    <s v="L. Okafor"/>
    <s v="Phones"/>
    <s v="PHN-6954"/>
    <n v="1009.48"/>
    <n v="1088.81"/>
    <n v="1088.81"/>
    <s v="Medium"/>
    <n v="0.16"/>
    <n v="0.16"/>
    <n v="6"/>
    <n v="5487.6023999999998"/>
    <n v="6056.88"/>
    <n v="-569.27760000000035"/>
    <n v="-0.10373885688219693"/>
    <d v="2023-01-20T00:00:00"/>
    <n v="31"/>
  </r>
  <r>
    <s v="ORD-2025-728935"/>
    <x v="440"/>
    <x v="440"/>
    <s v="Q1 -2025"/>
    <d v="2025-03-10T00:00:00"/>
    <d v="2025-03-10T00:00:00"/>
    <n v="10"/>
    <n v="0"/>
    <s v="Asia"/>
    <s v="Japan"/>
    <s v="Osaka"/>
    <s v="Asia&gt;Japan&gt;Osaka"/>
    <s v="Education"/>
    <s v="Distributor"/>
    <s v="N. Brown"/>
    <s v="Laptops"/>
    <s v="LAP-3017"/>
    <n v="51.86"/>
    <n v="45.98"/>
    <n v="45.98"/>
    <s v="Low"/>
    <n v="0.17299999999999999"/>
    <n v="0.17299999999999999"/>
    <n v="7"/>
    <n v="266.17821999999995"/>
    <n v="363.02"/>
    <n v="-96.841780000000028"/>
    <n v="-0.3638230806412337"/>
    <d v="2023-03-03T00:00:00"/>
    <n v="23"/>
  </r>
  <r>
    <s v="ORD-2025-737787"/>
    <x v="415"/>
    <x v="415"/>
    <s v="Q3 -2025"/>
    <d v="2025-09-26T00:00:00"/>
    <d v="2025-09-26T00:00:00"/>
    <n v="12"/>
    <n v="0"/>
    <s v="Europe"/>
    <s v="United Kingdom"/>
    <s v="London"/>
    <s v="Europe&gt;United Kingdom&gt;London"/>
    <s v="Small Business"/>
    <s v="Direct"/>
    <s v="N. Brown"/>
    <s v="Networking"/>
    <s v="NET-9003"/>
    <n v="425.15"/>
    <n v="885.92"/>
    <n v="885.92"/>
    <s v="Low"/>
    <n v="0.23899999999999999"/>
    <n v="0.23899999999999999"/>
    <n v="13"/>
    <n v="8764.4065599999994"/>
    <n v="5526.95"/>
    <n v="3237.4565599999996"/>
    <n v="0.3693868532725848"/>
    <d v="2023-01-19T00:00:00"/>
    <n v="31"/>
  </r>
  <r>
    <s v="ORD-2025-745263"/>
    <x v="436"/>
    <x v="436"/>
    <s v="Q2 -2025"/>
    <d v="2025-05-19T00:00:00"/>
    <d v="2025-05-26T00:00:00"/>
    <n v="5"/>
    <n v="1"/>
    <s v="Europe"/>
    <s v="United Kingdom"/>
    <s v="Birmingham"/>
    <s v="Europe&gt;United Kingdom&gt;Birmingham"/>
    <s v="Enterprise"/>
    <s v="Online"/>
    <s v="M. Rossi"/>
    <s v="Laptops"/>
    <s v="LAP-3385"/>
    <n v="1015.16"/>
    <n v="2148.14"/>
    <n v="2148.14"/>
    <s v="High"/>
    <n v="3.7999999999999999E-2"/>
    <n v="3.7999999999999999E-2"/>
    <n v="19"/>
    <n v="39263.702919999996"/>
    <n v="19288.04"/>
    <n v="19975.662919999995"/>
    <n v="0.50875647059322227"/>
    <d v="2023-01-19T00:00:00"/>
    <n v="28"/>
  </r>
  <r>
    <s v="ORD-2025-752192"/>
    <x v="404"/>
    <x v="404"/>
    <s v="Q2 -2025"/>
    <d v="2025-05-18T00:00:00"/>
    <d v="2025-05-18T00:00:00"/>
    <n v="2"/>
    <n v="1"/>
    <s v="Asia"/>
    <s v="Japan"/>
    <s v="Tokyo"/>
    <s v="Asia&gt;Japan&gt;Tokyo"/>
    <s v="Enterprise"/>
    <s v="Retail"/>
    <s v="J. Njeri"/>
    <s v="Printers"/>
    <s v="PRN-6131"/>
    <n v="1144.3800000000001"/>
    <n v="2755.04"/>
    <n v="2755.04"/>
    <s v="High"/>
    <n v="0.15"/>
    <n v="0.15"/>
    <n v="17"/>
    <n v="39810.328000000001"/>
    <n v="19454.460000000003"/>
    <n v="20355.867999999999"/>
    <n v="0.51132128326096682"/>
    <d v="2023-03-03T00:00:00"/>
    <n v="26"/>
  </r>
  <r>
    <s v="ORD-2025-752845"/>
    <x v="393"/>
    <x v="393"/>
    <s v="Q1 -2025"/>
    <d v="2025-04-07T00:00:00"/>
    <d v="2025-04-07T00:00:00"/>
    <n v="8"/>
    <n v="0"/>
    <s v="Americas"/>
    <s v="Brazil"/>
    <s v="São Paulo"/>
    <s v="Americas&gt;Brazil&gt;São Paulo"/>
    <s v="Non-Profit"/>
    <s v="Direct"/>
    <s v="L. Okafor"/>
    <s v="Printers"/>
    <s v="PRN-8763"/>
    <n v="71.62"/>
    <n v="118.37"/>
    <n v="118.37"/>
    <s v="Low"/>
    <n v="0.156"/>
    <n v="0.156"/>
    <n v="11"/>
    <n v="1098.9470800000001"/>
    <n v="787.82"/>
    <n v="311.12708000000009"/>
    <n v="0.28311379652603474"/>
    <d v="2023-01-29T00:00:00"/>
    <n v="26"/>
  </r>
  <r>
    <s v="ORD-2025-757957"/>
    <x v="441"/>
    <x v="441"/>
    <s v="Q2 -2025"/>
    <d v="2025-05-06T00:00:00"/>
    <d v="2025-05-06T00:00:00"/>
    <n v="12"/>
    <n v="0"/>
    <s v="Americas"/>
    <s v="Brazil"/>
    <s v="Brasília"/>
    <s v="Americas&gt;Brazil&gt;Brasília"/>
    <s v="Consumer"/>
    <s v="Online"/>
    <s v="C. Otieno"/>
    <s v="Phones"/>
    <s v="PHN-2787"/>
    <n v="394.13"/>
    <n v="932.29"/>
    <n v="932.29"/>
    <s v="Low"/>
    <n v="0.109"/>
    <n v="0.109"/>
    <n v="7"/>
    <n v="5814.6927299999998"/>
    <n v="2758.91"/>
    <n v="3055.7827299999999"/>
    <n v="0.5255278089303268"/>
    <d v="2023-01-29T00:00:00"/>
    <n v="26"/>
  </r>
  <r>
    <s v="ORD-2025-762212"/>
    <x v="442"/>
    <x v="442"/>
    <s v="Q3 -2025"/>
    <d v="2025-09-24T00:00:00"/>
    <d v="2025-09-24T00:00:00"/>
    <n v="30"/>
    <n v="0"/>
    <s v="Africa"/>
    <s v="Kenya"/>
    <s v="Nairobi"/>
    <s v="Africa&gt;Kenya&gt;Nairobi"/>
    <s v="Consumer"/>
    <s v="Direct"/>
    <s v="B. Chen"/>
    <s v="Components"/>
    <s v="CMP-4970"/>
    <n v="589.14"/>
    <n v="1300.58"/>
    <n v="1300.58"/>
    <s v="Medium"/>
    <n v="5.5E-2"/>
    <n v="5.5E-2"/>
    <n v="11"/>
    <n v="13519.529099999998"/>
    <n v="6480.54"/>
    <n v="7038.989099999998"/>
    <n v="0.52065342275863724"/>
    <d v="2023-01-20T00:00:00"/>
    <n v="31"/>
  </r>
  <r>
    <s v="ORD-2025-762301"/>
    <x v="443"/>
    <x v="443"/>
    <s v="Q2 -2025"/>
    <d v="2025-05-13T00:00:00"/>
    <d v="2025-05-13T00:00:00"/>
    <n v="11"/>
    <n v="0"/>
    <s v="Africa"/>
    <s v="Kenya"/>
    <s v="Nakuru"/>
    <s v="Africa&gt;Kenya&gt;Nakuru"/>
    <s v="Small Business"/>
    <s v="Online"/>
    <s v="A. Patel"/>
    <s v="Accessories"/>
    <s v="ACC-2252"/>
    <n v="1057.5999999999999"/>
    <n v="1437.06"/>
    <n v="1437.06"/>
    <s v="Medium"/>
    <n v="0.20499999999999999"/>
    <n v="0.20499999999999999"/>
    <n v="4"/>
    <n v="4569.8508000000002"/>
    <n v="4230.3999999999996"/>
    <n v="339.45080000000053"/>
    <n v="7.4280499485891424E-2"/>
    <d v="2023-01-20T00:00:00"/>
    <n v="27"/>
  </r>
  <r>
    <s v="ORD-2025-765220"/>
    <x v="444"/>
    <x v="444"/>
    <s v="Q2 -2025"/>
    <d v="2025-04-30T00:00:00"/>
    <d v="2025-04-30T00:00:00"/>
    <n v="24"/>
    <n v="0"/>
    <s v="Americas"/>
    <s v="Brazil"/>
    <s v="Brasília"/>
    <s v="Americas&gt;Brazil&gt;Brasília"/>
    <s v="Education"/>
    <s v="Online"/>
    <s v="K. Singh"/>
    <s v="Monitors"/>
    <s v="MON-4925"/>
    <n v="855.78"/>
    <n v="977.38"/>
    <n v="977.38"/>
    <s v="Medium"/>
    <n v="0.14699999999999999"/>
    <n v="0.14699999999999999"/>
    <n v="38"/>
    <n v="31680.795320000001"/>
    <n v="32519.64"/>
    <n v="-838.84467999999833"/>
    <n v="-2.6478018355506307E-2"/>
    <d v="2023-01-29T00:00:00"/>
    <n v="26"/>
  </r>
  <r>
    <s v="ORD-2025-766923"/>
    <x v="376"/>
    <x v="376"/>
    <s v="Q1 -2025"/>
    <d v="2025-02-15T00:00:00"/>
    <d v="2025-02-15T00:00:00"/>
    <n v="0"/>
    <n v="1"/>
    <s v="Europe"/>
    <s v="Germany"/>
    <s v="Frankfurt"/>
    <s v="Europe&gt;Germany&gt;Frankfurt"/>
    <s v="Small Business"/>
    <s v="Marketplace"/>
    <s v="L. Okafor"/>
    <s v="Accessories"/>
    <s v="ACC-3989"/>
    <n v="815.83"/>
    <n v="1982.18"/>
    <n v="1982.18"/>
    <s v="High"/>
    <n v="0.127"/>
    <n v="0.127"/>
    <n v="6"/>
    <n v="10382.65884"/>
    <n v="4894.9800000000005"/>
    <n v="5487.6788399999996"/>
    <n v="0.52854272923408507"/>
    <d v="2023-01-22T00:00:00"/>
    <n v="24"/>
  </r>
  <r>
    <s v="ORD-2025-778145"/>
    <x v="445"/>
    <x v="445"/>
    <s v="Q2 -2025"/>
    <d v="2025-05-12T00:00:00"/>
    <d v="2025-05-12T00:00:00"/>
    <n v="20"/>
    <n v="0"/>
    <s v="Europe"/>
    <s v="France"/>
    <s v="Lyon"/>
    <s v="Europe&gt;France&gt;Lyon"/>
    <s v="Enterprise"/>
    <s v="Marketplace"/>
    <s v="K. Singh"/>
    <s v="Monitors"/>
    <s v="MON-9216"/>
    <n v="59.51"/>
    <n v="67.040000000000006"/>
    <n v="67.040000000000006"/>
    <s v="Low"/>
    <n v="0.114"/>
    <n v="0.114"/>
    <n v="9"/>
    <n v="534.57695999999999"/>
    <n v="535.59"/>
    <n v="-1.0130400000000463"/>
    <n v="-1.8950311663264469E-3"/>
    <d v="2023-01-10T00:00:00"/>
    <n v="27"/>
  </r>
  <r>
    <s v="ORD-2025-779530"/>
    <x v="446"/>
    <x v="446"/>
    <s v="Q2 -2025"/>
    <d v="2025-05-17T00:00:00"/>
    <d v="2025-05-24T00:00:00"/>
    <n v="5"/>
    <n v="1"/>
    <s v="Americas"/>
    <s v="Brazil"/>
    <s v="São Paulo"/>
    <s v="Americas&gt;Brazil&gt;São Paulo"/>
    <s v="Small Business"/>
    <s v="Distributor"/>
    <s v="L. Okafor"/>
    <s v="Monitors"/>
    <s v="MON-2993"/>
    <n v="383.77"/>
    <n v="952.56"/>
    <n v="952.56"/>
    <s v="Medium"/>
    <n v="0.34599999999999997"/>
    <n v="0.3"/>
    <n v="10"/>
    <n v="6667.9199999999983"/>
    <n v="3837.7"/>
    <n v="2830.2199999999984"/>
    <n v="0.42445320279787385"/>
    <d v="2023-01-29T00:00:00"/>
    <n v="27"/>
  </r>
  <r>
    <s v="ORD-2025-779574"/>
    <x v="439"/>
    <x v="439"/>
    <s v="Q3 -2025"/>
    <d v="2025-09-12T00:00:00"/>
    <d v="2025-09-12T00:00:00"/>
    <n v="2"/>
    <n v="1"/>
    <s v="Asia"/>
    <s v="Japan"/>
    <s v="Tokyo"/>
    <s v="Asia&gt;Japan&gt;Tokyo"/>
    <s v="Consumer"/>
    <s v="Online"/>
    <s v="O. Wang"/>
    <s v="Components"/>
    <s v="CMP-6971"/>
    <n v="1470.15"/>
    <n v="2593.7800000000002"/>
    <n v="2593.7800000000002"/>
    <s v="High"/>
    <n v="0.11"/>
    <n v="0.11"/>
    <n v="12"/>
    <n v="27701.570400000001"/>
    <n v="17641.800000000003"/>
    <n v="10059.770399999998"/>
    <n v="0.36314801849645306"/>
    <d v="2023-03-03T00:00:00"/>
    <n v="30"/>
  </r>
  <r>
    <s v="ORD-2025-779659"/>
    <x v="425"/>
    <x v="425"/>
    <s v="Q3 -2025"/>
    <d v="2025-07-23T00:00:00"/>
    <d v="2025-07-23T00:00:00"/>
    <n v="20"/>
    <n v="0"/>
    <s v="Asia"/>
    <s v="China"/>
    <s v="Beijing"/>
    <s v="Asia&gt;China&gt;Beijing"/>
    <s v="Small Business"/>
    <s v="Online"/>
    <s v="M. Rossi"/>
    <s v="Components"/>
    <s v="CMP-1220"/>
    <n v="647.36"/>
    <n v="1383.6"/>
    <n v="1383.6"/>
    <s v="Medium"/>
    <n v="7.3999999999999996E-2"/>
    <n v="7.3999999999999996E-2"/>
    <n v="12"/>
    <n v="15374.563199999999"/>
    <n v="7768.32"/>
    <n v="7606.243199999999"/>
    <n v="0.49472906000997802"/>
    <d v="2023-01-12T00:00:00"/>
    <n v="29"/>
  </r>
  <r>
    <s v="ORD-2025-789245"/>
    <x v="437"/>
    <x v="437"/>
    <s v="Q3 -2025"/>
    <d v="2025-08-17T00:00:00"/>
    <d v="2025-08-17T00:00:00"/>
    <n v="25"/>
    <n v="0"/>
    <s v="Europe"/>
    <s v="United Kingdom"/>
    <s v="Birmingham"/>
    <s v="Europe&gt;United Kingdom&gt;Birmingham"/>
    <s v="Education"/>
    <s v="Online"/>
    <s v="I. Johnson"/>
    <s v="Printers"/>
    <s v="PRN-5876"/>
    <n v="1142.06"/>
    <n v="1455"/>
    <n v="1455"/>
    <s v="Medium"/>
    <n v="7.8E-2"/>
    <n v="7.8E-2"/>
    <n v="28"/>
    <n v="37562.28"/>
    <n v="31977.68"/>
    <n v="5584.5999999999985"/>
    <n v="0.1486757459877302"/>
    <d v="2023-01-19T00:00:00"/>
    <n v="30"/>
  </r>
  <r>
    <s v="ORD-2025-795385"/>
    <x v="364"/>
    <x v="364"/>
    <s v="Q2 -2025"/>
    <d v="2025-06-05T00:00:00"/>
    <d v="2025-06-05T00:00:00"/>
    <n v="4"/>
    <n v="1"/>
    <s v="Europe"/>
    <s v="Germany"/>
    <s v="Munich"/>
    <s v="Europe&gt;Germany&gt;Munich"/>
    <s v="Enterprise"/>
    <s v="Direct"/>
    <s v="M. Rossi"/>
    <s v="Components"/>
    <s v="CMP-4159"/>
    <n v="1171.42"/>
    <n v="2187.8000000000002"/>
    <n v="2187.8000000000002"/>
    <s v="High"/>
    <n v="0.23"/>
    <n v="0.23"/>
    <n v="15"/>
    <n v="25269.09"/>
    <n v="17571.300000000003"/>
    <n v="7697.7899999999972"/>
    <n v="0.30463265594447592"/>
    <d v="2023-01-22T00:00:00"/>
    <n v="28"/>
  </r>
  <r>
    <s v="ORD-2025-803803"/>
    <x v="447"/>
    <x v="447"/>
    <s v="Q3 -2025"/>
    <d v="2025-09-05T00:00:00"/>
    <d v="2025-09-05T00:00:00"/>
    <n v="8"/>
    <n v="0"/>
    <s v="Africa"/>
    <s v="Nigeria"/>
    <s v="Port Harcourt"/>
    <s v="Africa&gt;Nigeria&gt;Port Harcourt"/>
    <s v="Small Business"/>
    <s v="Marketplace"/>
    <s v="E. Garcia"/>
    <s v="Laptops"/>
    <s v="LAP-7553"/>
    <n v="1271.0999999999999"/>
    <n v="1932.42"/>
    <n v="1932.42"/>
    <s v="High"/>
    <n v="0.25"/>
    <n v="0.25"/>
    <n v="21"/>
    <n v="30435.614999999998"/>
    <n v="26693.1"/>
    <n v="3742.5149999999994"/>
    <n v="0.12296498690760807"/>
    <d v="2023-01-15T00:00:00"/>
    <n v="31"/>
  </r>
  <r>
    <s v="ORD-2025-820255"/>
    <x v="448"/>
    <x v="448"/>
    <s v="Q2 -2025"/>
    <d v="2025-06-20T00:00:00"/>
    <d v="2025-06-20T00:00:00"/>
    <n v="22"/>
    <n v="0"/>
    <s v="Europe"/>
    <s v="Germany"/>
    <s v="Berlin"/>
    <s v="Europe&gt;Germany&gt;Berlin"/>
    <s v="Corporate"/>
    <s v="Direct"/>
    <s v="A. Patel"/>
    <s v="Printers"/>
    <s v="PRN-9787"/>
    <n v="483.47"/>
    <n v="1135.43"/>
    <n v="1135.43"/>
    <s v="Medium"/>
    <n v="0.14599999999999999"/>
    <n v="0.14599999999999999"/>
    <n v="11"/>
    <n v="10666.229420000001"/>
    <n v="5318.17"/>
    <n v="5348.0594200000014"/>
    <n v="0.50140112399719983"/>
    <d v="2023-01-22T00:00:00"/>
    <n v="28"/>
  </r>
  <r>
    <s v="ORD-2025-822030"/>
    <x v="449"/>
    <x v="449"/>
    <s v="Q3 -2025"/>
    <d v="2025-09-06T00:00:00"/>
    <d v="2025-09-06T00:00:00"/>
    <n v="30"/>
    <n v="0"/>
    <s v="Americas"/>
    <s v="Canada"/>
    <s v="Montreal"/>
    <s v="Americas&gt;Canada&gt;Montreal"/>
    <s v="Education"/>
    <s v="Direct"/>
    <s v="M. Rossi"/>
    <s v="Networking"/>
    <s v="NET-1336"/>
    <n v="833.73"/>
    <n v="1116.5999999999999"/>
    <n v="1116.5999999999999"/>
    <s v="Medium"/>
    <n v="0.17599999999999999"/>
    <n v="0.17599999999999999"/>
    <n v="14"/>
    <n v="12881.097599999999"/>
    <n v="11672.220000000001"/>
    <n v="1208.877599999998"/>
    <n v="9.3848958958279924E-2"/>
    <d v="2023-01-02T00:00:00"/>
    <n v="31"/>
  </r>
  <r>
    <s v="ORD-2025-823055"/>
    <x v="365"/>
    <x v="365"/>
    <s v="Q3 -2025"/>
    <d v="2025-10-05T00:00:00"/>
    <d v="2025-10-05T00:00:00"/>
    <n v="27"/>
    <n v="0"/>
    <s v="Americas"/>
    <s v="Brazil"/>
    <s v="Rio de Janeiro"/>
    <s v="Americas&gt;Brazil&gt;Rio de Janeiro"/>
    <s v="Education"/>
    <s v="Online"/>
    <s v="C. Otieno"/>
    <s v="Monitors"/>
    <s v="MON-9274"/>
    <n v="660.78"/>
    <n v="1630.39"/>
    <n v="1630.39"/>
    <s v="Medium"/>
    <n v="0.218"/>
    <n v="0.218"/>
    <n v="13"/>
    <n v="16574.544740000001"/>
    <n v="8590.14"/>
    <n v="7984.4047400000018"/>
    <n v="0.48172694123724097"/>
    <d v="2023-01-29T00:00:00"/>
    <n v="31"/>
  </r>
  <r>
    <s v="ORD-2025-828263"/>
    <x v="450"/>
    <x v="450"/>
    <s v="Q2 -2025"/>
    <d v="2025-05-30T00:00:00"/>
    <d v="2025-05-30T00:00:00"/>
    <n v="13"/>
    <n v="0"/>
    <s v="Africa"/>
    <s v="Nigeria"/>
    <s v="Lagos"/>
    <s v="Africa&gt;Nigeria&gt;Lagos"/>
    <s v="Consumer"/>
    <s v="Distributor"/>
    <s v="F. Müller"/>
    <s v="Accessories"/>
    <s v="ACC-3349"/>
    <n v="66.400000000000006"/>
    <n v="141.43"/>
    <n v="141.43"/>
    <s v="Low"/>
    <n v="0.107"/>
    <n v="0.107"/>
    <n v="8"/>
    <n v="1010.3759200000001"/>
    <n v="531.20000000000005"/>
    <n v="479.17592000000002"/>
    <n v="0.47425508715607551"/>
    <d v="2023-01-15T00:00:00"/>
    <n v="28"/>
  </r>
  <r>
    <s v="ORD-2025-831576"/>
    <x v="430"/>
    <x v="430"/>
    <s v="Q3 -2025"/>
    <d v="2025-09-25T00:00:00"/>
    <d v="2025-09-25T00:00:00"/>
    <n v="10"/>
    <n v="0"/>
    <s v="Asia"/>
    <s v="India"/>
    <s v="Delhi"/>
    <s v="Asia&gt;India&gt;Delhi"/>
    <s v="Consumer"/>
    <s v="Retail"/>
    <s v="A. Patel"/>
    <s v="Phones"/>
    <s v="PHN-2859"/>
    <n v="1488.91"/>
    <n v="1483.74"/>
    <n v="1483.74"/>
    <s v="Medium"/>
    <n v="0.16800000000000001"/>
    <n v="0.16800000000000001"/>
    <n v="24"/>
    <n v="29627.320319999999"/>
    <n v="35733.840000000004"/>
    <n v="-6106.5196800000049"/>
    <n v="-0.20611110333450519"/>
    <d v="2023-01-29T00:00:00"/>
    <n v="31"/>
  </r>
  <r>
    <s v="ORD-2025-840976"/>
    <x v="451"/>
    <x v="451"/>
    <s v="Q3 -2025"/>
    <d v="2025-09-30T00:00:00"/>
    <d v="2025-09-30T00:00:00"/>
    <n v="29"/>
    <n v="0"/>
    <s v="Americas"/>
    <s v="Brazil"/>
    <s v="Brasília"/>
    <s v="Americas&gt;Brazil&gt;Brasília"/>
    <s v="Education"/>
    <s v="Retail"/>
    <s v="K. Singh"/>
    <s v="Accessories"/>
    <s v="ACC-1663"/>
    <n v="780.59"/>
    <n v="631.57000000000005"/>
    <n v="631.57000000000005"/>
    <s v="Low"/>
    <n v="0"/>
    <n v="0"/>
    <n v="12"/>
    <n v="7578.84"/>
    <n v="9367.08"/>
    <n v="-1788.2399999999998"/>
    <n v="-0.23595167598207639"/>
    <d v="2023-01-29T00:00:00"/>
    <n v="31"/>
  </r>
  <r>
    <s v="ORD-2025-843974"/>
    <x v="452"/>
    <x v="452"/>
    <s v="Q3 -2025"/>
    <d v="2025-08-05T00:00:00"/>
    <d v="2025-08-05T00:00:00"/>
    <n v="16"/>
    <n v="0"/>
    <s v="Americas"/>
    <s v="Brazil"/>
    <s v="Brasília"/>
    <s v="Americas&gt;Brazil&gt;Brasília"/>
    <s v="Enterprise"/>
    <s v="Marketplace"/>
    <s v="G. Dubois"/>
    <s v="Accessories"/>
    <s v="ACC-8098"/>
    <n v="1068.17"/>
    <n v="2375.37"/>
    <n v="2375.37"/>
    <s v="High"/>
    <n v="0.109"/>
    <n v="0.109"/>
    <n v="18"/>
    <n v="38096.18406"/>
    <n v="19227.060000000001"/>
    <n v="18869.124059999998"/>
    <n v="0.49530220744108822"/>
    <d v="2023-01-29T00:00:00"/>
    <n v="29"/>
  </r>
  <r>
    <s v="ORD-2025-845715"/>
    <x v="453"/>
    <x v="453"/>
    <s v="Q2 -2025"/>
    <d v="2025-05-04T00:00:00"/>
    <d v="2025-05-04T00:00:00"/>
    <n v="20"/>
    <n v="0"/>
    <s v="Europe"/>
    <s v="United Kingdom"/>
    <s v="Birmingham"/>
    <s v="Europe&gt;United Kingdom&gt;Birmingham"/>
    <s v="Enterprise"/>
    <s v="Marketplace"/>
    <s v="K. Singh"/>
    <s v="Monitors"/>
    <s v="MON-6962"/>
    <n v="1413.87"/>
    <n v="3275"/>
    <n v="3275"/>
    <s v="High"/>
    <n v="0.255"/>
    <n v="0.255"/>
    <n v="38"/>
    <n v="92715.25"/>
    <n v="53727.06"/>
    <n v="38988.19"/>
    <n v="0.42051539525590453"/>
    <d v="2023-01-19T00:00:00"/>
    <n v="26"/>
  </r>
  <r>
    <s v="ORD-2025-856556"/>
    <x v="397"/>
    <x v="397"/>
    <s v="Q2 -2025"/>
    <d v="2025-07-12T00:00:00"/>
    <d v="2025-07-12T00:00:00"/>
    <n v="27"/>
    <n v="0"/>
    <s v="Europe"/>
    <s v="France"/>
    <s v="Marseille"/>
    <s v="Europe&gt;France&gt;Marseille"/>
    <s v="Consumer"/>
    <s v="Direct"/>
    <s v="C. Otieno"/>
    <s v="Accessories"/>
    <s v="ACC-7906"/>
    <n v="318.83"/>
    <n v="699.5"/>
    <n v="699.5"/>
    <s v="Medium"/>
    <n v="0.08"/>
    <n v="0.08"/>
    <n v="13"/>
    <n v="8366.02"/>
    <n v="4144.79"/>
    <n v="4221.2300000000005"/>
    <n v="0.50456848059172699"/>
    <d v="2023-01-10T00:00:00"/>
    <n v="29"/>
  </r>
  <r>
    <s v="ORD-2025-861401"/>
    <x v="454"/>
    <x v="454"/>
    <s v="Q2 -2025"/>
    <d v="2025-04-27T00:00:00"/>
    <d v="2025-04-27T00:00:00"/>
    <n v="26"/>
    <n v="0"/>
    <s v="Americas"/>
    <s v="USA"/>
    <s v="San Francisco"/>
    <s v="Americas&gt;USA&gt;San Francisco"/>
    <s v="Corporate"/>
    <s v="Direct"/>
    <s v="I. Johnson"/>
    <s v="Monitors"/>
    <s v="MON-9319"/>
    <n v="156.55000000000001"/>
    <n v="227.45"/>
    <n v="227.45"/>
    <s v="Low"/>
    <n v="1.4E-2"/>
    <n v="1.4E-2"/>
    <n v="13"/>
    <n v="2915.4540999999999"/>
    <n v="2035.15"/>
    <n v="880.30409999999983"/>
    <n v="0.3019440779396938"/>
    <d v="2023-01-13T00:00:00"/>
    <n v="26"/>
  </r>
  <r>
    <s v="ORD-2025-863978"/>
    <x v="449"/>
    <x v="449"/>
    <s v="Q3 -2025"/>
    <d v="2025-08-19T00:00:00"/>
    <d v="2025-08-19T00:00:00"/>
    <n v="12"/>
    <n v="0"/>
    <s v="Africa"/>
    <s v="Kenya"/>
    <s v="Nakuru"/>
    <s v="Africa&gt;Kenya&gt;Nakuru"/>
    <s v="Corporate"/>
    <s v="Unspecified"/>
    <s v="M. Rossi"/>
    <s v="Components"/>
    <s v="CMP-2854"/>
    <n v="601.51"/>
    <n v="679.35"/>
    <n v="679.35"/>
    <s v="Low"/>
    <n v="0.188"/>
    <n v="0.188"/>
    <n v="3"/>
    <n v="1654.8966000000003"/>
    <n v="1804.53"/>
    <n v="-149.63339999999971"/>
    <n v="-9.0418579626062243E-2"/>
    <d v="2023-01-20T00:00:00"/>
    <n v="30"/>
  </r>
  <r>
    <s v="ORD-2025-866565"/>
    <x v="455"/>
    <x v="455"/>
    <s v="Q2 -2025"/>
    <d v="2025-05-26T00:00:00"/>
    <d v="2025-05-26T00:00:00"/>
    <n v="14"/>
    <n v="0"/>
    <s v="Asia"/>
    <s v="India"/>
    <s v="Hyderabad"/>
    <s v="Asia&gt;India&gt;Hyderabad"/>
    <s v="Corporate"/>
    <s v="Marketplace"/>
    <s v="G. Dubois"/>
    <s v="Printers"/>
    <s v="PRN-8850"/>
    <n v="320.12"/>
    <n v="594.41999999999996"/>
    <n v="594.41999999999996"/>
    <s v="Low"/>
    <n v="0.104"/>
    <n v="0.104"/>
    <n v="18"/>
    <n v="9586.8057599999993"/>
    <n v="5762.16"/>
    <n v="3824.6457599999994"/>
    <n v="0.39894891538931104"/>
    <d v="2023-01-29T00:00:00"/>
    <n v="27"/>
  </r>
  <r>
    <s v="ORD-2025-874124"/>
    <x v="347"/>
    <x v="347"/>
    <s v="Q2 -2025"/>
    <d v="2025-05-12T00:00:00"/>
    <d v="2025-05-19T00:00:00"/>
    <n v="5"/>
    <n v="1"/>
    <s v="Americas"/>
    <s v="Canada"/>
    <s v="Vancouver"/>
    <s v="Americas&gt;Canada&gt;Vancouver"/>
    <s v="Non-Profit"/>
    <s v="Distributor"/>
    <s v="F. Müller"/>
    <s v="Printers"/>
    <s v="PRN-2407"/>
    <n v="883.5"/>
    <n v="1978.91"/>
    <n v="1978.91"/>
    <s v="High"/>
    <n v="5.3999999999999999E-2"/>
    <n v="5.3999999999999999E-2"/>
    <n v="27"/>
    <n v="50545.319219999998"/>
    <n v="23854.5"/>
    <n v="26690.819219999998"/>
    <n v="0.52805718970390547"/>
    <d v="2023-01-02T00:00:00"/>
    <n v="28"/>
  </r>
  <r>
    <s v="ORD-2025-881624"/>
    <x v="456"/>
    <x v="456"/>
    <s v="Q1 -2025"/>
    <d v="2025-03-21T00:00:00"/>
    <d v="2025-03-21T00:00:00"/>
    <n v="28"/>
    <n v="0"/>
    <s v="Africa"/>
    <s v="Nigeria"/>
    <s v="Abuja"/>
    <s v="Africa&gt;Nigeria&gt;Abuja"/>
    <s v="Enterprise"/>
    <s v="Marketplace"/>
    <s v="I. Johnson"/>
    <s v="Phones"/>
    <s v="PHN-5887"/>
    <n v="1437.39"/>
    <n v="1388.31"/>
    <n v="1388.31"/>
    <s v="Medium"/>
    <n v="0.13800000000000001"/>
    <n v="0.13800000000000001"/>
    <n v="18"/>
    <n v="21541.017959999997"/>
    <n v="25873.02"/>
    <n v="-4332.002040000003"/>
    <n v="-0.20110479681341872"/>
    <d v="2023-01-15T00:00:00"/>
    <n v="25"/>
  </r>
  <r>
    <s v="ORD-2025-898022"/>
    <x v="457"/>
    <x v="457"/>
    <s v="Q3 -2025"/>
    <d v="2025-09-11T00:00:00"/>
    <d v="2025-09-11T00:00:00"/>
    <n v="9"/>
    <n v="0"/>
    <s v="Americas"/>
    <s v="Canada"/>
    <s v="Toronto"/>
    <s v="Americas&gt;Canada&gt;Toronto"/>
    <s v="Corporate"/>
    <s v="Distributor"/>
    <s v="M. Rossi"/>
    <s v="Printers"/>
    <s v="PRN-1276"/>
    <n v="1207.6300000000001"/>
    <n v="921.68"/>
    <n v="921.68"/>
    <s v="Medium"/>
    <n v="0.19600000000000001"/>
    <n v="0.19600000000000001"/>
    <n v="17"/>
    <n v="12597.52224"/>
    <n v="20529.710000000003"/>
    <n v="-7932.1877600000025"/>
    <n v="-0.62966253274897988"/>
    <d v="2023-01-02T00:00:00"/>
    <n v="32"/>
  </r>
  <r>
    <s v="ORD-2025-898843"/>
    <x v="458"/>
    <x v="458"/>
    <s v="Q1 -2025"/>
    <d v="2025-03-04T00:00:00"/>
    <d v="2025-03-04T00:00:00"/>
    <n v="30"/>
    <n v="0"/>
    <s v="Asia"/>
    <s v="Japan"/>
    <s v="Osaka"/>
    <s v="Asia&gt;Japan&gt;Osaka"/>
    <s v="Education"/>
    <s v="Distributor"/>
    <s v="L. Okafor"/>
    <s v="Accessories"/>
    <s v="ACC-9591"/>
    <n v="766.59"/>
    <n v="1912.8"/>
    <n v="1912.8"/>
    <s v="High"/>
    <n v="0.19600000000000001"/>
    <n v="0.19600000000000001"/>
    <n v="5"/>
    <n v="7689.4560000000001"/>
    <n v="3832.9500000000003"/>
    <n v="3856.5059999999999"/>
    <n v="0.50153170783472845"/>
    <d v="2023-03-03T00:00:00"/>
    <n v="22"/>
  </r>
  <r>
    <s v="ORD-2025-907040"/>
    <x v="368"/>
    <x v="368"/>
    <s v="Q2 -2025"/>
    <d v="2025-05-03T00:00:00"/>
    <d v="2025-05-03T00:00:00"/>
    <n v="16"/>
    <n v="0"/>
    <s v="Americas"/>
    <s v="Brazil"/>
    <s v="Rio de Janeiro"/>
    <s v="Americas&gt;Brazil&gt;Rio de Janeiro"/>
    <s v="Consumer"/>
    <s v="Marketplace"/>
    <s v="J. Njeri"/>
    <s v="Networking"/>
    <s v="NET-8610"/>
    <n v="168.68"/>
    <n v="413.34"/>
    <n v="413.34"/>
    <s v="Low"/>
    <n v="0.186"/>
    <n v="0.186"/>
    <n v="7"/>
    <n v="2355.2113199999999"/>
    <n v="1180.76"/>
    <n v="1174.4513199999999"/>
    <n v="0.49866069767361682"/>
    <d v="2023-01-29T00:00:00"/>
    <n v="26"/>
  </r>
  <r>
    <s v="ORD-2025-908258"/>
    <x v="459"/>
    <x v="459"/>
    <s v="Q2 -2025"/>
    <d v="2025-06-27T00:00:00"/>
    <d v="2025-06-27T00:00:00"/>
    <n v="6"/>
    <n v="1"/>
    <s v="Africa"/>
    <s v="South Africa"/>
    <s v="Durban"/>
    <s v="Africa&gt;South Africa&gt;Durban"/>
    <s v="Enterprise"/>
    <s v="Distributor"/>
    <s v="N. Brown"/>
    <s v="Phones"/>
    <s v="PHN-3819"/>
    <n v="93.91"/>
    <n v="99.04"/>
    <n v="99.04"/>
    <s v="Low"/>
    <n v="5.7000000000000002E-2"/>
    <n v="5.7000000000000002E-2"/>
    <n v="6"/>
    <n v="560.36831999999993"/>
    <n v="563.46"/>
    <n v="-3.0916800000001103"/>
    <n v="-5.5172283829323376E-3"/>
    <d v="2023-01-07T00:00:00"/>
    <n v="29"/>
  </r>
  <r>
    <s v="ORD-2025-909340"/>
    <x v="460"/>
    <x v="460"/>
    <s v="Q1 -2025"/>
    <d v="2025-02-03T00:00:00"/>
    <d v="2025-02-03T00:00:00"/>
    <n v="14"/>
    <n v="0"/>
    <s v="Americas"/>
    <s v="Brazil"/>
    <s v="Brasília"/>
    <s v="Americas&gt;Brazil&gt;Brasília"/>
    <s v="Enterprise"/>
    <s v="Marketplace"/>
    <s v="F. Müller"/>
    <s v="Components"/>
    <s v="CMP-8658"/>
    <n v="974.11"/>
    <n v="880.99"/>
    <n v="880.99"/>
    <s v="Low"/>
    <n v="0.111"/>
    <n v="0.111"/>
    <n v="10"/>
    <n v="7832.0010999999995"/>
    <n v="9741.1"/>
    <n v="-1909.0989000000009"/>
    <n v="-0.2437562093805121"/>
    <d v="2023-01-29T00:00:00"/>
    <n v="23"/>
  </r>
  <r>
    <s v="ORD-2025-915869"/>
    <x v="461"/>
    <x v="461"/>
    <s v="Q1 -2025"/>
    <d v="2025-02-15T00:00:00"/>
    <d v="2025-02-15T00:00:00"/>
    <n v="9"/>
    <n v="0"/>
    <s v="Americas"/>
    <s v="Brazil"/>
    <s v="São Paulo"/>
    <s v="Americas&gt;Brazil&gt;São Paulo"/>
    <s v="Non-Profit"/>
    <s v="Distributor"/>
    <s v="F. Müller"/>
    <s v="Networking"/>
    <s v="NET-5482"/>
    <n v="837.39"/>
    <n v="1905.42"/>
    <n v="1905.42"/>
    <s v="Medium"/>
    <n v="3.2000000000000001E-2"/>
    <n v="3.2000000000000001E-2"/>
    <n v="18"/>
    <n v="33200.038079999998"/>
    <n v="15073.02"/>
    <n v="18127.018079999998"/>
    <n v="0.54599389423350919"/>
    <d v="2023-01-29T00:00:00"/>
    <n v="24"/>
  </r>
  <r>
    <s v="ORD-2025-922513"/>
    <x v="447"/>
    <x v="447"/>
    <s v="Q3 -2025"/>
    <d v="2025-08-26T00:00:00"/>
    <d v="2025-09-02T00:00:00"/>
    <n v="5"/>
    <n v="1"/>
    <s v="Africa"/>
    <s v="Nigeria"/>
    <s v="Port Harcourt"/>
    <s v="Africa&gt;Nigeria&gt;Port Harcourt"/>
    <s v="Small Business"/>
    <s v="Retail"/>
    <s v="A. Patel"/>
    <s v="Accessories"/>
    <s v="ACC-4483"/>
    <n v="521.05999999999995"/>
    <n v="1240.31"/>
    <n v="1240.31"/>
    <s v="Medium"/>
    <n v="0.14599999999999999"/>
    <n v="0.14599999999999999"/>
    <n v="18"/>
    <n v="19066.045319999997"/>
    <n v="9379.0799999999981"/>
    <n v="9686.9653199999993"/>
    <n v="0.50807417885650974"/>
    <d v="2023-01-15T00:00:00"/>
    <n v="31"/>
  </r>
  <r>
    <s v="ORD-2025-926547"/>
    <x v="407"/>
    <x v="407"/>
    <s v="Q1 -2025"/>
    <d v="2025-03-26T00:00:00"/>
    <d v="2025-03-26T00:00:00"/>
    <n v="15"/>
    <n v="0"/>
    <s v="Europe"/>
    <s v="Germany"/>
    <s v="Berlin"/>
    <s v="Europe&gt;Germany&gt;Berlin"/>
    <s v="Small Business"/>
    <s v="Online"/>
    <s v="I. Johnson"/>
    <s v="Phones"/>
    <s v="PHN-3007"/>
    <n v="116.97"/>
    <n v="140.82"/>
    <n v="140.82"/>
    <s v="Low"/>
    <n v="0.122"/>
    <n v="0.122"/>
    <n v="5"/>
    <n v="618.19979999999987"/>
    <n v="584.85"/>
    <n v="33.349799999999846"/>
    <n v="5.3946636669891926E-2"/>
    <d v="2023-01-22T00:00:00"/>
    <n v="25"/>
  </r>
  <r>
    <s v="ORD-2025-929414"/>
    <x v="462"/>
    <x v="462"/>
    <s v="Q2 -2025"/>
    <d v="2025-07-11T00:00:00"/>
    <d v="2025-07-11T00:00:00"/>
    <n v="15"/>
    <n v="0"/>
    <s v="Africa"/>
    <s v="Nigeria"/>
    <s v="Port Harcourt"/>
    <s v="Africa&gt;Nigeria&gt;Port Harcourt"/>
    <s v="Small Business"/>
    <s v="Online"/>
    <s v="A. Patel"/>
    <s v="Laptops"/>
    <s v="LAP-7523"/>
    <n v="1170.1500000000001"/>
    <n v="2115.19"/>
    <n v="2115.19"/>
    <s v="High"/>
    <n v="9.1999999999999998E-2"/>
    <n v="9.1999999999999998E-2"/>
    <n v="23"/>
    <n v="44173.627960000005"/>
    <n v="26913.45"/>
    <n v="17260.177960000005"/>
    <n v="0.39073489674946776"/>
    <d v="2023-01-15T00:00:00"/>
    <n v="29"/>
  </r>
  <r>
    <s v="ORD-2025-931538"/>
    <x v="463"/>
    <x v="463"/>
    <s v="Q1 -2025"/>
    <d v="2025-03-01T00:00:00"/>
    <d v="2025-03-01T00:00:00"/>
    <n v="20"/>
    <n v="0"/>
    <s v="Americas"/>
    <s v="Brazil"/>
    <s v="São Paulo"/>
    <s v="Americas&gt;Brazil&gt;São Paulo"/>
    <s v="Corporate"/>
    <s v="Distributor"/>
    <s v="B. Chen"/>
    <s v="Laptops"/>
    <s v="LAP-6989"/>
    <n v="1154.6400000000001"/>
    <n v="2794.13"/>
    <n v="2794.13"/>
    <s v="High"/>
    <n v="3.5000000000000003E-2"/>
    <n v="3.5000000000000003E-2"/>
    <n v="11"/>
    <n v="29659.68995"/>
    <n v="12701.04"/>
    <n v="16958.649949999999"/>
    <n v="0.57177435025749479"/>
    <d v="2023-01-29T00:00:00"/>
    <n v="24"/>
  </r>
  <r>
    <s v="ORD-2025-939953"/>
    <x v="388"/>
    <x v="388"/>
    <s v="Q1 -2025"/>
    <d v="2025-01-22T00:00:00"/>
    <d v="2025-01-22T00:00:00"/>
    <n v="0"/>
    <n v="1"/>
    <s v="Europe"/>
    <s v="France"/>
    <s v="Lyon"/>
    <s v="Europe&gt;France&gt;Lyon"/>
    <s v="Small Business"/>
    <s v="Online"/>
    <s v="B. Chen"/>
    <s v="Accessories"/>
    <s v="ACC-5422"/>
    <n v="591.72"/>
    <n v="577.24"/>
    <n v="577.24"/>
    <s v="Low"/>
    <n v="0"/>
    <n v="0"/>
    <n v="22"/>
    <n v="12699.28"/>
    <n v="13017.84"/>
    <n v="-318.55999999999949"/>
    <n v="-2.5084886702238195E-2"/>
    <d v="2023-01-10T00:00:00"/>
    <n v="24"/>
  </r>
  <r>
    <s v="ORD-2025-944081"/>
    <x v="383"/>
    <x v="383"/>
    <s v="Q1 -2025"/>
    <d v="2025-03-26T00:00:00"/>
    <d v="2025-03-26T00:00:00"/>
    <n v="1"/>
    <n v="1"/>
    <s v="Africa"/>
    <s v="Nigeria"/>
    <s v="Lagos"/>
    <s v="Africa&gt;Nigeria&gt;Lagos"/>
    <s v="Education"/>
    <s v="Distributor"/>
    <s v="G. Dubois"/>
    <s v="Accessories"/>
    <s v="ACC-9533"/>
    <n v="1450.43"/>
    <n v="1994.67"/>
    <n v="1994.67"/>
    <s v="High"/>
    <n v="0.1"/>
    <n v="0.1"/>
    <n v="24"/>
    <n v="43084.872000000003"/>
    <n v="34810.32"/>
    <n v="8274.5520000000033"/>
    <n v="0.19205237513529116"/>
    <d v="2023-01-15T00:00:00"/>
    <n v="26"/>
  </r>
  <r>
    <s v="ORD-2025-946490"/>
    <x v="445"/>
    <x v="445"/>
    <s v="Q2 -2025"/>
    <d v="2025-05-02T00:00:00"/>
    <d v="2025-05-02T00:00:00"/>
    <n v="10"/>
    <n v="0"/>
    <s v="Europe"/>
    <s v="Germany"/>
    <s v="Berlin"/>
    <s v="Europe&gt;Germany&gt;Berlin"/>
    <s v="Corporate"/>
    <s v="Marketplace"/>
    <s v="C. Otieno"/>
    <s v="Monitors"/>
    <s v="MON-2842"/>
    <n v="20.149999999999999"/>
    <n v="39.74"/>
    <n v="39.74"/>
    <s v="Low"/>
    <n v="0.151"/>
    <n v="0.151"/>
    <n v="18"/>
    <n v="607.30668000000003"/>
    <n v="362.7"/>
    <n v="244.60668000000004"/>
    <n v="0.4027729120318585"/>
    <d v="2023-01-22T00:00:00"/>
    <n v="27"/>
  </r>
  <r>
    <s v="ORD-2025-947929"/>
    <x v="464"/>
    <x v="464"/>
    <s v="Q1 -2025"/>
    <d v="2025-04-02T00:00:00"/>
    <d v="2025-04-02T00:00:00"/>
    <n v="10"/>
    <n v="0"/>
    <s v="Europe"/>
    <s v="Germany"/>
    <s v="Berlin"/>
    <s v="Europe&gt;Germany&gt;Berlin"/>
    <s v="Enterprise"/>
    <s v="Online"/>
    <s v="E. Garcia"/>
    <s v="Printers"/>
    <s v="PRN-3159"/>
    <n v="663.61"/>
    <n v="1002.11"/>
    <n v="1002.11"/>
    <s v="Low"/>
    <n v="4.5999999999999999E-2"/>
    <n v="4.5999999999999999E-2"/>
    <n v="17"/>
    <n v="16252.219979999998"/>
    <n v="11281.37"/>
    <n v="4970.8499799999972"/>
    <n v="0.30585667595670812"/>
    <d v="2023-01-22T00:00:00"/>
    <n v="26"/>
  </r>
  <r>
    <s v="ORD-2025-949776"/>
    <x v="465"/>
    <x v="465"/>
    <s v="Q3 -2025"/>
    <d v="2025-09-11T00:00:00"/>
    <d v="2025-09-11T00:00:00"/>
    <n v="28"/>
    <n v="0"/>
    <s v="Americas"/>
    <s v="Brazil"/>
    <s v="São Paulo"/>
    <s v="Americas&gt;Brazil&gt;São Paulo"/>
    <s v="Non-Profit"/>
    <s v="Direct"/>
    <s v="F. Müller"/>
    <s v="Printers"/>
    <s v="PRN-9490"/>
    <n v="1203.02"/>
    <n v="2439.33"/>
    <n v="2439.33"/>
    <s v="High"/>
    <n v="0"/>
    <n v="0"/>
    <n v="18"/>
    <n v="43907.94"/>
    <n v="21654.36"/>
    <n v="22253.58"/>
    <n v="0.50682359500354612"/>
    <d v="2023-01-29T00:00:00"/>
    <n v="30"/>
  </r>
  <r>
    <s v="ORD-2025-956101"/>
    <x v="466"/>
    <x v="466"/>
    <s v="Q3 -2025"/>
    <d v="2025-07-18T00:00:00"/>
    <d v="2025-07-18T00:00:00"/>
    <n v="9"/>
    <n v="0"/>
    <s v="Americas"/>
    <s v="Canada"/>
    <s v="Vancouver"/>
    <s v="Americas&gt;Canada&gt;Vancouver"/>
    <s v="Education"/>
    <s v="Distributor"/>
    <s v="I. Johnson"/>
    <s v="Laptops"/>
    <s v="LAP-2218"/>
    <n v="57.96"/>
    <n v="88.51"/>
    <n v="88.51"/>
    <s v="Low"/>
    <n v="4.2999999999999997E-2"/>
    <n v="4.2999999999999997E-2"/>
    <n v="7"/>
    <n v="592.92849000000001"/>
    <n v="405.72"/>
    <n v="187.20848999999998"/>
    <n v="0.3157353595877978"/>
    <d v="2023-01-02T00:00:00"/>
    <n v="30"/>
  </r>
  <r>
    <s v="ORD-2025-960931"/>
    <x v="467"/>
    <x v="467"/>
    <s v="Q3 -2025"/>
    <d v="2025-08-26T00:00:00"/>
    <d v="2025-08-26T00:00:00"/>
    <n v="6"/>
    <n v="1"/>
    <s v="Americas"/>
    <s v="USA"/>
    <s v="New York"/>
    <s v="Americas&gt;USA&gt;New York"/>
    <s v="Corporate"/>
    <s v="Retail"/>
    <s v="M. Rossi"/>
    <s v="Networking"/>
    <s v="NET-5196"/>
    <n v="1304.95"/>
    <n v="1712.03"/>
    <n v="1712.03"/>
    <s v="Medium"/>
    <n v="0.21199999999999999"/>
    <n v="0.21199999999999999"/>
    <n v="8"/>
    <n v="10792.637119999999"/>
    <n v="10439.6"/>
    <n v="353.03711999999905"/>
    <n v="3.2710922833287949E-2"/>
    <d v="2023-01-13T00:00:00"/>
    <n v="31"/>
  </r>
  <r>
    <s v="ORD-2025-964661"/>
    <x v="428"/>
    <x v="428"/>
    <s v="Q1 -2025"/>
    <d v="2025-02-25T00:00:00"/>
    <d v="2025-02-25T00:00:00"/>
    <n v="21"/>
    <n v="0"/>
    <s v="Europe"/>
    <s v="United Kingdom"/>
    <s v="Birmingham"/>
    <s v="Europe&gt;United Kingdom&gt;Birmingham"/>
    <s v="Corporate"/>
    <s v="Marketplace"/>
    <s v="D. Smith"/>
    <s v="Monitors"/>
    <s v="MON-4959"/>
    <n v="1016.32"/>
    <n v="2253.42"/>
    <n v="2253.42"/>
    <s v="High"/>
    <n v="5.5E-2"/>
    <n v="5.5E-2"/>
    <n v="12"/>
    <n v="25553.782800000001"/>
    <n v="12195.84"/>
    <n v="13357.942800000001"/>
    <n v="0.52273837124419797"/>
    <d v="2023-01-19T00:00:00"/>
    <n v="24"/>
  </r>
  <r>
    <s v="ORD-2025-983096"/>
    <x v="450"/>
    <x v="450"/>
    <s v="Q2 -2025"/>
    <d v="2025-05-28T00:00:00"/>
    <d v="2025-05-28T00:00:00"/>
    <n v="11"/>
    <n v="0"/>
    <s v="Asia"/>
    <s v="India"/>
    <s v="Bengaluru"/>
    <s v="Asia&gt;India&gt;Bengaluru"/>
    <s v="Corporate"/>
    <s v="Distributor"/>
    <s v="B. Chen"/>
    <s v="Laptops"/>
    <s v="LAP-9016"/>
    <n v="623.4"/>
    <n v="1100.0899999999999"/>
    <n v="1100.0899999999999"/>
    <s v="Medium"/>
    <n v="0.114"/>
    <n v="0.114"/>
    <n v="12"/>
    <n v="11696.156879999999"/>
    <n v="7480.7999999999993"/>
    <n v="4215.3568799999994"/>
    <n v="0.36040529579490388"/>
    <d v="2023-01-29T00:00:00"/>
    <n v="27"/>
  </r>
  <r>
    <s v="ORD-2025-993993"/>
    <x v="389"/>
    <x v="389"/>
    <s v="Q3 -2025"/>
    <d v="2025-09-22T00:00:00"/>
    <d v="2025-09-22T00:00:00"/>
    <n v="23"/>
    <n v="0"/>
    <s v="Europe"/>
    <s v="France"/>
    <s v="Marseille"/>
    <s v="Europe&gt;France&gt;Marseille"/>
    <s v="Corporate"/>
    <s v="Direct"/>
    <s v="E. Garcia"/>
    <s v="Components"/>
    <s v="CMP-5311"/>
    <n v="663.9"/>
    <n v="947.77"/>
    <n v="947.77"/>
    <s v="Low"/>
    <n v="0.17399999999999999"/>
    <n v="0.17399999999999999"/>
    <n v="15"/>
    <n v="11742.8703"/>
    <n v="9958.5"/>
    <n v="1784.3703000000005"/>
    <n v="0.1519535049280073"/>
    <d v="2023-01-10T00:00:00"/>
    <n v="31"/>
  </r>
  <r>
    <s v="ORD-2025-997421"/>
    <x v="436"/>
    <x v="436"/>
    <s v="Q2 -2025"/>
    <d v="2025-06-09T00:00:00"/>
    <d v="2025-06-09T00:00:00"/>
    <n v="19"/>
    <n v="0"/>
    <s v="Americas"/>
    <s v="Brazil"/>
    <s v="São Paulo"/>
    <s v="Americas&gt;Brazil&gt;São Paulo"/>
    <s v="Non-Profit"/>
    <s v="Online"/>
    <s v="A. Patel"/>
    <s v="Components"/>
    <s v="CMP-3731"/>
    <n v="1331.38"/>
    <n v="2309.56"/>
    <n v="2309.56"/>
    <s v="Low"/>
    <n v="0.14899999999999999"/>
    <n v="0.14899999999999999"/>
    <n v="31"/>
    <n v="60928.502359999999"/>
    <n v="41272.780000000006"/>
    <n v="19655.722359999992"/>
    <n v="0.32260307735553528"/>
    <d v="2023-01-29T00:00:00"/>
    <n v="27"/>
  </r>
  <r>
    <m/>
    <x v="468"/>
    <x v="468"/>
    <m/>
    <m/>
    <m/>
    <m/>
    <m/>
    <m/>
    <m/>
    <m/>
    <m/>
    <m/>
    <m/>
    <m/>
    <m/>
    <m/>
    <m/>
    <m/>
    <m/>
    <m/>
    <m/>
    <m/>
    <m/>
    <n v="10945767.912949994"/>
    <m/>
    <n v="3418020.2029499956"/>
    <n v="0.3122686530660053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4F05EA-E7B9-4F53-AEF6-B32D1B9158C2}"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N38" firstHeaderRow="1" firstDataRow="2" firstDataCol="1"/>
  <pivotFields count="35">
    <pivotField showAll="0"/>
    <pivotField numFmtId="165"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numFmtId="167"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showAll="0"/>
    <pivotField numFmtId="165" showAll="0"/>
    <pivotField numFmtId="165" showAll="0"/>
    <pivotField numFmtId="2" showAll="0"/>
    <pivotField showAll="0">
      <items count="5">
        <item x="1"/>
        <item x="2"/>
        <item x="0"/>
        <item x="3"/>
        <item t="default"/>
      </items>
    </pivotField>
    <pivotField axis="axisCol" showAll="0">
      <items count="13">
        <item x="11"/>
        <item x="3"/>
        <item x="7"/>
        <item x="10"/>
        <item x="9"/>
        <item x="1"/>
        <item x="0"/>
        <item x="6"/>
        <item x="2"/>
        <item x="5"/>
        <item x="8"/>
        <item x="4"/>
        <item t="default"/>
      </items>
    </pivotField>
    <pivotField showAll="0"/>
    <pivotField showAll="0"/>
    <pivotField showAll="0"/>
    <pivotField showAll="0">
      <items count="7">
        <item x="3"/>
        <item x="1"/>
        <item x="4"/>
        <item x="2"/>
        <item x="0"/>
        <item x="5"/>
        <item t="default"/>
      </items>
    </pivotField>
    <pivotField showAll="0">
      <items count="17">
        <item x="0"/>
        <item x="12"/>
        <item x="14"/>
        <item x="6"/>
        <item x="1"/>
        <item x="3"/>
        <item x="10"/>
        <item x="7"/>
        <item x="9"/>
        <item x="5"/>
        <item x="4"/>
        <item x="11"/>
        <item x="8"/>
        <item x="13"/>
        <item x="2"/>
        <item x="15"/>
        <item t="default"/>
      </items>
    </pivotField>
    <pivotField showAll="0">
      <items count="8">
        <item x="0"/>
        <item x="2"/>
        <item x="4"/>
        <item x="3"/>
        <item x="6"/>
        <item x="5"/>
        <item x="1"/>
        <item t="default"/>
      </items>
    </pivotField>
    <pivotField showAll="0"/>
    <pivotField numFmtId="166" showAll="0"/>
    <pivotField numFmtId="166" showAll="0"/>
    <pivotField numFmtId="166" showAll="0"/>
    <pivotField showAll="0"/>
    <pivotField numFmtId="10" showAll="0"/>
    <pivotField numFmtId="10" showAll="0"/>
    <pivotField numFmtId="2" showAll="0"/>
    <pivotField dataField="1" numFmtId="166" showAll="0"/>
    <pivotField numFmtId="166" showAll="0"/>
    <pivotField numFmtId="166" showAll="0"/>
    <pivotField numFmtId="10" showAll="0"/>
    <pivotField numFmtId="167" showAll="0"/>
    <pivotField axis="axisRow" showAll="0">
      <items count="34">
        <item x="2"/>
        <item x="0"/>
        <item x="11"/>
        <item x="3"/>
        <item x="7"/>
        <item x="1"/>
        <item x="10"/>
        <item x="6"/>
        <item x="5"/>
        <item x="8"/>
        <item x="9"/>
        <item x="4"/>
        <item x="13"/>
        <item x="22"/>
        <item x="20"/>
        <item x="19"/>
        <item x="14"/>
        <item x="15"/>
        <item x="21"/>
        <item x="18"/>
        <item x="23"/>
        <item x="12"/>
        <item x="16"/>
        <item x="17"/>
        <item x="25"/>
        <item x="29"/>
        <item x="27"/>
        <item x="31"/>
        <item x="24"/>
        <item x="28"/>
        <item x="26"/>
        <item x="30"/>
        <item x="3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8"/>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8"/>
  </colFields>
  <colItems count="13">
    <i>
      <x/>
    </i>
    <i>
      <x v="1"/>
    </i>
    <i>
      <x v="2"/>
    </i>
    <i>
      <x v="3"/>
    </i>
    <i>
      <x v="4"/>
    </i>
    <i>
      <x v="5"/>
    </i>
    <i>
      <x v="6"/>
    </i>
    <i>
      <x v="7"/>
    </i>
    <i>
      <x v="8"/>
    </i>
    <i>
      <x v="9"/>
    </i>
    <i>
      <x v="10"/>
    </i>
    <i>
      <x v="11"/>
    </i>
    <i t="grand">
      <x/>
    </i>
  </colItems>
  <dataFields count="1">
    <dataField name="Sum of Grossrevenue" fld="23" baseField="0" baseItem="0" numFmtId="166"/>
  </dataFields>
  <chartFormats count="45">
    <chartFormat chart="1" format="0" series="1">
      <pivotArea type="data" outline="0" fieldPosition="0">
        <references count="2">
          <reference field="4294967294" count="1" selected="0">
            <x v="0"/>
          </reference>
          <reference field="28" count="1" selected="0">
            <x v="0"/>
          </reference>
        </references>
      </pivotArea>
    </chartFormat>
    <chartFormat chart="1" format="1" series="1">
      <pivotArea type="data" outline="0" fieldPosition="0">
        <references count="2">
          <reference field="4294967294" count="1" selected="0">
            <x v="0"/>
          </reference>
          <reference field="28" count="1" selected="0">
            <x v="1"/>
          </reference>
        </references>
      </pivotArea>
    </chartFormat>
    <chartFormat chart="1" format="2" series="1">
      <pivotArea type="data" outline="0" fieldPosition="0">
        <references count="2">
          <reference field="4294967294" count="1" selected="0">
            <x v="0"/>
          </reference>
          <reference field="28" count="1" selected="0">
            <x v="2"/>
          </reference>
        </references>
      </pivotArea>
    </chartFormat>
    <chartFormat chart="1" format="3" series="1">
      <pivotArea type="data" outline="0" fieldPosition="0">
        <references count="2">
          <reference field="4294967294" count="1" selected="0">
            <x v="0"/>
          </reference>
          <reference field="28" count="1" selected="0">
            <x v="3"/>
          </reference>
        </references>
      </pivotArea>
    </chartFormat>
    <chartFormat chart="1" format="4" series="1">
      <pivotArea type="data" outline="0" fieldPosition="0">
        <references count="2">
          <reference field="4294967294" count="1" selected="0">
            <x v="0"/>
          </reference>
          <reference field="28" count="1" selected="0">
            <x v="4"/>
          </reference>
        </references>
      </pivotArea>
    </chartFormat>
    <chartFormat chart="1" format="5" series="1">
      <pivotArea type="data" outline="0" fieldPosition="0">
        <references count="2">
          <reference field="4294967294" count="1" selected="0">
            <x v="0"/>
          </reference>
          <reference field="28" count="1" selected="0">
            <x v="5"/>
          </reference>
        </references>
      </pivotArea>
    </chartFormat>
    <chartFormat chart="1" format="6" series="1">
      <pivotArea type="data" outline="0" fieldPosition="0">
        <references count="2">
          <reference field="4294967294" count="1" selected="0">
            <x v="0"/>
          </reference>
          <reference field="28" count="1" selected="0">
            <x v="6"/>
          </reference>
        </references>
      </pivotArea>
    </chartFormat>
    <chartFormat chart="1" format="7" series="1">
      <pivotArea type="data" outline="0" fieldPosition="0">
        <references count="2">
          <reference field="4294967294" count="1" selected="0">
            <x v="0"/>
          </reference>
          <reference field="28" count="1" selected="0">
            <x v="7"/>
          </reference>
        </references>
      </pivotArea>
    </chartFormat>
    <chartFormat chart="1" format="8" series="1">
      <pivotArea type="data" outline="0" fieldPosition="0">
        <references count="2">
          <reference field="4294967294" count="1" selected="0">
            <x v="0"/>
          </reference>
          <reference field="28" count="1" selected="0">
            <x v="8"/>
          </reference>
        </references>
      </pivotArea>
    </chartFormat>
    <chartFormat chart="1" format="9" series="1">
      <pivotArea type="data" outline="0" fieldPosition="0">
        <references count="2">
          <reference field="4294967294" count="1" selected="0">
            <x v="0"/>
          </reference>
          <reference field="28" count="1" selected="0">
            <x v="9"/>
          </reference>
        </references>
      </pivotArea>
    </chartFormat>
    <chartFormat chart="1" format="10" series="1">
      <pivotArea type="data" outline="0" fieldPosition="0">
        <references count="2">
          <reference field="4294967294" count="1" selected="0">
            <x v="0"/>
          </reference>
          <reference field="28" count="1" selected="0">
            <x v="10"/>
          </reference>
        </references>
      </pivotArea>
    </chartFormat>
    <chartFormat chart="1" format="11" series="1">
      <pivotArea type="data" outline="0" fieldPosition="0">
        <references count="2">
          <reference field="4294967294" count="1" selected="0">
            <x v="0"/>
          </reference>
          <reference field="28" count="1" selected="0">
            <x v="11"/>
          </reference>
        </references>
      </pivotArea>
    </chartFormat>
    <chartFormat chart="1" format="12" series="1">
      <pivotArea type="data" outline="0" fieldPosition="0">
        <references count="2">
          <reference field="4294967294" count="1" selected="0">
            <x v="0"/>
          </reference>
          <reference field="28" count="1" selected="0">
            <x v="12"/>
          </reference>
        </references>
      </pivotArea>
    </chartFormat>
    <chartFormat chart="1" format="13" series="1">
      <pivotArea type="data" outline="0" fieldPosition="0">
        <references count="2">
          <reference field="4294967294" count="1" selected="0">
            <x v="0"/>
          </reference>
          <reference field="28" count="1" selected="0">
            <x v="13"/>
          </reference>
        </references>
      </pivotArea>
    </chartFormat>
    <chartFormat chart="1" format="14" series="1">
      <pivotArea type="data" outline="0" fieldPosition="0">
        <references count="2">
          <reference field="4294967294" count="1" selected="0">
            <x v="0"/>
          </reference>
          <reference field="28" count="1" selected="0">
            <x v="14"/>
          </reference>
        </references>
      </pivotArea>
    </chartFormat>
    <chartFormat chart="1" format="15" series="1">
      <pivotArea type="data" outline="0" fieldPosition="0">
        <references count="2">
          <reference field="4294967294" count="1" selected="0">
            <x v="0"/>
          </reference>
          <reference field="28" count="1" selected="0">
            <x v="15"/>
          </reference>
        </references>
      </pivotArea>
    </chartFormat>
    <chartFormat chart="1" format="16" series="1">
      <pivotArea type="data" outline="0" fieldPosition="0">
        <references count="2">
          <reference field="4294967294" count="1" selected="0">
            <x v="0"/>
          </reference>
          <reference field="28" count="1" selected="0">
            <x v="16"/>
          </reference>
        </references>
      </pivotArea>
    </chartFormat>
    <chartFormat chart="1" format="17" series="1">
      <pivotArea type="data" outline="0" fieldPosition="0">
        <references count="2">
          <reference field="4294967294" count="1" selected="0">
            <x v="0"/>
          </reference>
          <reference field="28" count="1" selected="0">
            <x v="17"/>
          </reference>
        </references>
      </pivotArea>
    </chartFormat>
    <chartFormat chart="1" format="18" series="1">
      <pivotArea type="data" outline="0" fieldPosition="0">
        <references count="2">
          <reference field="4294967294" count="1" selected="0">
            <x v="0"/>
          </reference>
          <reference field="28" count="1" selected="0">
            <x v="18"/>
          </reference>
        </references>
      </pivotArea>
    </chartFormat>
    <chartFormat chart="1" format="19" series="1">
      <pivotArea type="data" outline="0" fieldPosition="0">
        <references count="2">
          <reference field="4294967294" count="1" selected="0">
            <x v="0"/>
          </reference>
          <reference field="28" count="1" selected="0">
            <x v="19"/>
          </reference>
        </references>
      </pivotArea>
    </chartFormat>
    <chartFormat chart="1" format="20" series="1">
      <pivotArea type="data" outline="0" fieldPosition="0">
        <references count="2">
          <reference field="4294967294" count="1" selected="0">
            <x v="0"/>
          </reference>
          <reference field="28" count="1" selected="0">
            <x v="20"/>
          </reference>
        </references>
      </pivotArea>
    </chartFormat>
    <chartFormat chart="1" format="21" series="1">
      <pivotArea type="data" outline="0" fieldPosition="0">
        <references count="2">
          <reference field="4294967294" count="1" selected="0">
            <x v="0"/>
          </reference>
          <reference field="28" count="1" selected="0">
            <x v="21"/>
          </reference>
        </references>
      </pivotArea>
    </chartFormat>
    <chartFormat chart="1" format="22" series="1">
      <pivotArea type="data" outline="0" fieldPosition="0">
        <references count="2">
          <reference field="4294967294" count="1" selected="0">
            <x v="0"/>
          </reference>
          <reference field="28" count="1" selected="0">
            <x v="22"/>
          </reference>
        </references>
      </pivotArea>
    </chartFormat>
    <chartFormat chart="1" format="23" series="1">
      <pivotArea type="data" outline="0" fieldPosition="0">
        <references count="2">
          <reference field="4294967294" count="1" selected="0">
            <x v="0"/>
          </reference>
          <reference field="28" count="1" selected="0">
            <x v="23"/>
          </reference>
        </references>
      </pivotArea>
    </chartFormat>
    <chartFormat chart="1" format="24" series="1">
      <pivotArea type="data" outline="0" fieldPosition="0">
        <references count="2">
          <reference field="4294967294" count="1" selected="0">
            <x v="0"/>
          </reference>
          <reference field="28" count="1" selected="0">
            <x v="24"/>
          </reference>
        </references>
      </pivotArea>
    </chartFormat>
    <chartFormat chart="1" format="25" series="1">
      <pivotArea type="data" outline="0" fieldPosition="0">
        <references count="2">
          <reference field="4294967294" count="1" selected="0">
            <x v="0"/>
          </reference>
          <reference field="28" count="1" selected="0">
            <x v="25"/>
          </reference>
        </references>
      </pivotArea>
    </chartFormat>
    <chartFormat chart="1" format="26" series="1">
      <pivotArea type="data" outline="0" fieldPosition="0">
        <references count="2">
          <reference field="4294967294" count="1" selected="0">
            <x v="0"/>
          </reference>
          <reference field="28" count="1" selected="0">
            <x v="26"/>
          </reference>
        </references>
      </pivotArea>
    </chartFormat>
    <chartFormat chart="1" format="27" series="1">
      <pivotArea type="data" outline="0" fieldPosition="0">
        <references count="2">
          <reference field="4294967294" count="1" selected="0">
            <x v="0"/>
          </reference>
          <reference field="28" count="1" selected="0">
            <x v="27"/>
          </reference>
        </references>
      </pivotArea>
    </chartFormat>
    <chartFormat chart="1" format="28" series="1">
      <pivotArea type="data" outline="0" fieldPosition="0">
        <references count="2">
          <reference field="4294967294" count="1" selected="0">
            <x v="0"/>
          </reference>
          <reference field="28" count="1" selected="0">
            <x v="28"/>
          </reference>
        </references>
      </pivotArea>
    </chartFormat>
    <chartFormat chart="1" format="29" series="1">
      <pivotArea type="data" outline="0" fieldPosition="0">
        <references count="2">
          <reference field="4294967294" count="1" selected="0">
            <x v="0"/>
          </reference>
          <reference field="28" count="1" selected="0">
            <x v="29"/>
          </reference>
        </references>
      </pivotArea>
    </chartFormat>
    <chartFormat chart="1" format="30" series="1">
      <pivotArea type="data" outline="0" fieldPosition="0">
        <references count="2">
          <reference field="4294967294" count="1" selected="0">
            <x v="0"/>
          </reference>
          <reference field="28" count="1" selected="0">
            <x v="30"/>
          </reference>
        </references>
      </pivotArea>
    </chartFormat>
    <chartFormat chart="1" format="31" series="1">
      <pivotArea type="data" outline="0" fieldPosition="0">
        <references count="2">
          <reference field="4294967294" count="1" selected="0">
            <x v="0"/>
          </reference>
          <reference field="28" count="1" selected="0">
            <x v="31"/>
          </reference>
        </references>
      </pivotArea>
    </chartFormat>
    <chartFormat chart="1" format="32" series="1">
      <pivotArea type="data" outline="0" fieldPosition="0">
        <references count="2">
          <reference field="4294967294" count="1" selected="0">
            <x v="0"/>
          </reference>
          <reference field="28" count="1" selected="0">
            <x v="32"/>
          </reference>
        </references>
      </pivotArea>
    </chartFormat>
    <chartFormat chart="1" format="33" series="1">
      <pivotArea type="data" outline="0" fieldPosition="0">
        <references count="2">
          <reference field="4294967294" count="1" selected="0">
            <x v="0"/>
          </reference>
          <reference field="8" count="1" selected="0">
            <x v="1"/>
          </reference>
        </references>
      </pivotArea>
    </chartFormat>
    <chartFormat chart="1" format="34" series="1">
      <pivotArea type="data" outline="0" fieldPosition="0">
        <references count="2">
          <reference field="4294967294" count="1" selected="0">
            <x v="0"/>
          </reference>
          <reference field="8" count="1" selected="0">
            <x v="2"/>
          </reference>
        </references>
      </pivotArea>
    </chartFormat>
    <chartFormat chart="1" format="35" series="1">
      <pivotArea type="data" outline="0" fieldPosition="0">
        <references count="2">
          <reference field="4294967294" count="1" selected="0">
            <x v="0"/>
          </reference>
          <reference field="8" count="1" selected="0">
            <x v="3"/>
          </reference>
        </references>
      </pivotArea>
    </chartFormat>
    <chartFormat chart="1" format="36" series="1">
      <pivotArea type="data" outline="0" fieldPosition="0">
        <references count="2">
          <reference field="4294967294" count="1" selected="0">
            <x v="0"/>
          </reference>
          <reference field="8" count="1" selected="0">
            <x v="4"/>
          </reference>
        </references>
      </pivotArea>
    </chartFormat>
    <chartFormat chart="1" format="37" series="1">
      <pivotArea type="data" outline="0" fieldPosition="0">
        <references count="2">
          <reference field="4294967294" count="1" selected="0">
            <x v="0"/>
          </reference>
          <reference field="8" count="1" selected="0">
            <x v="5"/>
          </reference>
        </references>
      </pivotArea>
    </chartFormat>
    <chartFormat chart="1" format="38" series="1">
      <pivotArea type="data" outline="0" fieldPosition="0">
        <references count="2">
          <reference field="4294967294" count="1" selected="0">
            <x v="0"/>
          </reference>
          <reference field="8" count="1" selected="0">
            <x v="6"/>
          </reference>
        </references>
      </pivotArea>
    </chartFormat>
    <chartFormat chart="1" format="39" series="1">
      <pivotArea type="data" outline="0" fieldPosition="0">
        <references count="2">
          <reference field="4294967294" count="1" selected="0">
            <x v="0"/>
          </reference>
          <reference field="8" count="1" selected="0">
            <x v="7"/>
          </reference>
        </references>
      </pivotArea>
    </chartFormat>
    <chartFormat chart="1" format="40" series="1">
      <pivotArea type="data" outline="0" fieldPosition="0">
        <references count="2">
          <reference field="4294967294" count="1" selected="0">
            <x v="0"/>
          </reference>
          <reference field="8" count="1" selected="0">
            <x v="8"/>
          </reference>
        </references>
      </pivotArea>
    </chartFormat>
    <chartFormat chart="1" format="41" series="1">
      <pivotArea type="data" outline="0" fieldPosition="0">
        <references count="2">
          <reference field="4294967294" count="1" selected="0">
            <x v="0"/>
          </reference>
          <reference field="8" count="1" selected="0">
            <x v="9"/>
          </reference>
        </references>
      </pivotArea>
    </chartFormat>
    <chartFormat chart="1" format="42" series="1">
      <pivotArea type="data" outline="0" fieldPosition="0">
        <references count="2">
          <reference field="4294967294" count="1" selected="0">
            <x v="0"/>
          </reference>
          <reference field="8" count="1" selected="0">
            <x v="10"/>
          </reference>
        </references>
      </pivotArea>
    </chartFormat>
    <chartFormat chart="1" format="43" series="1">
      <pivotArea type="data" outline="0" fieldPosition="0">
        <references count="2">
          <reference field="4294967294" count="1" selected="0">
            <x v="0"/>
          </reference>
          <reference field="8" count="1" selected="0">
            <x v="11"/>
          </reference>
        </references>
      </pivotArea>
    </chartFormat>
    <chartFormat chart="1" format="44"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D49855-9F41-453B-B095-802DFA5A7772}"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C631" firstHeaderRow="1" firstDataRow="1" firstDataCol="2"/>
  <pivotFields count="35">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items count="468">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s>
      <extLst>
        <ext xmlns:x14="http://schemas.microsoft.com/office/spreadsheetml/2009/9/main" uri="{2946ED86-A175-432a-8AC1-64E0C546D7DE}">
          <x14:pivotField fillDownLabels="1"/>
        </ext>
      </extLst>
    </pivotField>
    <pivotField compact="0" numFmtId="167" outline="0" showAll="0" defaultSubtotal="0">
      <items count="468">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items count="12">
        <item x="11"/>
        <item x="3"/>
        <item x="7"/>
        <item x="10"/>
        <item x="9"/>
        <item x="1"/>
        <item x="0"/>
        <item x="6"/>
        <item x="2"/>
        <item x="5"/>
        <item x="8"/>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3"/>
        <item x="1"/>
        <item x="4"/>
        <item x="2"/>
        <item x="0"/>
        <item x="5"/>
      </items>
      <extLst>
        <ext xmlns:x14="http://schemas.microsoft.com/office/spreadsheetml/2009/9/main" uri="{2946ED86-A175-432a-8AC1-64E0C546D7DE}">
          <x14:pivotField fillDownLabels="1"/>
        </ext>
      </extLst>
    </pivotField>
    <pivotField compact="0" outline="0" showAll="0" defaultSubtotal="0">
      <items count="16">
        <item x="0"/>
        <item x="12"/>
        <item x="14"/>
        <item x="6"/>
        <item x="1"/>
        <item x="3"/>
        <item x="10"/>
        <item x="7"/>
        <item x="9"/>
        <item x="5"/>
        <item x="4"/>
        <item x="11"/>
        <item x="8"/>
        <item x="13"/>
        <item x="2"/>
        <item x="15"/>
      </items>
      <extLst>
        <ext xmlns:x14="http://schemas.microsoft.com/office/spreadsheetml/2009/9/main" uri="{2946ED86-A175-432a-8AC1-64E0C546D7DE}">
          <x14:pivotField fillDownLabels="1"/>
        </ext>
      </extLst>
    </pivotField>
    <pivotField axis="axisRow" compact="0" outline="0" showAll="0" defaultSubtotal="0">
      <items count="7">
        <item x="0"/>
        <item x="2"/>
        <item x="4"/>
        <item x="3"/>
        <item x="6"/>
        <item x="5"/>
        <item x="1"/>
      </items>
      <extLst>
        <ext xmlns:x14="http://schemas.microsoft.com/office/spreadsheetml/2009/9/main" uri="{2946ED86-A175-432a-8AC1-64E0C546D7DE}">
          <x14:pivotField fillDownLabels="1"/>
        </ext>
      </extLst>
    </pivotField>
    <pivotField axis="axisRow" compact="0" outline="0" showAll="0" sortType="descending" defaultSubtotal="0">
      <items count="630">
        <item x="259"/>
        <item x="556"/>
        <item x="20"/>
        <item x="371"/>
        <item x="40"/>
        <item x="523"/>
        <item x="181"/>
        <item x="67"/>
        <item x="574"/>
        <item x="494"/>
        <item x="468"/>
        <item x="600"/>
        <item x="125"/>
        <item x="552"/>
        <item x="96"/>
        <item x="585"/>
        <item x="9"/>
        <item x="322"/>
        <item x="360"/>
        <item x="273"/>
        <item x="75"/>
        <item x="509"/>
        <item x="201"/>
        <item x="177"/>
        <item x="262"/>
        <item x="214"/>
        <item x="440"/>
        <item x="598"/>
        <item x="74"/>
        <item x="91"/>
        <item x="42"/>
        <item x="199"/>
        <item x="167"/>
        <item x="319"/>
        <item x="17"/>
        <item x="37"/>
        <item x="542"/>
        <item x="587"/>
        <item x="528"/>
        <item x="180"/>
        <item x="615"/>
        <item x="315"/>
        <item x="555"/>
        <item x="191"/>
        <item x="98"/>
        <item x="164"/>
        <item x="156"/>
        <item x="52"/>
        <item x="504"/>
        <item x="505"/>
        <item x="365"/>
        <item x="150"/>
        <item x="139"/>
        <item x="89"/>
        <item x="619"/>
        <item x="274"/>
        <item x="270"/>
        <item x="318"/>
        <item x="252"/>
        <item x="169"/>
        <item x="433"/>
        <item x="563"/>
        <item x="449"/>
        <item x="205"/>
        <item x="348"/>
        <item x="342"/>
        <item x="399"/>
        <item x="0"/>
        <item x="381"/>
        <item x="603"/>
        <item x="251"/>
        <item x="566"/>
        <item x="601"/>
        <item x="141"/>
        <item x="218"/>
        <item x="144"/>
        <item x="266"/>
        <item x="254"/>
        <item x="549"/>
        <item x="460"/>
        <item x="103"/>
        <item x="316"/>
        <item x="217"/>
        <item x="132"/>
        <item x="620"/>
        <item x="610"/>
        <item x="145"/>
        <item x="236"/>
        <item x="154"/>
        <item x="444"/>
        <item x="466"/>
        <item x="591"/>
        <item x="34"/>
        <item x="415"/>
        <item x="35"/>
        <item x="237"/>
        <item x="47"/>
        <item x="219"/>
        <item x="238"/>
        <item x="351"/>
        <item x="62"/>
        <item x="123"/>
        <item x="299"/>
        <item x="247"/>
        <item x="45"/>
        <item x="41"/>
        <item x="605"/>
        <item x="463"/>
        <item x="327"/>
        <item x="448"/>
        <item x="547"/>
        <item x="243"/>
        <item x="525"/>
        <item x="413"/>
        <item x="629"/>
        <item x="524"/>
        <item x="341"/>
        <item x="329"/>
        <item x="375"/>
        <item x="481"/>
        <item x="593"/>
        <item x="179"/>
        <item x="292"/>
        <item x="136"/>
        <item x="26"/>
        <item x="88"/>
        <item x="57"/>
        <item x="584"/>
        <item x="391"/>
        <item x="575"/>
        <item x="232"/>
        <item x="71"/>
        <item x="82"/>
        <item x="628"/>
        <item x="402"/>
        <item x="3"/>
        <item x="527"/>
        <item x="49"/>
        <item x="430"/>
        <item x="457"/>
        <item x="301"/>
        <item x="535"/>
        <item x="195"/>
        <item x="437"/>
        <item x="473"/>
        <item x="278"/>
        <item x="101"/>
        <item x="417"/>
        <item x="544"/>
        <item x="239"/>
        <item x="124"/>
        <item x="590"/>
        <item x="464"/>
        <item x="151"/>
        <item x="207"/>
        <item x="170"/>
        <item x="372"/>
        <item x="380"/>
        <item x="435"/>
        <item x="233"/>
        <item x="450"/>
        <item x="416"/>
        <item x="356"/>
        <item x="215"/>
        <item x="269"/>
        <item x="576"/>
        <item x="210"/>
        <item x="163"/>
        <item x="613"/>
        <item x="63"/>
        <item x="168"/>
        <item x="465"/>
        <item x="261"/>
        <item x="447"/>
        <item x="479"/>
        <item x="135"/>
        <item x="264"/>
        <item x="246"/>
        <item x="367"/>
        <item x="109"/>
        <item x="499"/>
        <item x="11"/>
        <item x="175"/>
        <item x="508"/>
        <item x="213"/>
        <item x="382"/>
        <item x="114"/>
        <item x="378"/>
        <item x="46"/>
        <item x="520"/>
        <item x="624"/>
        <item x="27"/>
        <item x="338"/>
        <item x="146"/>
        <item x="432"/>
        <item x="172"/>
        <item x="578"/>
        <item x="511"/>
        <item x="483"/>
        <item x="580"/>
        <item x="90"/>
        <item x="515"/>
        <item x="187"/>
        <item x="290"/>
        <item x="110"/>
        <item x="77"/>
        <item x="541"/>
        <item x="13"/>
        <item x="550"/>
        <item x="355"/>
        <item x="553"/>
        <item x="196"/>
        <item x="425"/>
        <item x="84"/>
        <item x="554"/>
        <item x="22"/>
        <item x="105"/>
        <item x="325"/>
        <item x="420"/>
        <item x="396"/>
        <item x="395"/>
        <item x="392"/>
        <item x="249"/>
        <item x="129"/>
        <item x="44"/>
        <item x="92"/>
        <item x="86"/>
        <item x="312"/>
        <item x="6"/>
        <item x="618"/>
        <item x="337"/>
        <item x="324"/>
        <item x="573"/>
        <item x="562"/>
        <item x="178"/>
        <item x="469"/>
        <item x="617"/>
        <item x="594"/>
        <item x="76"/>
        <item x="253"/>
        <item x="530"/>
        <item x="321"/>
        <item x="226"/>
        <item x="332"/>
        <item x="443"/>
        <item x="155"/>
        <item x="436"/>
        <item x="370"/>
        <item x="558"/>
        <item x="627"/>
        <item x="14"/>
        <item x="334"/>
        <item x="257"/>
        <item x="93"/>
        <item x="79"/>
        <item x="404"/>
        <item x="374"/>
        <item x="295"/>
        <item x="363"/>
        <item x="174"/>
        <item x="394"/>
        <item x="308"/>
        <item x="521"/>
        <item x="445"/>
        <item x="80"/>
        <item x="538"/>
        <item x="73"/>
        <item x="490"/>
        <item x="183"/>
        <item x="280"/>
        <item x="204"/>
        <item x="162"/>
        <item x="369"/>
        <item x="206"/>
        <item x="128"/>
        <item x="193"/>
        <item x="621"/>
        <item x="352"/>
        <item x="39"/>
        <item x="589"/>
        <item x="486"/>
        <item x="189"/>
        <item x="64"/>
        <item x="407"/>
        <item x="526"/>
        <item x="455"/>
        <item x="113"/>
        <item x="104"/>
        <item x="390"/>
        <item x="442"/>
        <item x="328"/>
        <item x="28"/>
        <item x="514"/>
        <item x="122"/>
        <item x="267"/>
        <item x="256"/>
        <item x="102"/>
        <item x="414"/>
        <item x="111"/>
        <item x="586"/>
        <item x="626"/>
        <item x="194"/>
        <item x="557"/>
        <item x="263"/>
        <item x="345"/>
        <item x="225"/>
        <item x="467"/>
        <item x="427"/>
        <item x="153"/>
        <item x="248"/>
        <item x="56"/>
        <item x="287"/>
        <item x="522"/>
        <item x="60"/>
        <item x="4"/>
        <item x="411"/>
        <item x="244"/>
        <item x="235"/>
        <item x="313"/>
        <item x="197"/>
        <item x="288"/>
        <item x="16"/>
        <item x="354"/>
        <item x="602"/>
        <item x="376"/>
        <item x="517"/>
        <item x="185"/>
        <item x="25"/>
        <item x="53"/>
        <item x="303"/>
        <item x="476"/>
        <item x="543"/>
        <item x="176"/>
        <item x="240"/>
        <item x="387"/>
        <item x="306"/>
        <item x="285"/>
        <item x="389"/>
        <item x="362"/>
        <item x="140"/>
        <item x="366"/>
        <item x="309"/>
        <item x="289"/>
        <item x="358"/>
        <item x="78"/>
        <item x="588"/>
        <item x="32"/>
        <item x="597"/>
        <item x="604"/>
        <item x="565"/>
        <item x="326"/>
        <item x="182"/>
        <item x="364"/>
        <item x="385"/>
        <item x="305"/>
        <item x="81"/>
        <item x="130"/>
        <item x="596"/>
        <item x="275"/>
        <item x="567"/>
        <item x="48"/>
        <item x="118"/>
        <item x="537"/>
        <item x="165"/>
        <item x="405"/>
        <item x="227"/>
        <item x="548"/>
        <item x="54"/>
        <item x="339"/>
        <item x="55"/>
        <item x="38"/>
        <item x="106"/>
        <item x="10"/>
        <item x="561"/>
        <item x="279"/>
        <item x="188"/>
        <item x="323"/>
        <item x="223"/>
        <item x="190"/>
        <item x="546"/>
        <item x="112"/>
        <item x="477"/>
        <item x="152"/>
        <item x="386"/>
        <item x="507"/>
        <item x="495"/>
        <item x="119"/>
        <item x="331"/>
        <item x="131"/>
        <item x="97"/>
        <item x="304"/>
        <item x="439"/>
        <item x="231"/>
        <item x="383"/>
        <item x="408"/>
        <item x="198"/>
        <item x="12"/>
        <item x="200"/>
        <item x="625"/>
        <item x="451"/>
        <item x="497"/>
        <item x="83"/>
        <item x="614"/>
        <item x="446"/>
        <item x="18"/>
        <item x="286"/>
        <item x="157"/>
        <item x="116"/>
        <item x="478"/>
        <item x="568"/>
        <item x="475"/>
        <item x="403"/>
        <item x="29"/>
        <item x="317"/>
        <item x="502"/>
        <item x="8"/>
        <item x="241"/>
        <item x="551"/>
        <item x="230"/>
        <item x="519"/>
        <item x="350"/>
        <item x="503"/>
        <item x="571"/>
        <item x="353"/>
        <item x="611"/>
        <item x="393"/>
        <item x="171"/>
        <item x="94"/>
        <item x="438"/>
        <item x="579"/>
        <item x="134"/>
        <item x="310"/>
        <item x="335"/>
        <item x="431"/>
        <item x="65"/>
        <item x="539"/>
        <item x="454"/>
        <item x="421"/>
        <item x="30"/>
        <item x="492"/>
        <item x="482"/>
        <item x="43"/>
        <item x="203"/>
        <item x="540"/>
        <item x="368"/>
        <item x="202"/>
        <item x="281"/>
        <item x="59"/>
        <item x="7"/>
        <item x="184"/>
        <item x="100"/>
        <item x="272"/>
        <item x="343"/>
        <item x="220"/>
        <item x="487"/>
        <item x="583"/>
        <item x="599"/>
        <item x="506"/>
        <item x="616"/>
        <item x="221"/>
        <item x="459"/>
        <item x="70"/>
        <item x="265"/>
        <item x="533"/>
        <item x="529"/>
        <item x="536"/>
        <item x="612"/>
        <item x="500"/>
        <item x="158"/>
        <item x="314"/>
        <item x="359"/>
        <item x="474"/>
        <item x="472"/>
        <item x="485"/>
        <item x="311"/>
        <item x="31"/>
        <item x="208"/>
        <item x="418"/>
        <item x="107"/>
        <item x="423"/>
        <item x="452"/>
        <item x="493"/>
        <item x="69"/>
        <item x="545"/>
        <item x="255"/>
        <item x="512"/>
        <item x="564"/>
        <item x="608"/>
        <item x="121"/>
        <item x="336"/>
        <item x="61"/>
        <item x="560"/>
        <item x="488"/>
        <item x="115"/>
        <item x="126"/>
        <item x="349"/>
        <item x="419"/>
        <item x="409"/>
        <item x="577"/>
        <item x="531"/>
        <item x="161"/>
        <item x="24"/>
        <item x="489"/>
        <item x="260"/>
        <item x="471"/>
        <item x="346"/>
        <item x="333"/>
        <item x="19"/>
        <item x="379"/>
        <item x="127"/>
        <item x="434"/>
        <item x="99"/>
        <item x="532"/>
        <item x="501"/>
        <item x="133"/>
        <item x="212"/>
        <item x="518"/>
        <item x="406"/>
        <item x="68"/>
        <item x="36"/>
        <item x="344"/>
        <item x="85"/>
        <item x="513"/>
        <item x="410"/>
        <item x="569"/>
        <item x="347"/>
        <item x="373"/>
        <item x="160"/>
        <item x="283"/>
        <item x="307"/>
        <item x="277"/>
        <item x="117"/>
        <item x="609"/>
        <item x="296"/>
        <item x="50"/>
        <item x="148"/>
        <item x="222"/>
        <item x="297"/>
        <item x="108"/>
        <item x="516"/>
        <item x="21"/>
        <item x="496"/>
        <item x="441"/>
        <item x="1"/>
        <item x="607"/>
        <item x="298"/>
        <item x="5"/>
        <item x="294"/>
        <item x="397"/>
        <item x="276"/>
        <item x="510"/>
        <item x="458"/>
        <item x="461"/>
        <item x="622"/>
        <item x="72"/>
        <item x="498"/>
        <item x="453"/>
        <item x="250"/>
        <item x="229"/>
        <item x="400"/>
        <item x="23"/>
        <item x="300"/>
        <item x="186"/>
        <item x="137"/>
        <item x="147"/>
        <item x="234"/>
        <item x="388"/>
        <item x="284"/>
        <item x="282"/>
        <item x="398"/>
        <item x="209"/>
        <item x="95"/>
        <item x="51"/>
        <item x="142"/>
        <item x="534"/>
        <item x="228"/>
        <item x="422"/>
        <item x="268"/>
        <item x="361"/>
        <item x="384"/>
        <item x="470"/>
        <item x="456"/>
        <item x="480"/>
        <item x="592"/>
        <item x="377"/>
        <item x="581"/>
        <item x="484"/>
        <item x="2"/>
        <item x="320"/>
        <item x="572"/>
        <item x="66"/>
        <item x="15"/>
        <item x="138"/>
        <item x="424"/>
        <item x="429"/>
        <item x="426"/>
        <item x="245"/>
        <item x="291"/>
        <item x="149"/>
        <item x="216"/>
        <item x="33"/>
        <item x="242"/>
        <item x="357"/>
        <item x="159"/>
        <item x="271"/>
        <item x="401"/>
        <item x="166"/>
        <item x="173"/>
        <item x="559"/>
        <item x="120"/>
        <item x="428"/>
        <item x="462"/>
        <item x="491"/>
        <item x="412"/>
        <item x="582"/>
        <item x="606"/>
        <item x="192"/>
        <item x="143"/>
        <item x="293"/>
        <item x="302"/>
        <item x="211"/>
        <item x="623"/>
        <item x="330"/>
        <item x="87"/>
        <item x="58"/>
        <item x="595"/>
        <item x="340"/>
        <item x="570"/>
        <item x="258"/>
        <item x="22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5">
        <item x="0"/>
        <item x="1"/>
        <item x="2"/>
        <item x="3"/>
        <item x="4"/>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5">
        <item x="0"/>
        <item x="1"/>
        <item x="2"/>
        <item x="3"/>
        <item x="4"/>
      </items>
      <extLst>
        <ext xmlns:x14="http://schemas.microsoft.com/office/spreadsheetml/2009/9/main" uri="{2946ED86-A175-432a-8AC1-64E0C546D7DE}">
          <x14:pivotField fillDownLabels="1"/>
        </ext>
      </extLst>
    </pivotField>
  </pivotFields>
  <rowFields count="2">
    <field x="14"/>
    <field x="15"/>
  </rowFields>
  <rowItems count="630">
    <i>
      <x/>
      <x v="60"/>
    </i>
    <i r="1">
      <x v="23"/>
    </i>
    <i r="1">
      <x v="82"/>
    </i>
    <i r="1">
      <x v="84"/>
    </i>
    <i r="1">
      <x v="72"/>
    </i>
    <i r="1">
      <x v="41"/>
    </i>
    <i r="1">
      <x v="68"/>
    </i>
    <i r="1">
      <x v="50"/>
    </i>
    <i r="1">
      <x v="81"/>
    </i>
    <i r="1">
      <x v="63"/>
    </i>
    <i r="1">
      <x v="6"/>
    </i>
    <i r="1">
      <x v="10"/>
    </i>
    <i r="1">
      <x v="4"/>
    </i>
    <i r="1">
      <x v="56"/>
    </i>
    <i r="1">
      <x v="44"/>
    </i>
    <i r="1">
      <x v="53"/>
    </i>
    <i r="1">
      <x v="59"/>
    </i>
    <i r="1">
      <x v="86"/>
    </i>
    <i r="1">
      <x v="75"/>
    </i>
    <i r="1">
      <x v="26"/>
    </i>
    <i r="1">
      <x v="12"/>
    </i>
    <i r="1">
      <x v="33"/>
    </i>
    <i r="1">
      <x v="83"/>
    </i>
    <i r="1">
      <x v="49"/>
    </i>
    <i r="1">
      <x v="79"/>
    </i>
    <i r="1">
      <x v="32"/>
    </i>
    <i r="1">
      <x v="40"/>
    </i>
    <i r="1">
      <x v="14"/>
    </i>
    <i r="1">
      <x v="78"/>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13"/>
    </i>
    <i r="1">
      <x v="61"/>
    </i>
    <i>
      <x v="1"/>
      <x v="171"/>
    </i>
    <i r="1">
      <x v="117"/>
    </i>
    <i r="1">
      <x v="99"/>
    </i>
    <i r="1">
      <x v="114"/>
    </i>
    <i r="1">
      <x v="100"/>
    </i>
    <i r="1">
      <x v="160"/>
    </i>
    <i r="1">
      <x v="128"/>
    </i>
    <i r="1">
      <x v="97"/>
    </i>
    <i r="1">
      <x v="158"/>
    </i>
    <i r="1">
      <x v="90"/>
    </i>
    <i r="1">
      <x v="145"/>
    </i>
    <i r="1">
      <x v="151"/>
    </i>
    <i r="1">
      <x v="143"/>
    </i>
    <i r="1">
      <x v="95"/>
    </i>
    <i r="1">
      <x v="124"/>
    </i>
    <i r="1">
      <x v="108"/>
    </i>
    <i r="1">
      <x v="174"/>
    </i>
    <i r="1">
      <x v="120"/>
    </i>
    <i r="1">
      <x v="172"/>
    </i>
    <i r="1">
      <x v="105"/>
    </i>
    <i r="1">
      <x v="111"/>
    </i>
    <i r="1">
      <x v="116"/>
    </i>
    <i r="1">
      <x v="147"/>
    </i>
    <i r="1">
      <x v="123"/>
    </i>
    <i r="1">
      <x v="137"/>
    </i>
    <i r="1">
      <x v="152"/>
    </i>
    <i r="1">
      <x v="166"/>
    </i>
    <i r="1">
      <x v="125"/>
    </i>
    <i r="1">
      <x v="157"/>
    </i>
    <i r="1">
      <x v="110"/>
    </i>
    <i r="1">
      <x v="118"/>
    </i>
    <i r="1">
      <x v="140"/>
    </i>
    <i r="1">
      <x v="175"/>
    </i>
    <i r="1">
      <x v="139"/>
    </i>
    <i r="1">
      <x v="98"/>
    </i>
    <i r="1">
      <x v="91"/>
    </i>
    <i r="1">
      <x v="104"/>
    </i>
    <i r="1">
      <x v="163"/>
    </i>
    <i r="1">
      <x v="162"/>
    </i>
    <i r="1">
      <x v="94"/>
    </i>
    <i r="1">
      <x v="127"/>
    </i>
    <i r="1">
      <x v="148"/>
    </i>
    <i r="1">
      <x v="121"/>
    </i>
    <i r="1">
      <x v="156"/>
    </i>
    <i r="1">
      <x v="159"/>
    </i>
    <i r="1">
      <x v="165"/>
    </i>
    <i r="1">
      <x v="133"/>
    </i>
    <i r="1">
      <x v="169"/>
    </i>
    <i r="1">
      <x v="149"/>
    </i>
    <i r="1">
      <x v="113"/>
    </i>
    <i r="1">
      <x v="155"/>
    </i>
    <i r="1">
      <x v="132"/>
    </i>
    <i r="1">
      <x v="142"/>
    </i>
    <i r="1">
      <x v="115"/>
    </i>
    <i r="1">
      <x v="119"/>
    </i>
    <i r="1">
      <x v="129"/>
    </i>
    <i r="1">
      <x v="168"/>
    </i>
    <i r="1">
      <x v="138"/>
    </i>
    <i r="1">
      <x v="167"/>
    </i>
    <i r="1">
      <x v="88"/>
    </i>
    <i r="1">
      <x v="176"/>
    </i>
    <i r="1">
      <x v="154"/>
    </i>
    <i r="1">
      <x v="134"/>
    </i>
    <i r="1">
      <x v="103"/>
    </i>
    <i r="1">
      <x v="161"/>
    </i>
    <i r="1">
      <x v="92"/>
    </i>
    <i r="1">
      <x v="102"/>
    </i>
    <i r="1">
      <x v="122"/>
    </i>
    <i r="1">
      <x v="107"/>
    </i>
    <i r="1">
      <x v="112"/>
    </i>
    <i r="1">
      <x v="164"/>
    </i>
    <i r="1">
      <x v="131"/>
    </i>
    <i r="1">
      <x v="153"/>
    </i>
    <i r="1">
      <x v="170"/>
    </i>
    <i r="1">
      <x v="109"/>
    </i>
    <i r="1">
      <x v="144"/>
    </i>
    <i r="1">
      <x v="130"/>
    </i>
    <i r="1">
      <x v="89"/>
    </i>
    <i r="1">
      <x v="93"/>
    </i>
    <i r="1">
      <x v="101"/>
    </i>
    <i r="1">
      <x v="136"/>
    </i>
    <i r="1">
      <x v="146"/>
    </i>
    <i r="1">
      <x v="106"/>
    </i>
    <i r="1">
      <x v="135"/>
    </i>
    <i r="1">
      <x v="141"/>
    </i>
    <i r="1">
      <x v="177"/>
    </i>
    <i r="1">
      <x v="150"/>
    </i>
    <i r="1">
      <x v="126"/>
    </i>
    <i r="1">
      <x v="173"/>
    </i>
    <i r="1">
      <x v="96"/>
    </i>
    <i>
      <x v="2"/>
      <x v="248"/>
    </i>
    <i r="1">
      <x v="207"/>
    </i>
    <i r="1">
      <x v="241"/>
    </i>
    <i r="1">
      <x v="223"/>
    </i>
    <i r="1">
      <x v="226"/>
    </i>
    <i r="1">
      <x v="185"/>
    </i>
    <i r="1">
      <x v="247"/>
    </i>
    <i r="1">
      <x v="236"/>
    </i>
    <i r="1">
      <x v="180"/>
    </i>
    <i r="1">
      <x v="179"/>
    </i>
    <i r="1">
      <x v="209"/>
    </i>
    <i r="1">
      <x v="201"/>
    </i>
    <i r="1">
      <x v="199"/>
    </i>
    <i r="1">
      <x v="197"/>
    </i>
    <i r="1">
      <x v="214"/>
    </i>
    <i r="1">
      <x v="246"/>
    </i>
    <i r="1">
      <x v="232"/>
    </i>
    <i r="1">
      <x v="237"/>
    </i>
    <i r="1">
      <x v="252"/>
    </i>
    <i r="1">
      <x v="229"/>
    </i>
    <i r="1">
      <x v="250"/>
    </i>
    <i r="1">
      <x v="200"/>
    </i>
    <i r="1">
      <x v="205"/>
    </i>
    <i r="1">
      <x v="239"/>
    </i>
    <i r="1">
      <x v="218"/>
    </i>
    <i r="1">
      <x v="255"/>
    </i>
    <i r="1">
      <x v="193"/>
    </i>
    <i r="1">
      <x v="225"/>
    </i>
    <i r="1">
      <x v="183"/>
    </i>
    <i r="1">
      <x v="217"/>
    </i>
    <i r="1">
      <x v="244"/>
    </i>
    <i r="1">
      <x v="251"/>
    </i>
    <i r="1">
      <x v="188"/>
    </i>
    <i r="1">
      <x v="221"/>
    </i>
    <i r="1">
      <x v="203"/>
    </i>
    <i r="1">
      <x v="242"/>
    </i>
    <i r="1">
      <x v="224"/>
    </i>
    <i r="1">
      <x v="257"/>
    </i>
    <i r="1">
      <x v="253"/>
    </i>
    <i r="1">
      <x v="243"/>
    </i>
    <i r="1">
      <x v="235"/>
    </i>
    <i r="1">
      <x v="227"/>
    </i>
    <i r="1">
      <x v="181"/>
    </i>
    <i r="1">
      <x v="213"/>
    </i>
    <i r="1">
      <x v="228"/>
    </i>
    <i r="1">
      <x v="233"/>
    </i>
    <i r="1">
      <x v="204"/>
    </i>
    <i r="1">
      <x v="258"/>
    </i>
    <i r="1">
      <x v="182"/>
    </i>
    <i r="1">
      <x v="220"/>
    </i>
    <i r="1">
      <x v="189"/>
    </i>
    <i r="1">
      <x v="249"/>
    </i>
    <i r="1">
      <x v="208"/>
    </i>
    <i r="1">
      <x v="211"/>
    </i>
    <i r="1">
      <x v="192"/>
    </i>
    <i r="1">
      <x v="186"/>
    </i>
    <i r="1">
      <x v="191"/>
    </i>
    <i r="1">
      <x v="231"/>
    </i>
    <i r="1">
      <x v="254"/>
    </i>
    <i r="1">
      <x v="219"/>
    </i>
    <i r="1">
      <x v="215"/>
    </i>
    <i r="1">
      <x v="184"/>
    </i>
    <i r="1">
      <x v="216"/>
    </i>
    <i r="1">
      <x v="210"/>
    </i>
    <i r="1">
      <x v="212"/>
    </i>
    <i r="1">
      <x v="238"/>
    </i>
    <i r="1">
      <x v="230"/>
    </i>
    <i r="1">
      <x v="256"/>
    </i>
    <i r="1">
      <x v="240"/>
    </i>
    <i r="1">
      <x v="222"/>
    </i>
    <i r="1">
      <x v="245"/>
    </i>
    <i r="1">
      <x v="195"/>
    </i>
    <i r="1">
      <x v="202"/>
    </i>
    <i r="1">
      <x v="187"/>
    </i>
    <i r="1">
      <x v="194"/>
    </i>
    <i r="1">
      <x v="198"/>
    </i>
    <i r="1">
      <x v="206"/>
    </i>
    <i r="1">
      <x v="178"/>
    </i>
    <i r="1">
      <x v="190"/>
    </i>
    <i r="1">
      <x v="234"/>
    </i>
    <i r="1">
      <x v="196"/>
    </i>
    <i>
      <x v="3"/>
      <x v="323"/>
    </i>
    <i r="1">
      <x v="270"/>
    </i>
    <i r="1">
      <x v="319"/>
    </i>
    <i r="1">
      <x v="303"/>
    </i>
    <i r="1">
      <x v="349"/>
    </i>
    <i r="1">
      <x v="307"/>
    </i>
    <i r="1">
      <x v="352"/>
    </i>
    <i r="1">
      <x v="350"/>
    </i>
    <i r="1">
      <x v="337"/>
    </i>
    <i r="1">
      <x v="296"/>
    </i>
    <i r="1">
      <x v="299"/>
    </i>
    <i r="1">
      <x v="318"/>
    </i>
    <i r="1">
      <x v="317"/>
    </i>
    <i r="1">
      <x v="338"/>
    </i>
    <i r="1">
      <x v="282"/>
    </i>
    <i r="1">
      <x v="332"/>
    </i>
    <i r="1">
      <x v="281"/>
    </i>
    <i r="1">
      <x v="340"/>
    </i>
    <i r="1">
      <x v="266"/>
    </i>
    <i r="1">
      <x v="259"/>
    </i>
    <i r="1">
      <x v="300"/>
    </i>
    <i r="1">
      <x v="260"/>
    </i>
    <i r="1">
      <x v="275"/>
    </i>
    <i r="1">
      <x v="321"/>
    </i>
    <i r="1">
      <x v="286"/>
    </i>
    <i r="1">
      <x v="351"/>
    </i>
    <i r="1">
      <x v="298"/>
    </i>
    <i r="1">
      <x v="295"/>
    </i>
    <i r="1">
      <x v="308"/>
    </i>
    <i r="1">
      <x v="347"/>
    </i>
    <i r="1">
      <x v="291"/>
    </i>
    <i r="1">
      <x v="312"/>
    </i>
    <i r="1">
      <x v="315"/>
    </i>
    <i r="1">
      <x v="329"/>
    </i>
    <i r="1">
      <x v="322"/>
    </i>
    <i r="1">
      <x v="314"/>
    </i>
    <i r="1">
      <x v="320"/>
    </i>
    <i r="1">
      <x v="283"/>
    </i>
    <i r="1">
      <x v="268"/>
    </i>
    <i r="1">
      <x v="285"/>
    </i>
    <i r="1">
      <x v="297"/>
    </i>
    <i r="1">
      <x v="269"/>
    </i>
    <i r="1">
      <x v="346"/>
    </i>
    <i r="1">
      <x v="343"/>
    </i>
    <i r="1">
      <x v="280"/>
    </i>
    <i r="1">
      <x v="316"/>
    </i>
    <i r="1">
      <x v="324"/>
    </i>
    <i r="1">
      <x v="288"/>
    </i>
    <i r="1">
      <x v="334"/>
    </i>
    <i r="1">
      <x v="273"/>
    </i>
    <i r="1">
      <x v="327"/>
    </i>
    <i r="1">
      <x v="310"/>
    </i>
    <i r="1">
      <x v="271"/>
    </i>
    <i r="1">
      <x v="290"/>
    </i>
    <i r="1">
      <x v="313"/>
    </i>
    <i r="1">
      <x v="272"/>
    </i>
    <i r="1">
      <x v="301"/>
    </i>
    <i r="1">
      <x v="264"/>
    </i>
    <i r="1">
      <x v="302"/>
    </i>
    <i r="1">
      <x v="311"/>
    </i>
    <i r="1">
      <x v="262"/>
    </i>
    <i r="1">
      <x v="305"/>
    </i>
    <i r="1">
      <x v="328"/>
    </i>
    <i r="1">
      <x v="279"/>
    </i>
    <i r="1">
      <x v="342"/>
    </i>
    <i r="1">
      <x v="277"/>
    </i>
    <i r="1">
      <x v="344"/>
    </i>
    <i r="1">
      <x v="263"/>
    </i>
    <i r="1">
      <x v="325"/>
    </i>
    <i r="1">
      <x v="304"/>
    </i>
    <i r="1">
      <x v="287"/>
    </i>
    <i r="1">
      <x v="261"/>
    </i>
    <i r="1">
      <x v="333"/>
    </i>
    <i r="1">
      <x v="265"/>
    </i>
    <i r="1">
      <x v="335"/>
    </i>
    <i r="1">
      <x v="341"/>
    </i>
    <i r="1">
      <x v="330"/>
    </i>
    <i r="1">
      <x v="293"/>
    </i>
    <i r="1">
      <x v="348"/>
    </i>
    <i r="1">
      <x v="336"/>
    </i>
    <i r="1">
      <x v="339"/>
    </i>
    <i r="1">
      <x v="274"/>
    </i>
    <i r="1">
      <x v="292"/>
    </i>
    <i r="1">
      <x v="326"/>
    </i>
    <i r="1">
      <x v="331"/>
    </i>
    <i r="1">
      <x v="306"/>
    </i>
    <i r="1">
      <x v="289"/>
    </i>
    <i r="1">
      <x v="278"/>
    </i>
    <i r="1">
      <x v="276"/>
    </i>
    <i r="1">
      <x v="294"/>
    </i>
    <i r="1">
      <x v="345"/>
    </i>
    <i r="1">
      <x v="284"/>
    </i>
    <i r="1">
      <x v="267"/>
    </i>
    <i r="1">
      <x v="309"/>
    </i>
    <i>
      <x v="4"/>
      <x v="368"/>
    </i>
    <i r="1">
      <x v="405"/>
    </i>
    <i r="1">
      <x v="403"/>
    </i>
    <i r="1">
      <x v="359"/>
    </i>
    <i r="1">
      <x v="396"/>
    </i>
    <i r="1">
      <x v="356"/>
    </i>
    <i r="1">
      <x v="395"/>
    </i>
    <i r="1">
      <x v="387"/>
    </i>
    <i r="1">
      <x v="407"/>
    </i>
    <i r="1">
      <x v="386"/>
    </i>
    <i r="1">
      <x v="381"/>
    </i>
    <i r="1">
      <x v="365"/>
    </i>
    <i r="1">
      <x v="361"/>
    </i>
    <i r="1">
      <x v="397"/>
    </i>
    <i r="1">
      <x v="410"/>
    </i>
    <i r="1">
      <x v="399"/>
    </i>
    <i r="1">
      <x v="428"/>
    </i>
    <i r="1">
      <x v="431"/>
    </i>
    <i r="1">
      <x v="402"/>
    </i>
    <i r="1">
      <x v="371"/>
    </i>
    <i r="1">
      <x v="367"/>
    </i>
    <i r="1">
      <x v="413"/>
    </i>
    <i r="1">
      <x v="355"/>
    </i>
    <i r="1">
      <x v="360"/>
    </i>
    <i r="1">
      <x v="394"/>
    </i>
    <i r="1">
      <x v="392"/>
    </i>
    <i r="1">
      <x v="369"/>
    </i>
    <i r="1">
      <x v="353"/>
    </i>
    <i r="1">
      <x v="375"/>
    </i>
    <i r="1">
      <x v="414"/>
    </i>
    <i r="1">
      <x v="435"/>
    </i>
    <i r="1">
      <x v="437"/>
    </i>
    <i r="1">
      <x v="378"/>
    </i>
    <i r="1">
      <x v="415"/>
    </i>
    <i r="1">
      <x v="401"/>
    </i>
    <i r="1">
      <x v="379"/>
    </i>
    <i r="1">
      <x v="388"/>
    </i>
    <i r="1">
      <x v="389"/>
    </i>
    <i r="1">
      <x v="383"/>
    </i>
    <i r="1">
      <x v="416"/>
    </i>
    <i r="1">
      <x v="406"/>
    </i>
    <i r="1">
      <x v="382"/>
    </i>
    <i r="1">
      <x v="422"/>
    </i>
    <i r="1">
      <x v="357"/>
    </i>
    <i r="1">
      <x v="385"/>
    </i>
    <i r="1">
      <x v="423"/>
    </i>
    <i r="1">
      <x v="398"/>
    </i>
    <i r="1">
      <x v="427"/>
    </i>
    <i r="1">
      <x v="358"/>
    </i>
    <i r="1">
      <x v="409"/>
    </i>
    <i r="1">
      <x v="373"/>
    </i>
    <i r="1">
      <x v="390"/>
    </i>
    <i r="1">
      <x v="419"/>
    </i>
    <i r="1">
      <x v="364"/>
    </i>
    <i r="1">
      <x v="432"/>
    </i>
    <i r="1">
      <x v="418"/>
    </i>
    <i r="1">
      <x v="429"/>
    </i>
    <i r="1">
      <x v="421"/>
    </i>
    <i r="1">
      <x v="380"/>
    </i>
    <i r="1">
      <x v="366"/>
    </i>
    <i r="1">
      <x v="430"/>
    </i>
    <i r="1">
      <x v="412"/>
    </i>
    <i r="1">
      <x v="393"/>
    </i>
    <i r="1">
      <x v="425"/>
    </i>
    <i r="1">
      <x v="417"/>
    </i>
    <i r="1">
      <x v="436"/>
    </i>
    <i r="1">
      <x v="362"/>
    </i>
    <i r="1">
      <x v="376"/>
    </i>
    <i r="1">
      <x v="404"/>
    </i>
    <i r="1">
      <x v="384"/>
    </i>
    <i r="1">
      <x v="374"/>
    </i>
    <i r="1">
      <x v="426"/>
    </i>
    <i r="1">
      <x v="433"/>
    </i>
    <i r="1">
      <x v="372"/>
    </i>
    <i r="1">
      <x v="370"/>
    </i>
    <i r="1">
      <x v="424"/>
    </i>
    <i r="1">
      <x v="420"/>
    </i>
    <i r="1">
      <x v="400"/>
    </i>
    <i r="1">
      <x v="411"/>
    </i>
    <i r="1">
      <x v="377"/>
    </i>
    <i r="1">
      <x v="363"/>
    </i>
    <i r="1">
      <x v="408"/>
    </i>
    <i r="1">
      <x v="354"/>
    </i>
    <i r="1">
      <x v="434"/>
    </i>
    <i r="1">
      <x v="438"/>
    </i>
    <i r="1">
      <x v="391"/>
    </i>
    <i>
      <x v="5"/>
      <x v="525"/>
    </i>
    <i r="1">
      <x v="513"/>
    </i>
    <i r="1">
      <x v="474"/>
    </i>
    <i r="1">
      <x v="503"/>
    </i>
    <i r="1">
      <x v="486"/>
    </i>
    <i r="1">
      <x v="479"/>
    </i>
    <i r="1">
      <x v="517"/>
    </i>
    <i r="1">
      <x v="440"/>
    </i>
    <i r="1">
      <x v="495"/>
    </i>
    <i r="1">
      <x v="516"/>
    </i>
    <i r="1">
      <x v="489"/>
    </i>
    <i r="1">
      <x v="446"/>
    </i>
    <i r="1">
      <x v="476"/>
    </i>
    <i r="1">
      <x v="508"/>
    </i>
    <i r="1">
      <x v="456"/>
    </i>
    <i r="1">
      <x v="522"/>
    </i>
    <i r="1">
      <x v="502"/>
    </i>
    <i r="1">
      <x v="505"/>
    </i>
    <i r="1">
      <x v="518"/>
    </i>
    <i r="1">
      <x v="478"/>
    </i>
    <i r="1">
      <x v="448"/>
    </i>
    <i r="1">
      <x v="443"/>
    </i>
    <i r="1">
      <x v="451"/>
    </i>
    <i r="1">
      <x v="473"/>
    </i>
    <i r="1">
      <x v="523"/>
    </i>
    <i r="1">
      <x v="526"/>
    </i>
    <i r="1">
      <x v="501"/>
    </i>
    <i r="1">
      <x v="487"/>
    </i>
    <i r="1">
      <x v="493"/>
    </i>
    <i r="1">
      <x v="460"/>
    </i>
    <i r="1">
      <x v="497"/>
    </i>
    <i r="1">
      <x v="463"/>
    </i>
    <i r="1">
      <x v="524"/>
    </i>
    <i r="1">
      <x v="449"/>
    </i>
    <i r="1">
      <x v="468"/>
    </i>
    <i r="1">
      <x v="507"/>
    </i>
    <i r="1">
      <x v="461"/>
    </i>
    <i r="1">
      <x v="514"/>
    </i>
    <i r="1">
      <x v="521"/>
    </i>
    <i r="1">
      <x v="469"/>
    </i>
    <i r="1">
      <x v="452"/>
    </i>
    <i r="1">
      <x v="500"/>
    </i>
    <i r="1">
      <x v="475"/>
    </i>
    <i r="1">
      <x v="485"/>
    </i>
    <i r="1">
      <x v="511"/>
    </i>
    <i r="1">
      <x v="480"/>
    </i>
    <i r="1">
      <x v="462"/>
    </i>
    <i r="1">
      <x v="512"/>
    </i>
    <i r="1">
      <x v="499"/>
    </i>
    <i r="1">
      <x v="439"/>
    </i>
    <i r="1">
      <x v="464"/>
    </i>
    <i r="1">
      <x v="492"/>
    </i>
    <i r="1">
      <x v="490"/>
    </i>
    <i r="1">
      <x v="444"/>
    </i>
    <i r="1">
      <x v="510"/>
    </i>
    <i r="1">
      <x v="484"/>
    </i>
    <i r="1">
      <x v="481"/>
    </i>
    <i r="1">
      <x v="520"/>
    </i>
    <i r="1">
      <x v="504"/>
    </i>
    <i r="1">
      <x v="459"/>
    </i>
    <i r="1">
      <x v="453"/>
    </i>
    <i r="1">
      <x v="455"/>
    </i>
    <i r="1">
      <x v="498"/>
    </i>
    <i r="1">
      <x v="472"/>
    </i>
    <i r="1">
      <x v="447"/>
    </i>
    <i r="1">
      <x v="488"/>
    </i>
    <i r="1">
      <x v="454"/>
    </i>
    <i r="1">
      <x v="467"/>
    </i>
    <i r="1">
      <x v="483"/>
    </i>
    <i r="1">
      <x v="509"/>
    </i>
    <i r="1">
      <x v="496"/>
    </i>
    <i r="1">
      <x v="494"/>
    </i>
    <i r="1">
      <x v="445"/>
    </i>
    <i r="1">
      <x v="450"/>
    </i>
    <i r="1">
      <x v="457"/>
    </i>
    <i r="1">
      <x v="477"/>
    </i>
    <i r="1">
      <x v="470"/>
    </i>
    <i r="1">
      <x v="491"/>
    </i>
    <i r="1">
      <x v="442"/>
    </i>
    <i r="1">
      <x v="515"/>
    </i>
    <i r="1">
      <x v="471"/>
    </i>
    <i r="1">
      <x v="441"/>
    </i>
    <i r="1">
      <x v="458"/>
    </i>
    <i r="1">
      <x v="466"/>
    </i>
    <i r="1">
      <x v="519"/>
    </i>
    <i r="1">
      <x v="482"/>
    </i>
    <i r="1">
      <x v="506"/>
    </i>
    <i r="1">
      <x v="465"/>
    </i>
    <i>
      <x v="6"/>
      <x v="536"/>
    </i>
    <i r="1">
      <x v="588"/>
    </i>
    <i r="1">
      <x v="598"/>
    </i>
    <i r="1">
      <x v="544"/>
    </i>
    <i r="1">
      <x v="621"/>
    </i>
    <i r="1">
      <x v="616"/>
    </i>
    <i r="1">
      <x v="542"/>
    </i>
    <i r="1">
      <x v="585"/>
    </i>
    <i r="1">
      <x v="575"/>
    </i>
    <i r="1">
      <x v="583"/>
    </i>
    <i r="1">
      <x v="600"/>
    </i>
    <i r="1">
      <x v="569"/>
    </i>
    <i r="1">
      <x v="534"/>
    </i>
    <i r="1">
      <x v="563"/>
    </i>
    <i r="1">
      <x v="623"/>
    </i>
    <i r="1">
      <x v="552"/>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rowItems>
  <colItems count="1">
    <i/>
  </colItems>
  <dataFields count="1">
    <dataField name="Sum of Grossrevenue" fld="2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68E2E2-F809-490A-981B-F1F8E607D5CA}" name="PivotTable1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pivotFields count="35">
    <pivotField showAll="0"/>
    <pivotField numFmtId="165"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numFmtId="167"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showAll="0"/>
    <pivotField numFmtId="165" showAll="0"/>
    <pivotField numFmtId="165" showAll="0"/>
    <pivotField numFmtId="2" showAll="0"/>
    <pivotField axis="axisCol" showAll="0">
      <items count="5">
        <item x="1"/>
        <item x="2"/>
        <item x="0"/>
        <item x="3"/>
        <item t="default"/>
      </items>
    </pivotField>
    <pivotField showAll="0">
      <items count="13">
        <item x="11"/>
        <item x="3"/>
        <item x="7"/>
        <item x="10"/>
        <item x="9"/>
        <item x="1"/>
        <item x="0"/>
        <item x="6"/>
        <item x="2"/>
        <item x="5"/>
        <item x="8"/>
        <item x="4"/>
        <item t="default"/>
      </items>
    </pivotField>
    <pivotField showAll="0"/>
    <pivotField showAll="0"/>
    <pivotField showAll="0"/>
    <pivotField axis="axisRow" multipleItemSelectionAllowed="1" showAll="0">
      <items count="7">
        <item x="3"/>
        <item x="1"/>
        <item x="4"/>
        <item x="2"/>
        <item x="0"/>
        <item x="5"/>
        <item t="default"/>
      </items>
    </pivotField>
    <pivotField showAll="0">
      <items count="17">
        <item x="0"/>
        <item x="12"/>
        <item x="14"/>
        <item x="6"/>
        <item x="1"/>
        <item x="3"/>
        <item x="10"/>
        <item x="7"/>
        <item x="9"/>
        <item x="5"/>
        <item x="4"/>
        <item x="11"/>
        <item x="8"/>
        <item x="13"/>
        <item x="2"/>
        <item x="15"/>
        <item t="default"/>
      </items>
    </pivotField>
    <pivotField showAll="0">
      <items count="8">
        <item x="0"/>
        <item x="2"/>
        <item x="4"/>
        <item x="3"/>
        <item x="6"/>
        <item x="5"/>
        <item x="1"/>
        <item t="default"/>
      </items>
    </pivotField>
    <pivotField showAll="0"/>
    <pivotField numFmtId="166" showAll="0"/>
    <pivotField numFmtId="166" showAll="0"/>
    <pivotField numFmtId="166" showAll="0"/>
    <pivotField showAll="0"/>
    <pivotField numFmtId="10" showAll="0"/>
    <pivotField numFmtId="10" showAll="0"/>
    <pivotField numFmtId="2" showAll="0"/>
    <pivotField dataField="1" numFmtId="166" showAll="0"/>
    <pivotField numFmtId="166" showAll="0"/>
    <pivotField numFmtId="166" showAll="0"/>
    <pivotField numFmtId="10" showAll="0"/>
    <pivotField numFmtId="167"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7">
    <i>
      <x/>
    </i>
    <i>
      <x v="1"/>
    </i>
    <i>
      <x v="2"/>
    </i>
    <i>
      <x v="3"/>
    </i>
    <i>
      <x v="4"/>
    </i>
    <i>
      <x v="5"/>
    </i>
    <i t="grand">
      <x/>
    </i>
  </rowItems>
  <colFields count="1">
    <field x="7"/>
  </colFields>
  <colItems count="5">
    <i>
      <x/>
    </i>
    <i>
      <x v="1"/>
    </i>
    <i>
      <x v="2"/>
    </i>
    <i>
      <x v="3"/>
    </i>
    <i t="grand">
      <x/>
    </i>
  </colItems>
  <dataFields count="1">
    <dataField name="Sum of Grossrevenue" fld="23" showDataAs="percentOfTotal" baseField="12" baseItem="3" numFmtId="10"/>
  </dataFields>
  <formats count="3">
    <format dxfId="21">
      <pivotArea collapsedLevelsAreSubtotals="1" fieldPosition="0">
        <references count="2">
          <reference field="7" count="1" selected="0">
            <x v="1"/>
          </reference>
          <reference field="12" count="1">
            <x v="3"/>
          </reference>
        </references>
      </pivotArea>
    </format>
    <format dxfId="20">
      <pivotArea collapsedLevelsAreSubtotals="1" fieldPosition="0">
        <references count="2">
          <reference field="7" count="1" selected="0">
            <x v="3"/>
          </reference>
          <reference field="12" count="1">
            <x v="3"/>
          </reference>
        </references>
      </pivotArea>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D366CD-3FEC-4F5B-8EA2-09D43F001AFF}" name="PivotTable2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7" firstHeaderRow="0" firstDataRow="1" firstDataCol="2"/>
  <pivotFields count="30">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16">
        <item x="0"/>
        <item x="12"/>
        <item x="14"/>
        <item x="6"/>
        <item x="1"/>
        <item x="3"/>
        <item x="10"/>
        <item x="7"/>
        <item x="9"/>
        <item x="5"/>
        <item x="4"/>
        <item x="11"/>
        <item x="8"/>
        <item x="13"/>
        <item x="2"/>
        <item x="1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7"/>
    <field x="13"/>
  </rowFields>
  <rowItems count="64">
    <i>
      <x/>
      <x v="12"/>
    </i>
    <i r="1">
      <x v="9"/>
    </i>
    <i r="1">
      <x/>
    </i>
    <i r="1">
      <x v="3"/>
    </i>
    <i r="1">
      <x v="11"/>
    </i>
    <i r="1">
      <x v="2"/>
    </i>
    <i r="1">
      <x v="8"/>
    </i>
    <i r="1">
      <x v="15"/>
    </i>
    <i r="1">
      <x v="4"/>
    </i>
    <i r="1">
      <x v="7"/>
    </i>
    <i r="1">
      <x v="13"/>
    </i>
    <i r="1">
      <x v="6"/>
    </i>
    <i r="1">
      <x v="14"/>
    </i>
    <i r="1">
      <x v="1"/>
    </i>
    <i r="1">
      <x v="10"/>
    </i>
    <i r="1">
      <x v="5"/>
    </i>
    <i>
      <x v="1"/>
      <x v="8"/>
    </i>
    <i r="1">
      <x/>
    </i>
    <i r="1">
      <x v="3"/>
    </i>
    <i r="1">
      <x v="11"/>
    </i>
    <i r="1">
      <x v="2"/>
    </i>
    <i r="1">
      <x v="12"/>
    </i>
    <i r="1">
      <x v="13"/>
    </i>
    <i r="1">
      <x v="10"/>
    </i>
    <i r="1">
      <x v="5"/>
    </i>
    <i r="1">
      <x v="6"/>
    </i>
    <i r="1">
      <x v="15"/>
    </i>
    <i r="1">
      <x v="1"/>
    </i>
    <i r="1">
      <x v="4"/>
    </i>
    <i r="1">
      <x v="14"/>
    </i>
    <i r="1">
      <x v="9"/>
    </i>
    <i r="1">
      <x v="7"/>
    </i>
    <i>
      <x v="2"/>
      <x v="14"/>
    </i>
    <i r="1">
      <x v="5"/>
    </i>
    <i r="1">
      <x v="11"/>
    </i>
    <i r="1">
      <x v="2"/>
    </i>
    <i r="1">
      <x v="1"/>
    </i>
    <i r="1">
      <x v="9"/>
    </i>
    <i r="1">
      <x v="7"/>
    </i>
    <i r="1">
      <x v="13"/>
    </i>
    <i r="1">
      <x v="10"/>
    </i>
    <i r="1">
      <x v="6"/>
    </i>
    <i r="1">
      <x v="8"/>
    </i>
    <i r="1">
      <x v="3"/>
    </i>
    <i r="1">
      <x v="15"/>
    </i>
    <i r="1">
      <x/>
    </i>
    <i r="1">
      <x v="12"/>
    </i>
    <i r="1">
      <x v="4"/>
    </i>
    <i>
      <x v="3"/>
      <x v="13"/>
    </i>
    <i r="1">
      <x v="10"/>
    </i>
    <i r="1">
      <x v="1"/>
    </i>
    <i r="1">
      <x v="4"/>
    </i>
    <i r="1">
      <x v="8"/>
    </i>
    <i r="1">
      <x v="3"/>
    </i>
    <i r="1">
      <x v="9"/>
    </i>
    <i r="1">
      <x v="2"/>
    </i>
    <i r="1">
      <x v="12"/>
    </i>
    <i r="1">
      <x/>
    </i>
    <i r="1">
      <x v="6"/>
    </i>
    <i r="1">
      <x v="7"/>
    </i>
    <i r="1">
      <x v="15"/>
    </i>
    <i r="1">
      <x v="14"/>
    </i>
    <i r="1">
      <x v="5"/>
    </i>
    <i r="1">
      <x v="11"/>
    </i>
  </rowItems>
  <colFields count="1">
    <field x="-2"/>
  </colFields>
  <colItems count="2">
    <i>
      <x/>
    </i>
    <i i="1">
      <x v="1"/>
    </i>
  </colItems>
  <dataFields count="2">
    <dataField name="Sum of HighDiscount" fld="29" baseField="0"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E42996-E302-4058-8BD1-3C1A7D815FE5}"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0" firstDataRow="1" firstDataCol="1"/>
  <pivotFields count="5">
    <pivotField showAll="0"/>
    <pivotField axis="axisRow" showAll="0" sortType="descending">
      <items count="17">
        <item x="1"/>
        <item x="14"/>
        <item x="6"/>
        <item x="2"/>
        <item x="11"/>
        <item x="10"/>
        <item x="15"/>
        <item x="13"/>
        <item x="4"/>
        <item x="8"/>
        <item x="12"/>
        <item x="9"/>
        <item x="5"/>
        <item x="7"/>
        <item x="3"/>
        <item x="0"/>
        <item t="default"/>
      </items>
      <autoSortScope>
        <pivotArea dataOnly="0" outline="0" fieldPosition="0">
          <references count="1">
            <reference field="4294967294" count="1" selected="0">
              <x v="0"/>
            </reference>
          </references>
        </pivotArea>
      </autoSortScope>
    </pivotField>
    <pivotField dataField="1" showAll="0"/>
    <pivotField dataField="1" showAll="0"/>
    <pivotField numFmtId="9" showAll="0"/>
  </pivotFields>
  <rowFields count="1">
    <field x="1"/>
  </rowFields>
  <rowItems count="17">
    <i>
      <x v="5"/>
    </i>
    <i>
      <x v="9"/>
    </i>
    <i>
      <x v="1"/>
    </i>
    <i>
      <x v="12"/>
    </i>
    <i>
      <x v="11"/>
    </i>
    <i>
      <x/>
    </i>
    <i>
      <x v="7"/>
    </i>
    <i>
      <x v="10"/>
    </i>
    <i>
      <x v="3"/>
    </i>
    <i>
      <x v="8"/>
    </i>
    <i>
      <x v="14"/>
    </i>
    <i>
      <x v="2"/>
    </i>
    <i>
      <x v="4"/>
    </i>
    <i>
      <x v="13"/>
    </i>
    <i>
      <x v="6"/>
    </i>
    <i>
      <x v="15"/>
    </i>
    <i t="grand">
      <x/>
    </i>
  </rowItems>
  <colFields count="1">
    <field x="-2"/>
  </colFields>
  <colItems count="2">
    <i>
      <x/>
    </i>
    <i i="1">
      <x v="1"/>
    </i>
  </colItems>
  <dataFields count="2">
    <dataField name="Sum of Count of OrderID" fld="3" baseField="0" baseItem="0"/>
    <dataField name="Sum of Sum of HighDis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8F63BC-84A7-41DE-9831-AAA722331CC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35">
    <pivotField dataField="1" showAll="0">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umFmtId="165"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numFmtId="167"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showAll="0"/>
    <pivotField numFmtId="165" showAll="0"/>
    <pivotField numFmtId="165" showAll="0"/>
    <pivotField dataField="1" numFmtId="2" showAll="0"/>
    <pivotField showAll="0">
      <items count="5">
        <item x="1"/>
        <item x="2"/>
        <item x="0"/>
        <item x="3"/>
        <item t="default"/>
      </items>
    </pivotField>
    <pivotField showAll="0">
      <items count="13">
        <item x="11"/>
        <item x="3"/>
        <item x="7"/>
        <item x="10"/>
        <item x="9"/>
        <item x="1"/>
        <item x="0"/>
        <item x="6"/>
        <item x="2"/>
        <item x="5"/>
        <item x="8"/>
        <item x="4"/>
        <item t="default"/>
      </items>
    </pivotField>
    <pivotField showAll="0"/>
    <pivotField showAll="0"/>
    <pivotField showAll="0"/>
    <pivotField showAll="0">
      <items count="7">
        <item x="3"/>
        <item x="1"/>
        <item x="4"/>
        <item x="2"/>
        <item x="0"/>
        <item x="5"/>
        <item t="default"/>
      </items>
    </pivotField>
    <pivotField showAll="0">
      <items count="17">
        <item x="0"/>
        <item x="12"/>
        <item x="14"/>
        <item x="6"/>
        <item x="1"/>
        <item x="3"/>
        <item x="10"/>
        <item x="7"/>
        <item x="9"/>
        <item x="5"/>
        <item x="4"/>
        <item x="11"/>
        <item x="8"/>
        <item x="13"/>
        <item x="2"/>
        <item x="15"/>
        <item t="default"/>
      </items>
    </pivotField>
    <pivotField showAll="0">
      <items count="8">
        <item x="0"/>
        <item x="2"/>
        <item x="4"/>
        <item x="3"/>
        <item x="6"/>
        <item x="5"/>
        <item x="1"/>
        <item t="default"/>
      </items>
    </pivotField>
    <pivotField showAll="0"/>
    <pivotField numFmtId="166" showAll="0"/>
    <pivotField numFmtId="166" showAll="0"/>
    <pivotField numFmtId="166" showAll="0"/>
    <pivotField showAll="0"/>
    <pivotField numFmtId="10" showAll="0"/>
    <pivotField numFmtId="10" showAll="0"/>
    <pivotField numFmtId="2" showAll="0"/>
    <pivotField dataField="1" numFmtId="166" showAll="0"/>
    <pivotField numFmtId="166" showAll="0"/>
    <pivotField dataField="1" numFmtId="166" showAll="0"/>
    <pivotField numFmtId="10" showAll="0"/>
    <pivotField numFmtId="167"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4">
    <i>
      <x/>
    </i>
    <i i="1">
      <x v="1"/>
    </i>
    <i i="2">
      <x v="2"/>
    </i>
    <i i="3">
      <x v="3"/>
    </i>
  </colItems>
  <dataFields count="4">
    <dataField name="Sum of Grossrevenue" fld="23" baseField="0" baseItem="0" numFmtId="166"/>
    <dataField name="Sum of GrossProfit" fld="25" baseField="0" baseItem="0" numFmtId="166"/>
    <dataField name="Count of OrderID" fld="0" subtotal="count" baseField="0" baseItem="0"/>
    <dataField name="Sum of LeadTimeDays" fld="6" baseField="34"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397F7A-31EC-4BD2-8F9A-BC6A8566E06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2" firstHeaderRow="1" firstDataRow="1" firstDataCol="1"/>
  <pivotFields count="35">
    <pivotField showAll="0"/>
    <pivotField numFmtId="165"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numFmtId="167"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showAll="0"/>
    <pivotField numFmtId="165" showAll="0"/>
    <pivotField numFmtId="165" showAll="0"/>
    <pivotField numFmtId="2" showAll="0"/>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13">
        <item x="11"/>
        <item x="3"/>
        <item x="7"/>
        <item x="10"/>
        <item x="9"/>
        <item x="1"/>
        <item x="0"/>
        <item x="6"/>
        <item x="2"/>
        <item x="5"/>
        <item x="8"/>
        <item x="4"/>
        <item t="default"/>
      </items>
    </pivotField>
    <pivotField showAll="0"/>
    <pivotField showAll="0"/>
    <pivotField showAll="0"/>
    <pivotField axis="axisRow" showAll="0" sortType="ascending">
      <items count="7">
        <item x="3"/>
        <item x="1"/>
        <item x="4"/>
        <item x="2"/>
        <item x="0"/>
        <item x="5"/>
        <item t="default"/>
      </items>
      <autoSortScope>
        <pivotArea dataOnly="0" outline="0" fieldPosition="0">
          <references count="1">
            <reference field="4294967294" count="1" selected="0">
              <x v="0"/>
            </reference>
          </references>
        </pivotArea>
      </autoSortScope>
    </pivotField>
    <pivotField showAll="0">
      <items count="17">
        <item x="0"/>
        <item x="12"/>
        <item x="14"/>
        <item x="6"/>
        <item x="1"/>
        <item x="3"/>
        <item x="10"/>
        <item x="7"/>
        <item x="9"/>
        <item x="5"/>
        <item x="4"/>
        <item x="11"/>
        <item x="8"/>
        <item x="13"/>
        <item x="2"/>
        <item x="15"/>
        <item t="default"/>
      </items>
    </pivotField>
    <pivotField showAll="0">
      <items count="8">
        <item x="0"/>
        <item x="2"/>
        <item x="4"/>
        <item x="3"/>
        <item x="6"/>
        <item x="5"/>
        <item x="1"/>
        <item t="default"/>
      </items>
    </pivotField>
    <pivotField showAll="0"/>
    <pivotField numFmtId="166" showAll="0"/>
    <pivotField numFmtId="166" showAll="0"/>
    <pivotField numFmtId="166" showAll="0"/>
    <pivotField showAll="0"/>
    <pivotField numFmtId="10" showAll="0"/>
    <pivotField numFmtId="10" showAll="0"/>
    <pivotField numFmtId="2" showAll="0"/>
    <pivotField numFmtId="166" showAll="0"/>
    <pivotField numFmtId="166" showAll="0"/>
    <pivotField dataField="1" numFmtId="166" showAll="0"/>
    <pivotField numFmtId="10" showAll="0"/>
    <pivotField numFmtId="167"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2">
    <field x="7"/>
    <field x="12"/>
  </rowFields>
  <rowItems count="29">
    <i>
      <x v="2"/>
    </i>
    <i r="1">
      <x v="5"/>
    </i>
    <i r="1">
      <x v="2"/>
    </i>
    <i r="1">
      <x v="3"/>
    </i>
    <i r="1">
      <x v="1"/>
    </i>
    <i r="1">
      <x v="4"/>
    </i>
    <i r="1">
      <x/>
    </i>
    <i>
      <x/>
    </i>
    <i r="1">
      <x v="5"/>
    </i>
    <i r="1">
      <x v="4"/>
    </i>
    <i r="1">
      <x v="3"/>
    </i>
    <i r="1">
      <x v="2"/>
    </i>
    <i r="1">
      <x/>
    </i>
    <i r="1">
      <x v="1"/>
    </i>
    <i>
      <x v="1"/>
    </i>
    <i r="1">
      <x v="5"/>
    </i>
    <i r="1">
      <x v="4"/>
    </i>
    <i r="1">
      <x v="2"/>
    </i>
    <i r="1">
      <x v="1"/>
    </i>
    <i r="1">
      <x/>
    </i>
    <i r="1">
      <x v="3"/>
    </i>
    <i>
      <x v="3"/>
    </i>
    <i r="1">
      <x v="5"/>
    </i>
    <i r="1">
      <x v="1"/>
    </i>
    <i r="1">
      <x v="2"/>
    </i>
    <i r="1">
      <x v="4"/>
    </i>
    <i r="1">
      <x v="3"/>
    </i>
    <i r="1">
      <x/>
    </i>
    <i t="grand">
      <x/>
    </i>
  </rowItems>
  <colItems count="1">
    <i/>
  </colItems>
  <dataFields count="1">
    <dataField name="Sum of GrossProfit" fld="25"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ABADD0-30EF-439F-8ACF-47224F62EED9}"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35">
    <pivotField showAll="0"/>
    <pivotField numFmtId="165"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numFmtId="167"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showAll="0"/>
    <pivotField numFmtId="165" showAll="0"/>
    <pivotField numFmtId="165" showAll="0"/>
    <pivotField numFmtId="2" showAll="0"/>
    <pivotField showAll="0">
      <items count="5">
        <item x="1"/>
        <item x="2"/>
        <item x="0"/>
        <item x="3"/>
        <item t="default"/>
      </items>
    </pivotField>
    <pivotField showAll="0">
      <items count="13">
        <item x="11"/>
        <item x="3"/>
        <item x="7"/>
        <item x="10"/>
        <item x="9"/>
        <item x="1"/>
        <item x="0"/>
        <item x="6"/>
        <item x="2"/>
        <item x="5"/>
        <item x="8"/>
        <item x="4"/>
        <item t="default"/>
      </items>
    </pivotField>
    <pivotField showAll="0"/>
    <pivotField showAll="0"/>
    <pivotField showAll="0"/>
    <pivotField showAll="0">
      <items count="7">
        <item x="3"/>
        <item x="1"/>
        <item x="4"/>
        <item x="2"/>
        <item x="0"/>
        <item x="5"/>
        <item t="default"/>
      </items>
    </pivotField>
    <pivotField showAll="0">
      <items count="17">
        <item x="0"/>
        <item x="12"/>
        <item x="14"/>
        <item x="6"/>
        <item x="1"/>
        <item x="3"/>
        <item x="10"/>
        <item x="7"/>
        <item x="9"/>
        <item x="5"/>
        <item x="4"/>
        <item x="11"/>
        <item x="8"/>
        <item x="13"/>
        <item x="2"/>
        <item x="15"/>
        <item t="default"/>
      </items>
    </pivotField>
    <pivotField showAll="0">
      <items count="8">
        <item x="0"/>
        <item x="2"/>
        <item x="4"/>
        <item x="3"/>
        <item x="6"/>
        <item x="5"/>
        <item x="1"/>
        <item t="default"/>
      </items>
    </pivotField>
    <pivotField axis="axisRow" showAll="0" measureFilter="1" sortType="descending">
      <items count="631">
        <item x="259"/>
        <item x="556"/>
        <item x="20"/>
        <item x="371"/>
        <item x="40"/>
        <item x="523"/>
        <item x="181"/>
        <item x="67"/>
        <item x="574"/>
        <item x="494"/>
        <item x="468"/>
        <item x="600"/>
        <item x="125"/>
        <item x="552"/>
        <item x="96"/>
        <item x="585"/>
        <item x="9"/>
        <item x="322"/>
        <item x="360"/>
        <item x="273"/>
        <item x="75"/>
        <item x="509"/>
        <item x="201"/>
        <item x="177"/>
        <item x="262"/>
        <item x="214"/>
        <item x="440"/>
        <item x="598"/>
        <item x="74"/>
        <item x="91"/>
        <item x="42"/>
        <item x="199"/>
        <item x="167"/>
        <item x="319"/>
        <item x="17"/>
        <item x="37"/>
        <item x="542"/>
        <item x="587"/>
        <item x="528"/>
        <item x="180"/>
        <item x="615"/>
        <item x="315"/>
        <item x="555"/>
        <item x="191"/>
        <item x="98"/>
        <item x="164"/>
        <item x="156"/>
        <item x="52"/>
        <item x="504"/>
        <item x="505"/>
        <item x="365"/>
        <item x="150"/>
        <item x="139"/>
        <item x="89"/>
        <item x="619"/>
        <item x="274"/>
        <item x="270"/>
        <item x="318"/>
        <item x="252"/>
        <item x="169"/>
        <item x="433"/>
        <item x="563"/>
        <item x="449"/>
        <item x="205"/>
        <item x="348"/>
        <item x="342"/>
        <item x="399"/>
        <item x="0"/>
        <item x="381"/>
        <item x="603"/>
        <item x="251"/>
        <item x="566"/>
        <item x="601"/>
        <item x="141"/>
        <item x="218"/>
        <item x="144"/>
        <item x="266"/>
        <item x="254"/>
        <item x="549"/>
        <item x="460"/>
        <item x="103"/>
        <item x="316"/>
        <item x="217"/>
        <item x="132"/>
        <item x="620"/>
        <item x="610"/>
        <item x="145"/>
        <item x="236"/>
        <item x="154"/>
        <item x="444"/>
        <item x="466"/>
        <item x="591"/>
        <item x="34"/>
        <item x="415"/>
        <item x="35"/>
        <item x="237"/>
        <item x="47"/>
        <item x="219"/>
        <item x="238"/>
        <item x="351"/>
        <item x="62"/>
        <item x="123"/>
        <item x="299"/>
        <item x="247"/>
        <item x="45"/>
        <item x="41"/>
        <item x="605"/>
        <item x="463"/>
        <item x="327"/>
        <item x="448"/>
        <item x="547"/>
        <item x="243"/>
        <item x="525"/>
        <item x="413"/>
        <item x="629"/>
        <item x="524"/>
        <item x="341"/>
        <item x="329"/>
        <item x="375"/>
        <item x="481"/>
        <item x="593"/>
        <item x="179"/>
        <item x="292"/>
        <item x="136"/>
        <item x="26"/>
        <item x="88"/>
        <item x="57"/>
        <item x="584"/>
        <item x="391"/>
        <item x="575"/>
        <item x="232"/>
        <item x="71"/>
        <item x="82"/>
        <item x="628"/>
        <item x="402"/>
        <item x="3"/>
        <item x="527"/>
        <item x="49"/>
        <item x="430"/>
        <item x="457"/>
        <item x="301"/>
        <item x="535"/>
        <item x="195"/>
        <item x="437"/>
        <item x="473"/>
        <item x="278"/>
        <item x="101"/>
        <item x="417"/>
        <item x="544"/>
        <item x="239"/>
        <item x="124"/>
        <item x="590"/>
        <item x="464"/>
        <item x="151"/>
        <item x="207"/>
        <item x="170"/>
        <item x="372"/>
        <item x="380"/>
        <item x="435"/>
        <item x="233"/>
        <item x="450"/>
        <item x="416"/>
        <item x="356"/>
        <item x="215"/>
        <item x="269"/>
        <item x="576"/>
        <item x="210"/>
        <item x="163"/>
        <item x="613"/>
        <item x="63"/>
        <item x="168"/>
        <item x="465"/>
        <item x="261"/>
        <item x="447"/>
        <item x="479"/>
        <item x="135"/>
        <item x="264"/>
        <item x="246"/>
        <item x="367"/>
        <item x="109"/>
        <item x="499"/>
        <item x="11"/>
        <item x="175"/>
        <item x="508"/>
        <item x="213"/>
        <item x="382"/>
        <item x="114"/>
        <item x="378"/>
        <item x="46"/>
        <item x="520"/>
        <item x="624"/>
        <item x="27"/>
        <item x="338"/>
        <item x="146"/>
        <item x="432"/>
        <item x="172"/>
        <item x="578"/>
        <item x="511"/>
        <item x="483"/>
        <item x="580"/>
        <item x="90"/>
        <item x="515"/>
        <item x="187"/>
        <item x="290"/>
        <item x="110"/>
        <item x="77"/>
        <item x="541"/>
        <item x="13"/>
        <item x="550"/>
        <item x="355"/>
        <item x="553"/>
        <item x="196"/>
        <item x="425"/>
        <item x="84"/>
        <item x="554"/>
        <item x="22"/>
        <item x="105"/>
        <item x="325"/>
        <item x="420"/>
        <item x="396"/>
        <item x="395"/>
        <item x="392"/>
        <item x="249"/>
        <item x="129"/>
        <item x="44"/>
        <item x="92"/>
        <item x="86"/>
        <item x="312"/>
        <item x="6"/>
        <item x="618"/>
        <item x="337"/>
        <item x="324"/>
        <item x="573"/>
        <item x="562"/>
        <item x="178"/>
        <item x="469"/>
        <item x="617"/>
        <item x="594"/>
        <item x="76"/>
        <item x="253"/>
        <item x="530"/>
        <item x="321"/>
        <item x="226"/>
        <item x="332"/>
        <item x="443"/>
        <item x="155"/>
        <item x="436"/>
        <item x="370"/>
        <item x="558"/>
        <item x="627"/>
        <item x="14"/>
        <item x="334"/>
        <item x="257"/>
        <item x="93"/>
        <item x="79"/>
        <item x="404"/>
        <item x="374"/>
        <item x="295"/>
        <item x="363"/>
        <item x="174"/>
        <item x="394"/>
        <item x="308"/>
        <item x="521"/>
        <item x="445"/>
        <item x="80"/>
        <item x="538"/>
        <item x="73"/>
        <item x="490"/>
        <item x="183"/>
        <item x="280"/>
        <item x="204"/>
        <item x="162"/>
        <item x="369"/>
        <item x="206"/>
        <item x="128"/>
        <item x="193"/>
        <item x="621"/>
        <item x="352"/>
        <item x="39"/>
        <item x="589"/>
        <item x="486"/>
        <item x="189"/>
        <item x="64"/>
        <item x="407"/>
        <item x="526"/>
        <item x="455"/>
        <item x="113"/>
        <item x="104"/>
        <item x="390"/>
        <item x="442"/>
        <item x="328"/>
        <item x="28"/>
        <item x="514"/>
        <item x="122"/>
        <item x="267"/>
        <item x="256"/>
        <item x="102"/>
        <item x="414"/>
        <item x="111"/>
        <item x="586"/>
        <item x="626"/>
        <item x="194"/>
        <item x="557"/>
        <item x="263"/>
        <item x="345"/>
        <item x="225"/>
        <item x="467"/>
        <item x="427"/>
        <item x="153"/>
        <item x="248"/>
        <item x="56"/>
        <item x="287"/>
        <item x="522"/>
        <item x="60"/>
        <item x="4"/>
        <item x="411"/>
        <item x="244"/>
        <item x="235"/>
        <item x="313"/>
        <item x="197"/>
        <item x="288"/>
        <item x="16"/>
        <item x="354"/>
        <item x="602"/>
        <item x="376"/>
        <item x="517"/>
        <item x="185"/>
        <item x="25"/>
        <item x="53"/>
        <item x="303"/>
        <item x="476"/>
        <item x="543"/>
        <item x="176"/>
        <item x="240"/>
        <item x="387"/>
        <item x="306"/>
        <item x="285"/>
        <item x="389"/>
        <item x="362"/>
        <item x="140"/>
        <item x="366"/>
        <item x="309"/>
        <item x="289"/>
        <item x="358"/>
        <item x="78"/>
        <item x="588"/>
        <item x="32"/>
        <item x="597"/>
        <item x="604"/>
        <item x="565"/>
        <item x="326"/>
        <item x="182"/>
        <item x="364"/>
        <item x="385"/>
        <item x="305"/>
        <item x="81"/>
        <item x="130"/>
        <item x="596"/>
        <item x="275"/>
        <item x="567"/>
        <item x="48"/>
        <item x="118"/>
        <item x="537"/>
        <item x="165"/>
        <item x="405"/>
        <item x="227"/>
        <item x="548"/>
        <item x="54"/>
        <item x="339"/>
        <item x="55"/>
        <item x="38"/>
        <item x="106"/>
        <item x="10"/>
        <item x="561"/>
        <item x="279"/>
        <item x="188"/>
        <item x="323"/>
        <item x="223"/>
        <item x="190"/>
        <item x="546"/>
        <item x="112"/>
        <item x="477"/>
        <item x="152"/>
        <item x="386"/>
        <item x="507"/>
        <item x="495"/>
        <item x="119"/>
        <item x="331"/>
        <item x="131"/>
        <item x="97"/>
        <item x="304"/>
        <item x="439"/>
        <item x="231"/>
        <item x="383"/>
        <item x="408"/>
        <item x="198"/>
        <item x="12"/>
        <item x="200"/>
        <item x="625"/>
        <item x="451"/>
        <item x="497"/>
        <item x="83"/>
        <item x="614"/>
        <item x="446"/>
        <item x="18"/>
        <item x="286"/>
        <item x="157"/>
        <item x="116"/>
        <item x="478"/>
        <item x="568"/>
        <item x="475"/>
        <item x="403"/>
        <item x="29"/>
        <item x="317"/>
        <item x="502"/>
        <item x="8"/>
        <item x="241"/>
        <item x="551"/>
        <item x="230"/>
        <item x="519"/>
        <item x="350"/>
        <item x="503"/>
        <item x="571"/>
        <item x="353"/>
        <item x="611"/>
        <item x="393"/>
        <item x="171"/>
        <item x="94"/>
        <item x="438"/>
        <item x="579"/>
        <item x="134"/>
        <item x="310"/>
        <item x="335"/>
        <item x="431"/>
        <item x="65"/>
        <item x="539"/>
        <item x="454"/>
        <item x="421"/>
        <item x="30"/>
        <item x="492"/>
        <item x="482"/>
        <item x="43"/>
        <item x="203"/>
        <item x="540"/>
        <item x="368"/>
        <item x="202"/>
        <item x="281"/>
        <item x="59"/>
        <item x="7"/>
        <item x="184"/>
        <item x="100"/>
        <item x="272"/>
        <item x="343"/>
        <item x="220"/>
        <item x="487"/>
        <item x="583"/>
        <item x="599"/>
        <item x="506"/>
        <item x="616"/>
        <item x="221"/>
        <item x="459"/>
        <item x="70"/>
        <item x="265"/>
        <item x="533"/>
        <item x="529"/>
        <item x="536"/>
        <item x="612"/>
        <item x="500"/>
        <item x="158"/>
        <item x="314"/>
        <item x="359"/>
        <item x="474"/>
        <item x="472"/>
        <item x="485"/>
        <item x="311"/>
        <item x="31"/>
        <item x="208"/>
        <item x="418"/>
        <item x="107"/>
        <item x="423"/>
        <item x="452"/>
        <item x="493"/>
        <item x="69"/>
        <item x="545"/>
        <item x="255"/>
        <item x="512"/>
        <item x="564"/>
        <item x="608"/>
        <item x="121"/>
        <item x="336"/>
        <item x="61"/>
        <item x="560"/>
        <item x="488"/>
        <item x="115"/>
        <item x="126"/>
        <item x="349"/>
        <item x="419"/>
        <item x="409"/>
        <item x="577"/>
        <item x="531"/>
        <item x="161"/>
        <item x="24"/>
        <item x="489"/>
        <item x="260"/>
        <item x="471"/>
        <item x="346"/>
        <item x="333"/>
        <item x="19"/>
        <item x="379"/>
        <item x="127"/>
        <item x="434"/>
        <item x="99"/>
        <item x="532"/>
        <item x="501"/>
        <item x="133"/>
        <item x="212"/>
        <item x="518"/>
        <item x="406"/>
        <item x="68"/>
        <item x="36"/>
        <item x="344"/>
        <item x="85"/>
        <item x="513"/>
        <item x="410"/>
        <item x="569"/>
        <item x="347"/>
        <item x="373"/>
        <item x="160"/>
        <item x="283"/>
        <item x="307"/>
        <item x="277"/>
        <item x="117"/>
        <item x="609"/>
        <item x="296"/>
        <item x="50"/>
        <item x="148"/>
        <item x="222"/>
        <item x="297"/>
        <item x="108"/>
        <item x="516"/>
        <item x="21"/>
        <item x="496"/>
        <item x="441"/>
        <item x="1"/>
        <item x="607"/>
        <item x="298"/>
        <item x="5"/>
        <item x="294"/>
        <item x="397"/>
        <item x="276"/>
        <item x="510"/>
        <item x="458"/>
        <item x="461"/>
        <item x="622"/>
        <item x="72"/>
        <item x="498"/>
        <item x="453"/>
        <item x="250"/>
        <item x="229"/>
        <item x="400"/>
        <item x="23"/>
        <item x="300"/>
        <item x="186"/>
        <item x="137"/>
        <item x="147"/>
        <item x="234"/>
        <item x="388"/>
        <item x="284"/>
        <item x="282"/>
        <item x="398"/>
        <item x="209"/>
        <item x="95"/>
        <item x="51"/>
        <item x="142"/>
        <item x="534"/>
        <item x="228"/>
        <item x="422"/>
        <item x="268"/>
        <item x="361"/>
        <item x="384"/>
        <item x="470"/>
        <item x="456"/>
        <item x="480"/>
        <item x="592"/>
        <item x="377"/>
        <item x="581"/>
        <item x="484"/>
        <item x="2"/>
        <item x="320"/>
        <item x="572"/>
        <item x="66"/>
        <item x="15"/>
        <item x="138"/>
        <item x="424"/>
        <item x="429"/>
        <item x="426"/>
        <item x="245"/>
        <item x="291"/>
        <item x="149"/>
        <item x="216"/>
        <item x="33"/>
        <item x="242"/>
        <item x="357"/>
        <item x="159"/>
        <item x="271"/>
        <item x="401"/>
        <item x="166"/>
        <item x="173"/>
        <item x="559"/>
        <item x="120"/>
        <item x="428"/>
        <item x="462"/>
        <item x="491"/>
        <item x="412"/>
        <item x="582"/>
        <item x="606"/>
        <item x="192"/>
        <item x="143"/>
        <item x="293"/>
        <item x="302"/>
        <item x="211"/>
        <item x="623"/>
        <item x="330"/>
        <item x="87"/>
        <item x="58"/>
        <item x="595"/>
        <item x="340"/>
        <item x="570"/>
        <item x="258"/>
        <item x="224"/>
        <item t="default"/>
      </items>
      <autoSortScope>
        <pivotArea dataOnly="0" outline="0" fieldPosition="0">
          <references count="1">
            <reference field="4294967294" count="1" selected="0">
              <x v="0"/>
            </reference>
          </references>
        </pivotArea>
      </autoSortScope>
    </pivotField>
    <pivotField numFmtId="166" showAll="0"/>
    <pivotField numFmtId="166" showAll="0"/>
    <pivotField numFmtId="166" showAll="0"/>
    <pivotField showAll="0"/>
    <pivotField numFmtId="10" showAll="0"/>
    <pivotField numFmtId="10" showAll="0"/>
    <pivotField numFmtId="2" showAll="0"/>
    <pivotField dataField="1" numFmtId="166" showAll="0"/>
    <pivotField numFmtId="166" showAll="0"/>
    <pivotField numFmtId="166" showAll="0"/>
    <pivotField numFmtId="10" showAll="0"/>
    <pivotField numFmtId="167"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5"/>
  </rowFields>
  <rowItems count="11">
    <i>
      <x v="171"/>
    </i>
    <i>
      <x v="368"/>
    </i>
    <i>
      <x v="248"/>
    </i>
    <i>
      <x v="323"/>
    </i>
    <i>
      <x v="270"/>
    </i>
    <i>
      <x v="319"/>
    </i>
    <i>
      <x v="117"/>
    </i>
    <i>
      <x v="207"/>
    </i>
    <i>
      <x v="405"/>
    </i>
    <i>
      <x v="403"/>
    </i>
    <i t="grand">
      <x/>
    </i>
  </rowItems>
  <colItems count="1">
    <i/>
  </colItems>
  <dataFields count="1">
    <dataField name="Sum of Grossrevenue" fld="23" baseField="0" baseItem="0" numFmtId="166"/>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38CED6-B95A-4587-9F6B-695C71D9378A}"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35">
    <pivotField showAll="0"/>
    <pivotField numFmtId="165"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numFmtId="167"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showAll="0"/>
    <pivotField numFmtId="165" showAll="0"/>
    <pivotField numFmtId="165" showAll="0"/>
    <pivotField numFmtId="2" showAll="0"/>
    <pivotField showAll="0">
      <items count="5">
        <item x="1"/>
        <item x="2"/>
        <item x="0"/>
        <item x="3"/>
        <item t="default"/>
      </items>
    </pivotField>
    <pivotField showAll="0">
      <items count="13">
        <item x="11"/>
        <item x="3"/>
        <item x="7"/>
        <item x="10"/>
        <item x="9"/>
        <item x="1"/>
        <item x="0"/>
        <item x="6"/>
        <item x="2"/>
        <item x="5"/>
        <item x="8"/>
        <item x="4"/>
        <item t="default"/>
      </items>
    </pivotField>
    <pivotField showAll="0"/>
    <pivotField showAll="0"/>
    <pivotField showAll="0"/>
    <pivotField showAll="0">
      <items count="7">
        <item x="3"/>
        <item x="1"/>
        <item x="4"/>
        <item x="2"/>
        <item x="0"/>
        <item x="5"/>
        <item t="default"/>
      </items>
    </pivotField>
    <pivotField axis="axisRow" showAll="0">
      <items count="17">
        <item x="0"/>
        <item x="12"/>
        <item x="14"/>
        <item x="6"/>
        <item x="1"/>
        <item x="3"/>
        <item x="10"/>
        <item x="7"/>
        <item x="9"/>
        <item x="5"/>
        <item x="4"/>
        <item x="11"/>
        <item x="8"/>
        <item x="13"/>
        <item x="2"/>
        <item x="15"/>
        <item t="default"/>
      </items>
    </pivotField>
    <pivotField showAll="0">
      <items count="8">
        <item x="0"/>
        <item x="2"/>
        <item x="4"/>
        <item x="3"/>
        <item x="6"/>
        <item x="5"/>
        <item x="1"/>
        <item t="default"/>
      </items>
    </pivotField>
    <pivotField showAll="0"/>
    <pivotField numFmtId="166" showAll="0"/>
    <pivotField numFmtId="166" showAll="0"/>
    <pivotField numFmtId="166" showAll="0"/>
    <pivotField showAll="0"/>
    <pivotField numFmtId="10" showAll="0"/>
    <pivotField dataField="1" numFmtId="10" showAll="0"/>
    <pivotField numFmtId="2" showAll="0"/>
    <pivotField numFmtId="166" showAll="0"/>
    <pivotField numFmtId="166" showAll="0"/>
    <pivotField numFmtId="166" showAll="0"/>
    <pivotField numFmtId="10" showAll="0"/>
    <pivotField numFmtId="167"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3"/>
  </rowFields>
  <rowItems count="17">
    <i>
      <x/>
    </i>
    <i>
      <x v="1"/>
    </i>
    <i>
      <x v="2"/>
    </i>
    <i>
      <x v="3"/>
    </i>
    <i>
      <x v="4"/>
    </i>
    <i>
      <x v="5"/>
    </i>
    <i>
      <x v="6"/>
    </i>
    <i>
      <x v="7"/>
    </i>
    <i>
      <x v="8"/>
    </i>
    <i>
      <x v="9"/>
    </i>
    <i>
      <x v="10"/>
    </i>
    <i>
      <x v="11"/>
    </i>
    <i>
      <x v="12"/>
    </i>
    <i>
      <x v="13"/>
    </i>
    <i>
      <x v="14"/>
    </i>
    <i>
      <x v="15"/>
    </i>
    <i t="grand">
      <x/>
    </i>
  </rowItems>
  <colItems count="1">
    <i/>
  </colItems>
  <dataFields count="1">
    <dataField name="Average of CorrectedDiscount" fld="21" subtotal="average"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91EA35-13D4-4EDC-B82A-EA112E749664}" name="PivotTable9"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D16" firstHeaderRow="1" firstDataRow="2" firstDataCol="1"/>
  <pivotFields count="36">
    <pivotField showAll="0" defaultSubtotal="0"/>
    <pivotField showAll="0" defaultSubtota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x="468"/>
      </items>
    </pivotField>
    <pivotField showAll="0" defaultSubtota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x="468"/>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numFmtId="166" showAll="0" defaultSubtotal="0"/>
    <pivotField showAll="0" defaultSubtotal="0"/>
    <pivotField numFmtId="166" showAll="0" defaultSubtotal="0"/>
    <pivotField numFmtId="10" showAll="0" defaultSubtotal="0"/>
    <pivotField showAll="0" defaultSubtotal="0"/>
    <pivotField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h="1" sd="0" x="0"/>
        <item sd="0" x="1"/>
        <item sd="0" x="2"/>
        <item sd="0" x="3"/>
        <item sd="0" x="4"/>
      </items>
    </pivotField>
    <pivotField showAll="0" defaultSubtotal="0">
      <items count="14">
        <item h="1"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0"/>
  </rowFields>
  <rowItems count="12">
    <i>
      <x v="1"/>
    </i>
    <i>
      <x v="2"/>
    </i>
    <i>
      <x v="3"/>
    </i>
    <i>
      <x v="4"/>
    </i>
    <i>
      <x v="5"/>
    </i>
    <i>
      <x v="6"/>
    </i>
    <i>
      <x v="7"/>
    </i>
    <i>
      <x v="8"/>
    </i>
    <i>
      <x v="9"/>
    </i>
    <i>
      <x v="10"/>
    </i>
    <i>
      <x v="11"/>
    </i>
    <i>
      <x v="12"/>
    </i>
  </rowItems>
  <colFields count="1">
    <field x="32"/>
  </colFields>
  <colItems count="3">
    <i>
      <x v="1"/>
    </i>
    <i>
      <x v="2"/>
    </i>
    <i>
      <x v="3"/>
    </i>
  </colItems>
  <dataFields count="1">
    <dataField name="Sum of Grossrevenue" fld="24" baseField="0" baseItem="0" numFmtId="166"/>
  </dataFields>
  <chartFormats count="9">
    <chartFormat chart="3" format="1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3" format="11" series="1">
      <pivotArea type="data" outline="0" fieldPosition="0">
        <references count="2">
          <reference field="4294967294" count="1" selected="0">
            <x v="0"/>
          </reference>
          <reference field="32" count="1" selected="0">
            <x v="1"/>
          </reference>
        </references>
      </pivotArea>
    </chartFormat>
    <chartFormat chart="3" format="12" series="1">
      <pivotArea type="data" outline="0" fieldPosition="0">
        <references count="2">
          <reference field="4294967294" count="1" selected="0">
            <x v="0"/>
          </reference>
          <reference field="32" count="1" selected="0">
            <x v="2"/>
          </reference>
        </references>
      </pivotArea>
    </chartFormat>
    <chartFormat chart="3" format="13" series="1">
      <pivotArea type="data" outline="0" fieldPosition="0">
        <references count="2">
          <reference field="4294967294" count="1" selected="0">
            <x v="0"/>
          </reference>
          <reference field="32" count="1" selected="0">
            <x v="3"/>
          </reference>
        </references>
      </pivotArea>
    </chartFormat>
    <chartFormat chart="0" format="5" series="1">
      <pivotArea type="data" outline="0" fieldPosition="0">
        <references count="2">
          <reference field="4294967294" count="1" selected="0">
            <x v="0"/>
          </reference>
          <reference field="32" count="1" selected="0">
            <x v="1"/>
          </reference>
        </references>
      </pivotArea>
    </chartFormat>
    <chartFormat chart="0" format="6" series="1">
      <pivotArea type="data" outline="0" fieldPosition="0">
        <references count="2">
          <reference field="4294967294" count="1" selected="0">
            <x v="0"/>
          </reference>
          <reference field="32" count="1" selected="0">
            <x v="2"/>
          </reference>
        </references>
      </pivotArea>
    </chartFormat>
    <chartFormat chart="0" format="7" series="1">
      <pivotArea type="data" outline="0" fieldPosition="0">
        <references count="2">
          <reference field="4294967294" count="1" selected="0">
            <x v="0"/>
          </reference>
          <reference field="32" count="1" selected="0">
            <x v="3"/>
          </reference>
        </references>
      </pivotArea>
    </chartFormat>
    <chartFormat chart="0" format="8" series="1">
      <pivotArea type="data" outline="0" fieldPosition="0">
        <references count="2">
          <reference field="4294967294" count="1" selected="0">
            <x v="0"/>
          </reference>
          <reference field="3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20DEEB-44BA-437C-A080-539A3B54E113}" name="PivotTable1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3" firstHeaderRow="1" firstDataRow="1" firstDataCol="1" rowPageCount="1" colPageCount="1"/>
  <pivotFields count="35">
    <pivotField dataField="1" showAll="0"/>
    <pivotField numFmtId="165"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numFmtId="167" showAll="0">
      <items count="469">
        <item x="121"/>
        <item x="115"/>
        <item x="146"/>
        <item x="116"/>
        <item x="63"/>
        <item x="2"/>
        <item x="127"/>
        <item x="98"/>
        <item x="82"/>
        <item x="130"/>
        <item x="70"/>
        <item x="83"/>
        <item x="95"/>
        <item x="140"/>
        <item x="39"/>
        <item x="12"/>
        <item x="157"/>
        <item x="77"/>
        <item x="147"/>
        <item x="138"/>
        <item x="10"/>
        <item x="90"/>
        <item x="43"/>
        <item x="103"/>
        <item x="58"/>
        <item x="144"/>
        <item x="8"/>
        <item x="40"/>
        <item x="139"/>
        <item x="156"/>
        <item x="41"/>
        <item x="128"/>
        <item x="154"/>
        <item x="88"/>
        <item x="134"/>
        <item x="30"/>
        <item x="141"/>
        <item x="68"/>
        <item x="122"/>
        <item x="161"/>
        <item x="87"/>
        <item x="47"/>
        <item x="143"/>
        <item x="54"/>
        <item x="117"/>
        <item x="102"/>
        <item x="11"/>
        <item x="36"/>
        <item x="125"/>
        <item x="0"/>
        <item x="155"/>
        <item x="52"/>
        <item x="3"/>
        <item x="94"/>
        <item x="62"/>
        <item x="18"/>
        <item x="55"/>
        <item x="9"/>
        <item x="75"/>
        <item x="34"/>
        <item x="153"/>
        <item x="21"/>
        <item x="64"/>
        <item x="99"/>
        <item x="16"/>
        <item x="81"/>
        <item x="152"/>
        <item x="53"/>
        <item x="32"/>
        <item x="65"/>
        <item x="69"/>
        <item x="85"/>
        <item x="126"/>
        <item x="45"/>
        <item x="17"/>
        <item x="109"/>
        <item x="72"/>
        <item x="66"/>
        <item x="5"/>
        <item x="59"/>
        <item x="37"/>
        <item x="13"/>
        <item x="150"/>
        <item x="79"/>
        <item x="50"/>
        <item x="105"/>
        <item x="42"/>
        <item x="86"/>
        <item x="46"/>
        <item x="76"/>
        <item x="92"/>
        <item x="57"/>
        <item x="133"/>
        <item x="1"/>
        <item x="38"/>
        <item x="112"/>
        <item x="149"/>
        <item x="44"/>
        <item x="119"/>
        <item x="35"/>
        <item x="107"/>
        <item x="24"/>
        <item x="142"/>
        <item x="145"/>
        <item x="7"/>
        <item x="84"/>
        <item x="51"/>
        <item x="101"/>
        <item x="60"/>
        <item x="108"/>
        <item x="124"/>
        <item x="118"/>
        <item x="113"/>
        <item x="31"/>
        <item x="28"/>
        <item x="78"/>
        <item x="23"/>
        <item x="89"/>
        <item x="120"/>
        <item x="80"/>
        <item x="137"/>
        <item x="73"/>
        <item x="6"/>
        <item x="91"/>
        <item x="48"/>
        <item x="15"/>
        <item x="49"/>
        <item x="56"/>
        <item x="148"/>
        <item x="106"/>
        <item x="151"/>
        <item x="61"/>
        <item x="111"/>
        <item x="14"/>
        <item x="67"/>
        <item x="135"/>
        <item x="26"/>
        <item x="136"/>
        <item x="110"/>
        <item x="104"/>
        <item x="20"/>
        <item x="74"/>
        <item x="160"/>
        <item x="158"/>
        <item x="22"/>
        <item x="93"/>
        <item x="27"/>
        <item x="29"/>
        <item x="97"/>
        <item x="132"/>
        <item x="100"/>
        <item x="114"/>
        <item x="123"/>
        <item x="4"/>
        <item x="71"/>
        <item x="25"/>
        <item x="33"/>
        <item x="96"/>
        <item x="131"/>
        <item x="159"/>
        <item x="19"/>
        <item x="129"/>
        <item x="333"/>
        <item x="163"/>
        <item x="321"/>
        <item x="323"/>
        <item x="203"/>
        <item x="168"/>
        <item x="181"/>
        <item x="298"/>
        <item x="326"/>
        <item x="325"/>
        <item x="275"/>
        <item x="183"/>
        <item x="247"/>
        <item x="185"/>
        <item x="213"/>
        <item x="300"/>
        <item x="283"/>
        <item x="344"/>
        <item x="341"/>
        <item x="193"/>
        <item x="258"/>
        <item x="282"/>
        <item x="164"/>
        <item x="244"/>
        <item x="236"/>
        <item x="311"/>
        <item x="253"/>
        <item x="177"/>
        <item x="254"/>
        <item x="306"/>
        <item x="320"/>
        <item x="233"/>
        <item x="316"/>
        <item x="220"/>
        <item x="199"/>
        <item x="329"/>
        <item x="202"/>
        <item x="195"/>
        <item x="190"/>
        <item x="314"/>
        <item x="205"/>
        <item x="239"/>
        <item x="182"/>
        <item x="337"/>
        <item x="327"/>
        <item x="297"/>
        <item x="189"/>
        <item x="186"/>
        <item x="209"/>
        <item x="273"/>
        <item x="214"/>
        <item x="334"/>
        <item x="223"/>
        <item x="278"/>
        <item x="274"/>
        <item x="196"/>
        <item x="313"/>
        <item x="263"/>
        <item x="318"/>
        <item x="232"/>
        <item x="271"/>
        <item x="178"/>
        <item x="255"/>
        <item x="281"/>
        <item x="343"/>
        <item x="259"/>
        <item x="290"/>
        <item x="225"/>
        <item x="250"/>
        <item x="229"/>
        <item x="169"/>
        <item x="217"/>
        <item x="211"/>
        <item x="267"/>
        <item x="279"/>
        <item x="276"/>
        <item x="172"/>
        <item x="324"/>
        <item x="165"/>
        <item x="292"/>
        <item x="241"/>
        <item x="269"/>
        <item x="234"/>
        <item x="330"/>
        <item x="191"/>
        <item x="262"/>
        <item x="228"/>
        <item x="266"/>
        <item x="322"/>
        <item x="291"/>
        <item x="216"/>
        <item x="332"/>
        <item x="188"/>
        <item x="243"/>
        <item x="265"/>
        <item x="179"/>
        <item x="277"/>
        <item x="231"/>
        <item x="317"/>
        <item x="286"/>
        <item x="308"/>
        <item x="312"/>
        <item x="207"/>
        <item x="336"/>
        <item x="289"/>
        <item x="235"/>
        <item x="166"/>
        <item x="331"/>
        <item x="208"/>
        <item x="187"/>
        <item x="204"/>
        <item x="219"/>
        <item x="270"/>
        <item x="345"/>
        <item x="260"/>
        <item x="296"/>
        <item x="173"/>
        <item x="261"/>
        <item x="240"/>
        <item x="257"/>
        <item x="256"/>
        <item x="285"/>
        <item x="184"/>
        <item x="264"/>
        <item x="272"/>
        <item x="268"/>
        <item x="249"/>
        <item x="288"/>
        <item x="310"/>
        <item x="302"/>
        <item x="304"/>
        <item x="238"/>
        <item x="237"/>
        <item x="252"/>
        <item x="287"/>
        <item x="194"/>
        <item x="346"/>
        <item x="248"/>
        <item x="335"/>
        <item x="339"/>
        <item x="293"/>
        <item x="299"/>
        <item x="340"/>
        <item x="307"/>
        <item x="200"/>
        <item x="295"/>
        <item x="280"/>
        <item x="222"/>
        <item x="294"/>
        <item x="198"/>
        <item x="218"/>
        <item x="215"/>
        <item x="221"/>
        <item x="226"/>
        <item x="197"/>
        <item x="301"/>
        <item x="174"/>
        <item x="242"/>
        <item x="192"/>
        <item x="210"/>
        <item x="246"/>
        <item x="303"/>
        <item x="224"/>
        <item x="305"/>
        <item x="176"/>
        <item x="251"/>
        <item x="338"/>
        <item x="201"/>
        <item x="212"/>
        <item x="319"/>
        <item x="245"/>
        <item x="167"/>
        <item x="227"/>
        <item x="180"/>
        <item x="162"/>
        <item x="315"/>
        <item x="309"/>
        <item x="206"/>
        <item x="230"/>
        <item x="170"/>
        <item x="328"/>
        <item x="342"/>
        <item x="175"/>
        <item x="284"/>
        <item x="171"/>
        <item x="406"/>
        <item x="350"/>
        <item x="420"/>
        <item x="385"/>
        <item x="353"/>
        <item x="427"/>
        <item x="410"/>
        <item x="422"/>
        <item x="460"/>
        <item x="352"/>
        <item x="388"/>
        <item x="382"/>
        <item x="412"/>
        <item x="362"/>
        <item x="458"/>
        <item x="428"/>
        <item x="461"/>
        <item x="392"/>
        <item x="463"/>
        <item x="424"/>
        <item x="376"/>
        <item x="384"/>
        <item x="438"/>
        <item x="396"/>
        <item x="456"/>
        <item x="374"/>
        <item x="440"/>
        <item x="403"/>
        <item x="400"/>
        <item x="405"/>
        <item x="433"/>
        <item x="407"/>
        <item x="363"/>
        <item x="418"/>
        <item x="348"/>
        <item x="464"/>
        <item x="357"/>
        <item x="383"/>
        <item x="355"/>
        <item x="393"/>
        <item x="429"/>
        <item x="454"/>
        <item x="373"/>
        <item x="444"/>
        <item x="411"/>
        <item x="351"/>
        <item x="379"/>
        <item x="399"/>
        <item x="417"/>
        <item x="356"/>
        <item x="453"/>
        <item x="367"/>
        <item x="368"/>
        <item x="445"/>
        <item x="401"/>
        <item x="441"/>
        <item x="381"/>
        <item x="370"/>
        <item x="443"/>
        <item x="431"/>
        <item x="361"/>
        <item x="455"/>
        <item x="347"/>
        <item x="371"/>
        <item x="404"/>
        <item x="450"/>
        <item x="386"/>
        <item x="446"/>
        <item x="436"/>
        <item x="398"/>
        <item x="448"/>
        <item x="364"/>
        <item x="435"/>
        <item x="387"/>
        <item x="390"/>
        <item x="413"/>
        <item x="397"/>
        <item x="395"/>
        <item x="358"/>
        <item x="459"/>
        <item x="375"/>
        <item x="380"/>
        <item x="416"/>
        <item x="462"/>
        <item x="359"/>
        <item x="425"/>
        <item x="466"/>
        <item x="354"/>
        <item x="414"/>
        <item x="432"/>
        <item x="349"/>
        <item x="423"/>
        <item x="452"/>
        <item x="419"/>
        <item x="409"/>
        <item x="437"/>
        <item x="394"/>
        <item x="402"/>
        <item x="372"/>
        <item x="421"/>
        <item x="377"/>
        <item x="408"/>
        <item x="391"/>
        <item x="449"/>
        <item x="378"/>
        <item x="360"/>
        <item x="434"/>
        <item x="465"/>
        <item x="467"/>
        <item x="426"/>
        <item x="442"/>
        <item x="447"/>
        <item x="389"/>
        <item x="451"/>
        <item x="457"/>
        <item x="365"/>
        <item x="439"/>
        <item x="366"/>
        <item x="369"/>
        <item x="415"/>
        <item x="430"/>
        <item t="default"/>
      </items>
    </pivotField>
    <pivotField showAll="0"/>
    <pivotField numFmtId="165" showAll="0"/>
    <pivotField numFmtId="165" showAll="0"/>
    <pivotField axis="axisPage" numFmtId="2" multipleItemSelectionAllowed="1" showAll="0">
      <items count="32">
        <item x="27"/>
        <item x="18"/>
        <item x="17"/>
        <item x="10"/>
        <item x="26"/>
        <item x="2"/>
        <item x="1"/>
        <item x="11"/>
        <item h="1" x="24"/>
        <item h="1" x="25"/>
        <item h="1" x="5"/>
        <item h="1" x="21"/>
        <item h="1" x="30"/>
        <item h="1" x="4"/>
        <item h="1" x="6"/>
        <item h="1" x="20"/>
        <item h="1" x="19"/>
        <item h="1" x="3"/>
        <item h="1" x="22"/>
        <item h="1" x="8"/>
        <item h="1" x="23"/>
        <item h="1" x="16"/>
        <item h="1" x="0"/>
        <item h="1" x="7"/>
        <item h="1" x="28"/>
        <item h="1" x="12"/>
        <item h="1" x="13"/>
        <item h="1" x="15"/>
        <item h="1" x="14"/>
        <item h="1" x="29"/>
        <item h="1" x="9"/>
        <item t="default"/>
      </items>
    </pivotField>
    <pivotField showAll="0">
      <items count="5">
        <item x="1"/>
        <item x="2"/>
        <item x="0"/>
        <item x="3"/>
        <item t="default"/>
      </items>
    </pivotField>
    <pivotField axis="axisRow" showAll="0">
      <items count="13">
        <item x="11"/>
        <item x="3"/>
        <item x="7"/>
        <item x="10"/>
        <item x="9"/>
        <item x="1"/>
        <item x="0"/>
        <item x="6"/>
        <item x="2"/>
        <item x="5"/>
        <item x="8"/>
        <item x="4"/>
        <item t="default"/>
      </items>
    </pivotField>
    <pivotField showAll="0"/>
    <pivotField showAll="0"/>
    <pivotField showAll="0"/>
    <pivotField showAll="0">
      <items count="7">
        <item x="3"/>
        <item x="1"/>
        <item x="4"/>
        <item x="2"/>
        <item x="0"/>
        <item x="5"/>
        <item t="default"/>
      </items>
    </pivotField>
    <pivotField showAll="0">
      <items count="17">
        <item x="0"/>
        <item x="12"/>
        <item x="14"/>
        <item x="6"/>
        <item x="1"/>
        <item x="3"/>
        <item x="10"/>
        <item x="7"/>
        <item x="9"/>
        <item x="5"/>
        <item x="4"/>
        <item x="11"/>
        <item x="8"/>
        <item x="13"/>
        <item x="2"/>
        <item x="15"/>
        <item t="default"/>
      </items>
    </pivotField>
    <pivotField axis="axisRow" showAll="0">
      <items count="8">
        <item x="0"/>
        <item x="2"/>
        <item x="4"/>
        <item x="3"/>
        <item x="6"/>
        <item x="5"/>
        <item x="1"/>
        <item t="default"/>
      </items>
    </pivotField>
    <pivotField showAll="0"/>
    <pivotField numFmtId="166" showAll="0"/>
    <pivotField numFmtId="166" showAll="0"/>
    <pivotField numFmtId="166" showAll="0"/>
    <pivotField showAll="0"/>
    <pivotField numFmtId="10" showAll="0"/>
    <pivotField numFmtId="10" showAll="0"/>
    <pivotField numFmtId="2" showAll="0"/>
    <pivotField numFmtId="166" showAll="0"/>
    <pivotField numFmtId="166" showAll="0"/>
    <pivotField numFmtId="166" showAll="0"/>
    <pivotField numFmtId="10" showAll="0"/>
    <pivotField numFmtId="167"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8"/>
    <field x="14"/>
  </rowFields>
  <rowItems count="90">
    <i>
      <x/>
    </i>
    <i r="1">
      <x/>
    </i>
    <i r="1">
      <x v="1"/>
    </i>
    <i r="1">
      <x v="2"/>
    </i>
    <i r="1">
      <x v="3"/>
    </i>
    <i r="1">
      <x v="4"/>
    </i>
    <i r="1">
      <x v="5"/>
    </i>
    <i r="1">
      <x v="6"/>
    </i>
    <i>
      <x v="1"/>
    </i>
    <i r="1">
      <x/>
    </i>
    <i r="1">
      <x v="1"/>
    </i>
    <i r="1">
      <x v="2"/>
    </i>
    <i r="1">
      <x v="6"/>
    </i>
    <i>
      <x v="2"/>
    </i>
    <i r="1">
      <x/>
    </i>
    <i r="1">
      <x v="2"/>
    </i>
    <i r="1">
      <x v="3"/>
    </i>
    <i r="1">
      <x v="4"/>
    </i>
    <i r="1">
      <x v="5"/>
    </i>
    <i>
      <x v="3"/>
    </i>
    <i r="1">
      <x/>
    </i>
    <i r="1">
      <x v="1"/>
    </i>
    <i r="1">
      <x v="2"/>
    </i>
    <i r="1">
      <x v="3"/>
    </i>
    <i r="1">
      <x v="4"/>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Items count="1">
    <i/>
  </colItems>
  <pageFields count="1">
    <pageField fld="6" hier="-1"/>
  </pageFields>
  <dataFields count="1">
    <dataField name="Count of OrderID" fld="0" subtotal="count" showDataAs="percentOfCol" baseField="8" baseItem="9"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Index" xr10:uid="{5E524908-7DF9-47F1-938E-17B6B23A9B4F}" sourceName="MonthIndex">
  <pivotTables>
    <pivotTable tabId="9" name="PivotTable5"/>
  </pivotTables>
  <data>
    <tabular pivotCacheId="2063341475">
      <items count="33">
        <i x="2" s="1"/>
        <i x="0" s="1"/>
        <i x="11" s="1"/>
        <i x="3" s="1"/>
        <i x="7" s="1"/>
        <i x="1" s="1"/>
        <i x="10" s="1"/>
        <i x="6" s="1"/>
        <i x="5" s="1"/>
        <i x="8" s="1"/>
        <i x="9" s="1"/>
        <i x="4" s="1"/>
        <i x="13" s="1"/>
        <i x="22" s="1"/>
        <i x="20" s="1"/>
        <i x="19" s="1"/>
        <i x="14" s="1"/>
        <i x="15" s="1"/>
        <i x="21" s="1"/>
        <i x="18" s="1"/>
        <i x="23" s="1"/>
        <i x="12" s="1"/>
        <i x="16" s="1"/>
        <i x="17" s="1"/>
        <i x="25" s="1"/>
        <i x="29" s="1"/>
        <i x="27" s="1"/>
        <i x="31" s="1"/>
        <i x="24" s="1"/>
        <i x="28" s="1"/>
        <i x="26" s="1"/>
        <i x="30" s="1"/>
        <i x="3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7D1847-3B18-4955-B1D4-669792743306}" sourceName="Region">
  <pivotTables>
    <pivotTable tabId="35" name="PivotTable1"/>
    <pivotTable tabId="13" name="PivotTable9"/>
    <pivotTable tabId="9" name="PivotTable5"/>
    <pivotTable tabId="37" name="PivotTable3"/>
    <pivotTable tabId="19" name="PivotTable18"/>
    <pivotTable tabId="20" name="PivotTable19"/>
    <pivotTable tabId="39" name="PivotTable5"/>
    <pivotTable tabId="38" name="PivotTable4"/>
  </pivotTables>
  <data>
    <tabular pivotCacheId="2063341475">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72B195D4-47A9-45E9-9621-649913736D51}" sourceName="Country">
  <pivotTables>
    <pivotTable tabId="35" name="PivotTable1"/>
    <pivotTable tabId="13" name="PivotTable9"/>
    <pivotTable tabId="9" name="PivotTable5"/>
    <pivotTable tabId="37" name="PivotTable3"/>
    <pivotTable tabId="19" name="PivotTable18"/>
    <pivotTable tabId="20" name="PivotTable19"/>
    <pivotTable tabId="39" name="PivotTable5"/>
    <pivotTable tabId="38" name="PivotTable4"/>
  </pivotTables>
  <data>
    <tabular pivotCacheId="2063341475">
      <items count="12">
        <i x="11" s="1"/>
        <i x="3" s="1"/>
        <i x="7" s="1"/>
        <i x="10" s="1"/>
        <i x="9" s="1"/>
        <i x="1" s="1"/>
        <i x="0" s="1"/>
        <i x="6" s="1"/>
        <i x="2" s="1"/>
        <i x="5" s="1"/>
        <i x="8"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C73FEA2-AD42-4E5E-9F2E-580FB3DD379A}" sourceName="Channel">
  <pivotTables>
    <pivotTable tabId="35" name="PivotTable1"/>
    <pivotTable tabId="13" name="PivotTable9"/>
    <pivotTable tabId="9" name="PivotTable5"/>
    <pivotTable tabId="37" name="PivotTable3"/>
    <pivotTable tabId="19" name="PivotTable18"/>
    <pivotTable tabId="20" name="PivotTable19"/>
    <pivotTable tabId="39" name="PivotTable5"/>
    <pivotTable tabId="38" name="PivotTable4"/>
  </pivotTables>
  <data>
    <tabular pivotCacheId="2063341475">
      <items count="6">
        <i x="3" s="1"/>
        <i x="1" s="1"/>
        <i x="4" s="1"/>
        <i x="2" s="1"/>
        <i x="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51A9AFA9-CB3D-498B-91A8-19C3010E0076}" sourceName="Salesperson">
  <pivotTables>
    <pivotTable tabId="35" name="PivotTable1"/>
    <pivotTable tabId="13" name="PivotTable9"/>
    <pivotTable tabId="9" name="PivotTable5"/>
    <pivotTable tabId="37" name="PivotTable3"/>
    <pivotTable tabId="19" name="PivotTable18"/>
    <pivotTable tabId="20" name="PivotTable19"/>
    <pivotTable tabId="39" name="PivotTable5"/>
    <pivotTable tabId="38" name="PivotTable4"/>
  </pivotTables>
  <data>
    <tabular pivotCacheId="2063341475">
      <items count="16">
        <i x="0" s="1"/>
        <i x="12" s="1"/>
        <i x="14" s="1"/>
        <i x="6" s="1"/>
        <i x="1" s="1"/>
        <i x="3" s="1"/>
        <i x="10" s="1"/>
        <i x="7" s="1"/>
        <i x="9" s="1"/>
        <i x="5" s="1"/>
        <i x="4" s="1"/>
        <i x="11" s="1"/>
        <i x="8" s="1"/>
        <i x="13" s="1"/>
        <i x="2"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C19846F4-7D6B-4563-90ED-4232C91F5C0E}" sourceName="ProductCategory">
  <pivotTables>
    <pivotTable tabId="35" name="PivotTable1"/>
    <pivotTable tabId="13" name="PivotTable9"/>
    <pivotTable tabId="9" name="PivotTable5"/>
    <pivotTable tabId="37" name="PivotTable3"/>
    <pivotTable tabId="19" name="PivotTable18"/>
    <pivotTable tabId="20" name="PivotTable19"/>
    <pivotTable tabId="39" name="PivotTable5"/>
    <pivotTable tabId="38" name="PivotTable4"/>
  </pivotTables>
  <data>
    <tabular pivotCacheId="2063341475">
      <items count="7">
        <i x="0" s="1"/>
        <i x="2" s="1"/>
        <i x="4" s="1"/>
        <i x="3" s="1"/>
        <i x="6" s="1"/>
        <i x="5"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tarndardizedDate" xr10:uid="{0296F3F5-EFD4-46F9-B176-72EFBAEEC066}" sourceName="Months (StarndardizedDate)">
  <pivotTables>
    <pivotTable tabId="35" name="PivotTable1"/>
    <pivotTable tabId="13" name="PivotTable9"/>
    <pivotTable tabId="9" name="PivotTable5"/>
    <pivotTable tabId="37" name="PivotTable3"/>
    <pivotTable tabId="19" name="PivotTable18"/>
    <pivotTable tabId="20" name="PivotTable19"/>
    <pivotTable tabId="39" name="PivotTable5"/>
    <pivotTable tabId="38" name="PivotTable4"/>
  </pivotTables>
  <data>
    <tabular pivotCacheId="206334147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Index" xr10:uid="{A4282760-5C88-4E1C-A1A7-B5DF28CD7D8C}" cache="Slicer_MonthIndex" caption="MonthIndex" rowHeight="241300"/>
  <slicer name="Country" xr10:uid="{A48850F0-8ABC-4494-82BA-C763AE73ED1D}" cache="Slicer_Country1"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BEE31E1-21C5-4E1F-B7EC-B6A778D2CF2B}" cache="Slicer_Region" caption="Region" rowHeight="241300"/>
  <slicer name="Country 1" xr10:uid="{AFA3B22D-5A35-47D7-86EC-7ED3352E47E3}" cache="Slicer_Country1" caption="Country" rowHeight="241300"/>
  <slicer name="Channel" xr10:uid="{20DC1836-EF37-4FA7-926E-D964F1B30E46}" cache="Slicer_Channel" caption="Channel" rowHeight="241300"/>
  <slicer name="Salesperson 1" xr10:uid="{9E71627E-33FC-49D9-8021-DBFE1E919F46}" cache="Slicer_Salesperson1" caption="Salesperson" rowHeight="241300"/>
  <slicer name="ProductCategory" xr10:uid="{F6EA2F9B-C20C-42FE-86E3-F110103BDBF8}" cache="Slicer_ProductCategory" caption="ProductCategory" rowHeight="241300"/>
  <slicer name="Months (StarndardizedDate)" xr10:uid="{24AE011F-8888-4004-833A-1684EEF0EF66}" cache="Slicer_Months__StarndardizedDate" caption="Months (Starndardized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4B4C23C-4E7C-471B-A708-64C491712E99}" cache="Slicer_Region" caption="Region" rowHeight="241300"/>
  <slicer name="Country 2" xr10:uid="{AF11C877-D813-4414-9D8B-435A6753FF38}" cache="Slicer_Country1" caption="Country" startItem="4" rowHeight="241300"/>
  <slicer name="Channel 1" xr10:uid="{77BD43E8-A091-46B5-91A2-B539500E27E0}" cache="Slicer_Channel" caption="Channel" rowHeight="241300"/>
  <slicer name="Salesperson 2" xr10:uid="{A2D68985-782A-457A-8008-ADFB678704AF}" cache="Slicer_Salesperson1" caption="Salesperson" rowHeight="241300"/>
  <slicer name="ProductCategory 1" xr10:uid="{2561EF70-90BB-4497-BC1F-8BF8AF9D3AFC}" cache="Slicer_ProductCategory" caption="ProductCategory" rowHeight="241300"/>
  <slicer name="Months (StarndardizedDate) 1" xr10:uid="{1602502C-F100-4FF3-A633-EAC683521583}" cache="Slicer_Months__StarndardizedDate" caption="Months (StarndardizedDate)" startItem="4" rowHeight="24130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25" workbookViewId="0">
      <selection activeCell="B40" sqref="B40"/>
    </sheetView>
  </sheetViews>
  <sheetFormatPr defaultRowHeight="15" x14ac:dyDescent="0.3"/>
  <sheetData>
    <row r="1" spans="1:1" ht="16.5" x14ac:dyDescent="0.3">
      <c r="A1" s="1" t="s">
        <v>1364</v>
      </c>
    </row>
    <row r="2" spans="1:1" ht="16.5" x14ac:dyDescent="0.3">
      <c r="A2" t="s">
        <v>1365</v>
      </c>
    </row>
    <row r="4" spans="1:1" ht="16.5" x14ac:dyDescent="0.3">
      <c r="A4" t="s">
        <v>1366</v>
      </c>
    </row>
    <row r="5" spans="1:1" ht="16.5" x14ac:dyDescent="0.3">
      <c r="A5" t="s">
        <v>1367</v>
      </c>
    </row>
    <row r="6" spans="1:1" ht="16.5" x14ac:dyDescent="0.3">
      <c r="A6" t="s">
        <v>1368</v>
      </c>
    </row>
    <row r="8" spans="1:1" ht="16.5" x14ac:dyDescent="0.3">
      <c r="A8" t="s">
        <v>1369</v>
      </c>
    </row>
    <row r="9" spans="1:1" ht="16.5" x14ac:dyDescent="0.3">
      <c r="A9" t="s">
        <v>1370</v>
      </c>
    </row>
    <row r="10" spans="1:1" ht="16.5" x14ac:dyDescent="0.3">
      <c r="A10" t="s">
        <v>1371</v>
      </c>
    </row>
    <row r="11" spans="1:1" ht="16.5" x14ac:dyDescent="0.3">
      <c r="A11" t="s">
        <v>1372</v>
      </c>
    </row>
    <row r="12" spans="1:1" ht="16.5" x14ac:dyDescent="0.3">
      <c r="A12" t="s">
        <v>1373</v>
      </c>
    </row>
    <row r="13" spans="1:1" ht="16.5" x14ac:dyDescent="0.3">
      <c r="A13" t="s">
        <v>1374</v>
      </c>
    </row>
    <row r="14" spans="1:1" ht="16.5" x14ac:dyDescent="0.3">
      <c r="A14" t="s">
        <v>1375</v>
      </c>
    </row>
    <row r="15" spans="1:1" ht="16.5" x14ac:dyDescent="0.3">
      <c r="A15" t="s">
        <v>1376</v>
      </c>
    </row>
    <row r="17" spans="1:1" ht="16.5" x14ac:dyDescent="0.3">
      <c r="A17" t="s">
        <v>1377</v>
      </c>
    </row>
    <row r="18" spans="1:1" ht="16.5" x14ac:dyDescent="0.3">
      <c r="A18" t="s">
        <v>1378</v>
      </c>
    </row>
    <row r="19" spans="1:1" ht="16.5" x14ac:dyDescent="0.3">
      <c r="A19" t="s">
        <v>1379</v>
      </c>
    </row>
    <row r="20" spans="1:1" ht="16.5" x14ac:dyDescent="0.3">
      <c r="A20" t="s">
        <v>1380</v>
      </c>
    </row>
    <row r="21" spans="1:1" ht="16.5" x14ac:dyDescent="0.3">
      <c r="A21" t="s">
        <v>1381</v>
      </c>
    </row>
    <row r="23" spans="1:1" ht="16.5" x14ac:dyDescent="0.3">
      <c r="A23" t="s">
        <v>1382</v>
      </c>
    </row>
    <row r="24" spans="1:1" ht="16.5" x14ac:dyDescent="0.3">
      <c r="A24" t="s">
        <v>1383</v>
      </c>
    </row>
    <row r="25" spans="1:1" ht="16.5" x14ac:dyDescent="0.3">
      <c r="A25" t="s">
        <v>1384</v>
      </c>
    </row>
    <row r="26" spans="1:1" ht="16.5" x14ac:dyDescent="0.3">
      <c r="A26" t="s">
        <v>1385</v>
      </c>
    </row>
    <row r="27" spans="1:1" ht="16.5" x14ac:dyDescent="0.3">
      <c r="A27" t="s">
        <v>1386</v>
      </c>
    </row>
    <row r="29" spans="1:1" ht="16.5" x14ac:dyDescent="0.3">
      <c r="A29" t="s">
        <v>1387</v>
      </c>
    </row>
    <row r="30" spans="1:1" ht="16.5" x14ac:dyDescent="0.3">
      <c r="A30" t="s">
        <v>1388</v>
      </c>
    </row>
    <row r="31" spans="1:1" ht="16.5" x14ac:dyDescent="0.3">
      <c r="A31" t="s">
        <v>1389</v>
      </c>
    </row>
    <row r="32" spans="1:1" ht="16.5" x14ac:dyDescent="0.3">
      <c r="A32" t="s">
        <v>1390</v>
      </c>
    </row>
    <row r="33" spans="1:1" ht="16.5" x14ac:dyDescent="0.3">
      <c r="A33" t="s">
        <v>1391</v>
      </c>
    </row>
    <row r="34" spans="1:1" ht="16.5" x14ac:dyDescent="0.3">
      <c r="A34" t="s">
        <v>1392</v>
      </c>
    </row>
    <row r="35" spans="1:1" ht="16.5" x14ac:dyDescent="0.3">
      <c r="A35" t="s">
        <v>1393</v>
      </c>
    </row>
    <row r="36" spans="1:1" ht="16.5" x14ac:dyDescent="0.3">
      <c r="A36" t="s">
        <v>1394</v>
      </c>
    </row>
    <row r="37" spans="1:1" ht="16.5" x14ac:dyDescent="0.3">
      <c r="A37" t="s">
        <v>1395</v>
      </c>
    </row>
    <row r="38" spans="1:1" ht="16.5" x14ac:dyDescent="0.3">
      <c r="A38" t="s">
        <v>1396</v>
      </c>
    </row>
    <row r="39" spans="1:1" ht="16.5" x14ac:dyDescent="0.3">
      <c r="A39" t="s">
        <v>1397</v>
      </c>
    </row>
    <row r="40" spans="1:1" ht="16.5" x14ac:dyDescent="0.3">
      <c r="A40" t="s">
        <v>1398</v>
      </c>
    </row>
    <row r="41" spans="1:1" ht="16.5" x14ac:dyDescent="0.3">
      <c r="A41" t="s">
        <v>1399</v>
      </c>
    </row>
    <row r="43" spans="1:1" ht="16.5" x14ac:dyDescent="0.3">
      <c r="A43" t="s">
        <v>1400</v>
      </c>
    </row>
    <row r="44" spans="1:1" ht="16.5" x14ac:dyDescent="0.3">
      <c r="A44" t="s">
        <v>1401</v>
      </c>
    </row>
    <row r="45" spans="1:1" ht="16.5" x14ac:dyDescent="0.3">
      <c r="A45" t="s">
        <v>1402</v>
      </c>
    </row>
    <row r="46" spans="1:1" ht="16.5" x14ac:dyDescent="0.3">
      <c r="A46" t="s">
        <v>1403</v>
      </c>
    </row>
    <row r="47" spans="1:1" ht="16.5" x14ac:dyDescent="0.3">
      <c r="A47" t="s">
        <v>1404</v>
      </c>
    </row>
    <row r="48" spans="1:1" ht="16.5" x14ac:dyDescent="0.3">
      <c r="A48" t="s">
        <v>1405</v>
      </c>
    </row>
    <row r="50" spans="1:1" ht="16.5" x14ac:dyDescent="0.3">
      <c r="A50" t="s">
        <v>1406</v>
      </c>
    </row>
    <row r="51" spans="1:1" ht="16.5" x14ac:dyDescent="0.3">
      <c r="A51" t="s">
        <v>1407</v>
      </c>
    </row>
    <row r="52" spans="1:1" ht="16.5" x14ac:dyDescent="0.3">
      <c r="A52" t="s">
        <v>1408</v>
      </c>
    </row>
    <row r="53" spans="1:1" ht="16.5" x14ac:dyDescent="0.3">
      <c r="A53" t="s">
        <v>1409</v>
      </c>
    </row>
    <row r="54" spans="1:1" ht="16.5" x14ac:dyDescent="0.3">
      <c r="A54" t="s">
        <v>1410</v>
      </c>
    </row>
    <row r="55" spans="1:1" ht="16.5" x14ac:dyDescent="0.3">
      <c r="A55" t="s">
        <v>1411</v>
      </c>
    </row>
    <row r="56" spans="1:1" ht="16.5" x14ac:dyDescent="0.3">
      <c r="A56" t="s">
        <v>1412</v>
      </c>
    </row>
    <row r="57" spans="1:1" ht="16.5" x14ac:dyDescent="0.3">
      <c r="A57" t="s">
        <v>1413</v>
      </c>
    </row>
    <row r="58" spans="1:1" ht="16.5" x14ac:dyDescent="0.3">
      <c r="A58" t="s">
        <v>1414</v>
      </c>
    </row>
    <row r="59" spans="1:1" ht="16.5" x14ac:dyDescent="0.3">
      <c r="A59" t="s">
        <v>1415</v>
      </c>
    </row>
    <row r="61" spans="1:1" ht="16.5" x14ac:dyDescent="0.3">
      <c r="A61" t="s">
        <v>1416</v>
      </c>
    </row>
    <row r="62" spans="1:1" ht="16.5" x14ac:dyDescent="0.3">
      <c r="A62" t="s">
        <v>1417</v>
      </c>
    </row>
    <row r="64" spans="1:1" ht="16.5" x14ac:dyDescent="0.3">
      <c r="A64" t="s">
        <v>1418</v>
      </c>
    </row>
    <row r="65" spans="1:1" ht="16.5" x14ac:dyDescent="0.3">
      <c r="A65" t="s">
        <v>1419</v>
      </c>
    </row>
    <row r="66" spans="1:1" ht="16.5" x14ac:dyDescent="0.3">
      <c r="A66" t="s">
        <v>1420</v>
      </c>
    </row>
    <row r="67" spans="1:1" ht="16.5" x14ac:dyDescent="0.3">
      <c r="A67" t="s">
        <v>1421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sqref="A1:XFD1"/>
    </sheetView>
  </sheetViews>
  <sheetFormatPr defaultRowHeight="15" x14ac:dyDescent="0.3"/>
  <cols>
    <col min="1" max="1" width="16.375" customWidth="1"/>
    <col min="2" max="2" width="10.375" customWidth="1"/>
    <col min="3" max="3" width="13.375" customWidth="1"/>
    <col min="5" max="5" width="15.375" customWidth="1"/>
    <col min="6" max="6" width="13.5" customWidth="1"/>
    <col min="7" max="7" width="17.625" customWidth="1"/>
    <col min="8" max="8" width="11.875" customWidth="1"/>
    <col min="9" max="9" width="11.625" customWidth="1"/>
    <col min="10" max="10" width="15.75" customWidth="1"/>
    <col min="11" max="11" width="10.25" customWidth="1"/>
    <col min="12" max="12" width="8.625" customWidth="1"/>
    <col min="13" max="13" width="9.25" customWidth="1"/>
    <col min="14" max="14" width="11.375" customWidth="1"/>
    <col min="15" max="15" width="8.625" customWidth="1"/>
  </cols>
  <sheetData>
    <row r="1" spans="1:15" ht="16.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6.5" x14ac:dyDescent="0.3">
      <c r="A2" t="s">
        <v>15</v>
      </c>
      <c r="B2" s="2">
        <v>45362</v>
      </c>
      <c r="C2" s="2">
        <v>45388</v>
      </c>
      <c r="D2" t="s">
        <v>646</v>
      </c>
      <c r="E2" t="s">
        <v>650</v>
      </c>
      <c r="F2" t="s">
        <v>662</v>
      </c>
      <c r="G2" t="s">
        <v>701</v>
      </c>
      <c r="H2" t="s">
        <v>707</v>
      </c>
      <c r="I2" t="s">
        <v>712</v>
      </c>
      <c r="J2" t="s">
        <v>727</v>
      </c>
      <c r="K2" t="s">
        <v>734</v>
      </c>
      <c r="L2">
        <v>279.24</v>
      </c>
      <c r="M2">
        <v>608.9</v>
      </c>
      <c r="N2">
        <v>0.112</v>
      </c>
      <c r="O2">
        <v>9</v>
      </c>
    </row>
    <row r="3" spans="1:15" ht="16.5" x14ac:dyDescent="0.3">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ht="16.5" x14ac:dyDescent="0.3">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ht="16.5" x14ac:dyDescent="0.3">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ht="16.5" x14ac:dyDescent="0.3">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ht="16.5" x14ac:dyDescent="0.3">
      <c r="A7" t="s">
        <v>20</v>
      </c>
      <c r="B7" s="2">
        <v>44928</v>
      </c>
      <c r="C7" s="2">
        <v>44931</v>
      </c>
      <c r="D7" t="s">
        <v>648</v>
      </c>
      <c r="E7" t="s">
        <v>653</v>
      </c>
      <c r="F7" t="s">
        <v>667</v>
      </c>
      <c r="G7" t="s">
        <v>701</v>
      </c>
      <c r="H7" t="s">
        <v>710</v>
      </c>
      <c r="I7" t="s">
        <v>717</v>
      </c>
      <c r="J7" t="s">
        <v>731</v>
      </c>
      <c r="K7" t="s">
        <v>739</v>
      </c>
      <c r="L7">
        <v>315.87</v>
      </c>
      <c r="M7">
        <v>591.67999999999995</v>
      </c>
      <c r="N7">
        <v>0</v>
      </c>
      <c r="O7">
        <v>7</v>
      </c>
    </row>
    <row r="8" spans="1:15" ht="16.5" x14ac:dyDescent="0.3">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ht="16.5" x14ac:dyDescent="0.3">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ht="16.5" x14ac:dyDescent="0.3">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ht="16.5" x14ac:dyDescent="0.3">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ht="16.5" x14ac:dyDescent="0.3">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ht="16.5" x14ac:dyDescent="0.3">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ht="16.5" x14ac:dyDescent="0.3">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ht="16.5" x14ac:dyDescent="0.3">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ht="16.5" x14ac:dyDescent="0.3">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ht="16.5" x14ac:dyDescent="0.3">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ht="16.5" x14ac:dyDescent="0.3">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ht="16.5" x14ac:dyDescent="0.3">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ht="16.5" x14ac:dyDescent="0.3">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ht="16.5" x14ac:dyDescent="0.3">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ht="16.5" x14ac:dyDescent="0.3">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ht="16.5" x14ac:dyDescent="0.3">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ht="16.5" x14ac:dyDescent="0.3">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ht="16.5" x14ac:dyDescent="0.3">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ht="16.5" x14ac:dyDescent="0.3">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ht="16.5" x14ac:dyDescent="0.3">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ht="16.5" x14ac:dyDescent="0.3">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ht="16.5" x14ac:dyDescent="0.3">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ht="16.5" x14ac:dyDescent="0.3">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ht="16.5" x14ac:dyDescent="0.3">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ht="16.5" x14ac:dyDescent="0.3">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ht="16.5" x14ac:dyDescent="0.3">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ht="16.5" x14ac:dyDescent="0.3">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ht="16.5" x14ac:dyDescent="0.3">
      <c r="A35" t="s">
        <v>48</v>
      </c>
      <c r="B35" s="2">
        <v>45400</v>
      </c>
      <c r="C35" s="2">
        <v>45420</v>
      </c>
      <c r="D35" t="s">
        <v>649</v>
      </c>
      <c r="E35" t="s">
        <v>658</v>
      </c>
      <c r="F35" t="s">
        <v>683</v>
      </c>
      <c r="G35" t="s">
        <v>703</v>
      </c>
      <c r="I35" t="s">
        <v>726</v>
      </c>
      <c r="J35" t="s">
        <v>731</v>
      </c>
      <c r="K35" t="s">
        <v>767</v>
      </c>
      <c r="L35">
        <v>645.33000000000004</v>
      </c>
      <c r="M35">
        <v>1321.85</v>
      </c>
      <c r="N35">
        <v>0</v>
      </c>
      <c r="O35">
        <v>10</v>
      </c>
    </row>
    <row r="36" spans="1:15" ht="16.5" x14ac:dyDescent="0.3">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ht="16.5" x14ac:dyDescent="0.3">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ht="16.5" x14ac:dyDescent="0.3">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ht="16.5" x14ac:dyDescent="0.3">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ht="16.5" x14ac:dyDescent="0.3">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ht="16.5" x14ac:dyDescent="0.3">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ht="16.5" x14ac:dyDescent="0.3">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ht="16.5" x14ac:dyDescent="0.3">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ht="16.5" x14ac:dyDescent="0.3">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ht="16.5" x14ac:dyDescent="0.3">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ht="16.5" x14ac:dyDescent="0.3">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ht="16.5" x14ac:dyDescent="0.3">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ht="16.5" x14ac:dyDescent="0.3">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ht="16.5" x14ac:dyDescent="0.3">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ht="16.5" x14ac:dyDescent="0.3">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ht="16.5" x14ac:dyDescent="0.3">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ht="16.5" x14ac:dyDescent="0.3">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ht="16.5" x14ac:dyDescent="0.3">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ht="16.5" x14ac:dyDescent="0.3">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ht="16.5" x14ac:dyDescent="0.3">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ht="16.5" x14ac:dyDescent="0.3">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ht="16.5" x14ac:dyDescent="0.3">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ht="16.5" x14ac:dyDescent="0.3">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ht="16.5" x14ac:dyDescent="0.3">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ht="16.5" x14ac:dyDescent="0.3">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ht="16.5" x14ac:dyDescent="0.3">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ht="16.5" x14ac:dyDescent="0.3">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ht="16.5" x14ac:dyDescent="0.3">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ht="16.5" x14ac:dyDescent="0.3">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ht="16.5" x14ac:dyDescent="0.3">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ht="16.5" x14ac:dyDescent="0.3">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ht="16.5" x14ac:dyDescent="0.3">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ht="16.5" x14ac:dyDescent="0.3">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ht="16.5" x14ac:dyDescent="0.3">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ht="16.5" x14ac:dyDescent="0.3">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ht="16.5" x14ac:dyDescent="0.3">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ht="16.5" x14ac:dyDescent="0.3">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ht="16.5" x14ac:dyDescent="0.3">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ht="16.5" x14ac:dyDescent="0.3">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ht="16.5" x14ac:dyDescent="0.3">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ht="16.5" x14ac:dyDescent="0.3">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ht="16.5" x14ac:dyDescent="0.3">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ht="16.5" x14ac:dyDescent="0.3">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ht="16.5" x14ac:dyDescent="0.3">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ht="16.5" x14ac:dyDescent="0.3">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ht="16.5" x14ac:dyDescent="0.3">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ht="16.5" x14ac:dyDescent="0.3">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ht="16.5" x14ac:dyDescent="0.3">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ht="16.5" x14ac:dyDescent="0.3">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ht="16.5" x14ac:dyDescent="0.3">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ht="16.5" x14ac:dyDescent="0.3">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ht="16.5" x14ac:dyDescent="0.3">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ht="16.5" x14ac:dyDescent="0.3">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ht="16.5" x14ac:dyDescent="0.3">
      <c r="A89" t="s">
        <v>102</v>
      </c>
      <c r="B89" s="2">
        <v>45876</v>
      </c>
      <c r="C89" s="2">
        <v>45888</v>
      </c>
      <c r="D89" t="s">
        <v>646</v>
      </c>
      <c r="E89" t="s">
        <v>650</v>
      </c>
      <c r="F89" t="s">
        <v>678</v>
      </c>
      <c r="G89" t="s">
        <v>701</v>
      </c>
      <c r="I89" t="s">
        <v>724</v>
      </c>
      <c r="J89" t="s">
        <v>727</v>
      </c>
      <c r="K89" t="s">
        <v>821</v>
      </c>
      <c r="L89">
        <v>601.51</v>
      </c>
      <c r="M89">
        <v>679.35</v>
      </c>
      <c r="N89">
        <v>0.188</v>
      </c>
      <c r="O89">
        <v>3</v>
      </c>
    </row>
    <row r="90" spans="1:15" ht="16.5" x14ac:dyDescent="0.3">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ht="16.5" x14ac:dyDescent="0.3">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ht="16.5" x14ac:dyDescent="0.3">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ht="16.5" x14ac:dyDescent="0.3">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ht="16.5" x14ac:dyDescent="0.3">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ht="16.5" x14ac:dyDescent="0.3">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ht="16.5" x14ac:dyDescent="0.3">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ht="16.5" x14ac:dyDescent="0.3">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ht="16.5" x14ac:dyDescent="0.3">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ht="16.5" x14ac:dyDescent="0.3">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ht="16.5" x14ac:dyDescent="0.3">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ht="16.5" x14ac:dyDescent="0.3">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ht="16.5" x14ac:dyDescent="0.3">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ht="16.5" x14ac:dyDescent="0.3">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ht="16.5" x14ac:dyDescent="0.3">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ht="16.5" x14ac:dyDescent="0.3">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ht="16.5" x14ac:dyDescent="0.3">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ht="16.5" x14ac:dyDescent="0.3">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ht="16.5" x14ac:dyDescent="0.3">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ht="16.5" x14ac:dyDescent="0.3">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ht="16.5" x14ac:dyDescent="0.3">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ht="16.5" x14ac:dyDescent="0.3">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ht="16.5" x14ac:dyDescent="0.3">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ht="16.5" x14ac:dyDescent="0.3">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ht="16.5" x14ac:dyDescent="0.3">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ht="16.5" x14ac:dyDescent="0.3">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ht="16.5" x14ac:dyDescent="0.3">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ht="16.5" x14ac:dyDescent="0.3">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ht="16.5" x14ac:dyDescent="0.3">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ht="16.5" x14ac:dyDescent="0.3">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ht="16.5" x14ac:dyDescent="0.3">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ht="16.5" x14ac:dyDescent="0.3">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ht="16.5" x14ac:dyDescent="0.3">
      <c r="A122" t="s">
        <v>135</v>
      </c>
      <c r="B122" s="2">
        <v>45827</v>
      </c>
      <c r="C122" s="2">
        <v>45850</v>
      </c>
      <c r="D122" t="s">
        <v>649</v>
      </c>
      <c r="E122" t="s">
        <v>658</v>
      </c>
      <c r="G122" t="s">
        <v>703</v>
      </c>
      <c r="H122" t="s">
        <v>711</v>
      </c>
      <c r="J122" t="s">
        <v>729</v>
      </c>
      <c r="K122" t="s">
        <v>854</v>
      </c>
      <c r="L122">
        <v>801.24</v>
      </c>
      <c r="M122">
        <v>1959.09</v>
      </c>
      <c r="N122">
        <v>0.123</v>
      </c>
      <c r="O122">
        <v>23</v>
      </c>
    </row>
    <row r="123" spans="1:15" ht="16.5" x14ac:dyDescent="0.3">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ht="16.5" x14ac:dyDescent="0.3">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ht="16.5" x14ac:dyDescent="0.3">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ht="16.5" x14ac:dyDescent="0.3">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ht="16.5" x14ac:dyDescent="0.3">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ht="16.5" x14ac:dyDescent="0.3">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ht="16.5" x14ac:dyDescent="0.3">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ht="16.5" x14ac:dyDescent="0.3">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ht="16.5" x14ac:dyDescent="0.3">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ht="16.5" x14ac:dyDescent="0.3">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ht="16.5" x14ac:dyDescent="0.3">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ht="16.5" x14ac:dyDescent="0.3">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ht="16.5" x14ac:dyDescent="0.3">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ht="16.5" x14ac:dyDescent="0.3">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ht="16.5" x14ac:dyDescent="0.3">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ht="16.5" x14ac:dyDescent="0.3">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ht="16.5" x14ac:dyDescent="0.3">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ht="16.5" x14ac:dyDescent="0.3">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ht="16.5" x14ac:dyDescent="0.3">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ht="16.5" x14ac:dyDescent="0.3">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ht="16.5" x14ac:dyDescent="0.3">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ht="16.5" x14ac:dyDescent="0.3">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ht="16.5" x14ac:dyDescent="0.3">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ht="16.5" x14ac:dyDescent="0.3">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ht="16.5" x14ac:dyDescent="0.3">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ht="16.5" x14ac:dyDescent="0.3">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ht="16.5" x14ac:dyDescent="0.3">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ht="16.5" x14ac:dyDescent="0.3">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ht="16.5" x14ac:dyDescent="0.3">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ht="16.5" x14ac:dyDescent="0.3">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ht="16.5" x14ac:dyDescent="0.3">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ht="16.5" x14ac:dyDescent="0.3">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ht="16.5" x14ac:dyDescent="0.3">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ht="16.5" x14ac:dyDescent="0.3">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ht="16.5" x14ac:dyDescent="0.3">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ht="16.5" x14ac:dyDescent="0.3">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ht="16.5" x14ac:dyDescent="0.3">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ht="16.5" x14ac:dyDescent="0.3">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ht="16.5" x14ac:dyDescent="0.3">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ht="16.5" x14ac:dyDescent="0.3">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ht="16.5" x14ac:dyDescent="0.3">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ht="16.5" x14ac:dyDescent="0.3">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ht="16.5" x14ac:dyDescent="0.3">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ht="16.5" x14ac:dyDescent="0.3">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ht="16.5" x14ac:dyDescent="0.3">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ht="16.5" x14ac:dyDescent="0.3">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ht="16.5" x14ac:dyDescent="0.3">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ht="16.5" x14ac:dyDescent="0.3">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ht="16.5" x14ac:dyDescent="0.3">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ht="16.5" x14ac:dyDescent="0.3">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ht="16.5" x14ac:dyDescent="0.3">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ht="16.5" x14ac:dyDescent="0.3">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ht="16.5" x14ac:dyDescent="0.3">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ht="16.5" x14ac:dyDescent="0.3">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ht="16.5" x14ac:dyDescent="0.3">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ht="16.5" x14ac:dyDescent="0.3">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ht="16.5" x14ac:dyDescent="0.3">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ht="16.5" x14ac:dyDescent="0.3">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ht="16.5" x14ac:dyDescent="0.3">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ht="16.5" x14ac:dyDescent="0.3">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ht="16.5" x14ac:dyDescent="0.3">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ht="16.5" x14ac:dyDescent="0.3">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ht="16.5" x14ac:dyDescent="0.3">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ht="16.5" x14ac:dyDescent="0.3">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ht="16.5" x14ac:dyDescent="0.3">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ht="16.5" x14ac:dyDescent="0.3">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ht="16.5" x14ac:dyDescent="0.3">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ht="16.5" x14ac:dyDescent="0.3">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ht="16.5" x14ac:dyDescent="0.3">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ht="16.5" x14ac:dyDescent="0.3">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ht="16.5" x14ac:dyDescent="0.3">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ht="16.5" x14ac:dyDescent="0.3">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ht="16.5" x14ac:dyDescent="0.3">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ht="16.5" x14ac:dyDescent="0.3">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ht="16.5" x14ac:dyDescent="0.3">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ht="16.5" x14ac:dyDescent="0.3">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ht="16.5" x14ac:dyDescent="0.3">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ht="16.5" x14ac:dyDescent="0.3">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ht="16.5" x14ac:dyDescent="0.3">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ht="16.5" x14ac:dyDescent="0.3">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ht="16.5" x14ac:dyDescent="0.3">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ht="16.5" x14ac:dyDescent="0.3">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ht="16.5" x14ac:dyDescent="0.3">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ht="16.5" x14ac:dyDescent="0.3">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ht="16.5" x14ac:dyDescent="0.3">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ht="16.5" x14ac:dyDescent="0.3">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ht="16.5" x14ac:dyDescent="0.3">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ht="16.5" x14ac:dyDescent="0.3">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ht="16.5" x14ac:dyDescent="0.3">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ht="16.5" x14ac:dyDescent="0.3">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ht="16.5" x14ac:dyDescent="0.3">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ht="16.5" x14ac:dyDescent="0.3">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ht="16.5" x14ac:dyDescent="0.3">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ht="16.5" x14ac:dyDescent="0.3">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ht="16.5" x14ac:dyDescent="0.3">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ht="16.5" x14ac:dyDescent="0.3">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ht="16.5" x14ac:dyDescent="0.3">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ht="16.5" x14ac:dyDescent="0.3">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ht="16.5" x14ac:dyDescent="0.3">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ht="16.5" x14ac:dyDescent="0.3">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ht="16.5" x14ac:dyDescent="0.3">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ht="16.5" x14ac:dyDescent="0.3">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ht="16.5" x14ac:dyDescent="0.3">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ht="16.5" x14ac:dyDescent="0.3">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ht="16.5" x14ac:dyDescent="0.3">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ht="16.5" x14ac:dyDescent="0.3">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ht="16.5" x14ac:dyDescent="0.3">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ht="16.5" x14ac:dyDescent="0.3">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ht="16.5" x14ac:dyDescent="0.3">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ht="16.5" x14ac:dyDescent="0.3">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ht="16.5" x14ac:dyDescent="0.3">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ht="16.5" x14ac:dyDescent="0.3">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ht="16.5" x14ac:dyDescent="0.3">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ht="16.5" x14ac:dyDescent="0.3">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ht="16.5" x14ac:dyDescent="0.3">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ht="16.5" x14ac:dyDescent="0.3">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ht="16.5" x14ac:dyDescent="0.3">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ht="16.5" x14ac:dyDescent="0.3">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ht="16.5" x14ac:dyDescent="0.3">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ht="16.5" x14ac:dyDescent="0.3">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ht="16.5" x14ac:dyDescent="0.3">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ht="16.5" x14ac:dyDescent="0.3">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ht="16.5" x14ac:dyDescent="0.3">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ht="16.5" x14ac:dyDescent="0.3">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ht="16.5" x14ac:dyDescent="0.3">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ht="16.5" x14ac:dyDescent="0.3">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ht="16.5" x14ac:dyDescent="0.3">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ht="16.5" x14ac:dyDescent="0.3">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ht="16.5" x14ac:dyDescent="0.3">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ht="16.5" x14ac:dyDescent="0.3">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ht="16.5" x14ac:dyDescent="0.3">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ht="16.5" x14ac:dyDescent="0.3">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ht="16.5" x14ac:dyDescent="0.3">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ht="16.5" x14ac:dyDescent="0.3">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ht="16.5" x14ac:dyDescent="0.3">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ht="16.5" x14ac:dyDescent="0.3">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ht="16.5" x14ac:dyDescent="0.3">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ht="16.5" x14ac:dyDescent="0.3">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ht="16.5" x14ac:dyDescent="0.3">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ht="16.5" x14ac:dyDescent="0.3">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ht="16.5" x14ac:dyDescent="0.3">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ht="16.5" x14ac:dyDescent="0.3">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ht="16.5" x14ac:dyDescent="0.3">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ht="16.5" x14ac:dyDescent="0.3">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ht="16.5" x14ac:dyDescent="0.3">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ht="16.5" x14ac:dyDescent="0.3">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ht="16.5" x14ac:dyDescent="0.3">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ht="16.5" x14ac:dyDescent="0.3">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ht="16.5" x14ac:dyDescent="0.3">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ht="16.5" x14ac:dyDescent="0.3">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ht="16.5" x14ac:dyDescent="0.3">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ht="16.5" x14ac:dyDescent="0.3">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ht="16.5" x14ac:dyDescent="0.3">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ht="16.5" x14ac:dyDescent="0.3">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ht="16.5" x14ac:dyDescent="0.3">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ht="16.5" x14ac:dyDescent="0.3">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ht="16.5" x14ac:dyDescent="0.3">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ht="16.5" x14ac:dyDescent="0.3">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ht="16.5" x14ac:dyDescent="0.3">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ht="16.5" x14ac:dyDescent="0.3">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ht="16.5" x14ac:dyDescent="0.3">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ht="16.5" x14ac:dyDescent="0.3">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ht="16.5" x14ac:dyDescent="0.3">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ht="16.5" x14ac:dyDescent="0.3">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ht="16.5" x14ac:dyDescent="0.3">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ht="16.5" x14ac:dyDescent="0.3">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ht="16.5" x14ac:dyDescent="0.3">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ht="16.5" x14ac:dyDescent="0.3">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ht="16.5" x14ac:dyDescent="0.3">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ht="16.5" x14ac:dyDescent="0.3">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ht="16.5" x14ac:dyDescent="0.3">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ht="16.5" x14ac:dyDescent="0.3">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ht="16.5" x14ac:dyDescent="0.3">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ht="16.5" x14ac:dyDescent="0.3">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ht="16.5" x14ac:dyDescent="0.3">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ht="16.5" x14ac:dyDescent="0.3">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ht="16.5" x14ac:dyDescent="0.3">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ht="16.5" x14ac:dyDescent="0.3">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ht="16.5" x14ac:dyDescent="0.3">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ht="16.5" x14ac:dyDescent="0.3">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ht="16.5" x14ac:dyDescent="0.3">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ht="16.5" x14ac:dyDescent="0.3">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ht="16.5" x14ac:dyDescent="0.3">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ht="16.5" x14ac:dyDescent="0.3">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ht="16.5" x14ac:dyDescent="0.3">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ht="16.5" x14ac:dyDescent="0.3">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ht="16.5" x14ac:dyDescent="0.3">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ht="16.5" x14ac:dyDescent="0.3">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ht="16.5" x14ac:dyDescent="0.3">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ht="16.5" x14ac:dyDescent="0.3">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ht="16.5" x14ac:dyDescent="0.3">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ht="16.5" x14ac:dyDescent="0.3">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ht="16.5" x14ac:dyDescent="0.3">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ht="16.5" x14ac:dyDescent="0.3">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ht="16.5" x14ac:dyDescent="0.3">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ht="16.5" x14ac:dyDescent="0.3">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ht="16.5" x14ac:dyDescent="0.3">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ht="16.5" x14ac:dyDescent="0.3">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ht="16.5" x14ac:dyDescent="0.3">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ht="16.5" x14ac:dyDescent="0.3">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ht="16.5" x14ac:dyDescent="0.3">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ht="16.5" x14ac:dyDescent="0.3">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ht="16.5" x14ac:dyDescent="0.3">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ht="16.5" x14ac:dyDescent="0.3">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ht="16.5" x14ac:dyDescent="0.3">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ht="16.5" x14ac:dyDescent="0.3">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ht="16.5" x14ac:dyDescent="0.3">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ht="16.5" x14ac:dyDescent="0.3">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ht="16.5" x14ac:dyDescent="0.3">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ht="16.5" x14ac:dyDescent="0.3">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ht="16.5" x14ac:dyDescent="0.3">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ht="16.5" x14ac:dyDescent="0.3">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ht="16.5" x14ac:dyDescent="0.3">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ht="16.5" x14ac:dyDescent="0.3">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ht="16.5" x14ac:dyDescent="0.3">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ht="16.5" x14ac:dyDescent="0.3">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ht="16.5" x14ac:dyDescent="0.3">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ht="16.5" x14ac:dyDescent="0.3">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ht="16.5" x14ac:dyDescent="0.3">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ht="16.5" x14ac:dyDescent="0.3">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ht="16.5" x14ac:dyDescent="0.3">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ht="16.5" x14ac:dyDescent="0.3">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ht="16.5" x14ac:dyDescent="0.3">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ht="16.5" x14ac:dyDescent="0.3">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ht="16.5" x14ac:dyDescent="0.3">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ht="16.5" x14ac:dyDescent="0.3">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ht="16.5" x14ac:dyDescent="0.3">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ht="16.5" x14ac:dyDescent="0.3">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ht="16.5" x14ac:dyDescent="0.3">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ht="16.5" x14ac:dyDescent="0.3">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ht="16.5" x14ac:dyDescent="0.3">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ht="16.5" x14ac:dyDescent="0.3">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ht="16.5" x14ac:dyDescent="0.3">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ht="16.5" x14ac:dyDescent="0.3">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ht="16.5" x14ac:dyDescent="0.3">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ht="16.5" x14ac:dyDescent="0.3">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ht="16.5" x14ac:dyDescent="0.3">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ht="16.5" x14ac:dyDescent="0.3">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ht="16.5" x14ac:dyDescent="0.3">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ht="16.5" x14ac:dyDescent="0.3">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ht="16.5" x14ac:dyDescent="0.3">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ht="16.5" x14ac:dyDescent="0.3">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ht="16.5" x14ac:dyDescent="0.3">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ht="16.5" x14ac:dyDescent="0.3">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ht="16.5" x14ac:dyDescent="0.3">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ht="16.5" x14ac:dyDescent="0.3">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ht="16.5" x14ac:dyDescent="0.3">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ht="16.5" x14ac:dyDescent="0.3">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ht="16.5" x14ac:dyDescent="0.3">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ht="16.5" x14ac:dyDescent="0.3">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ht="16.5" x14ac:dyDescent="0.3">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ht="16.5" x14ac:dyDescent="0.3">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ht="16.5" x14ac:dyDescent="0.3">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ht="16.5" x14ac:dyDescent="0.3">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ht="16.5" x14ac:dyDescent="0.3">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ht="16.5" x14ac:dyDescent="0.3">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ht="16.5" x14ac:dyDescent="0.3">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ht="16.5" x14ac:dyDescent="0.3">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ht="16.5" x14ac:dyDescent="0.3">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ht="16.5" x14ac:dyDescent="0.3">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ht="16.5" x14ac:dyDescent="0.3">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ht="16.5" x14ac:dyDescent="0.3">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ht="16.5" x14ac:dyDescent="0.3">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ht="16.5" x14ac:dyDescent="0.3">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ht="16.5" x14ac:dyDescent="0.3">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ht="16.5" x14ac:dyDescent="0.3">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ht="16.5" x14ac:dyDescent="0.3">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ht="16.5" x14ac:dyDescent="0.3">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ht="16.5" x14ac:dyDescent="0.3">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ht="16.5" x14ac:dyDescent="0.3">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ht="16.5" x14ac:dyDescent="0.3">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ht="16.5" x14ac:dyDescent="0.3">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ht="16.5" x14ac:dyDescent="0.3">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ht="16.5" x14ac:dyDescent="0.3">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ht="16.5" x14ac:dyDescent="0.3">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ht="16.5" x14ac:dyDescent="0.3">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ht="16.5" x14ac:dyDescent="0.3">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ht="16.5" x14ac:dyDescent="0.3">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ht="16.5" x14ac:dyDescent="0.3">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ht="16.5" x14ac:dyDescent="0.3">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ht="16.5" x14ac:dyDescent="0.3">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ht="16.5" x14ac:dyDescent="0.3">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ht="16.5" x14ac:dyDescent="0.3">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ht="16.5" x14ac:dyDescent="0.3">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ht="16.5" x14ac:dyDescent="0.3">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ht="16.5" x14ac:dyDescent="0.3">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ht="16.5" x14ac:dyDescent="0.3">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ht="16.5" x14ac:dyDescent="0.3">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ht="16.5" x14ac:dyDescent="0.3">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ht="16.5" x14ac:dyDescent="0.3">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ht="16.5" x14ac:dyDescent="0.3">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ht="16.5" x14ac:dyDescent="0.3">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ht="16.5" x14ac:dyDescent="0.3">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ht="16.5" x14ac:dyDescent="0.3">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ht="16.5" x14ac:dyDescent="0.3">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ht="16.5" x14ac:dyDescent="0.3">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ht="16.5" x14ac:dyDescent="0.3">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ht="16.5" x14ac:dyDescent="0.3">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ht="16.5" x14ac:dyDescent="0.3">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ht="16.5" x14ac:dyDescent="0.3">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ht="16.5" x14ac:dyDescent="0.3">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ht="16.5" x14ac:dyDescent="0.3">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ht="16.5" x14ac:dyDescent="0.3">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ht="16.5" x14ac:dyDescent="0.3">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ht="16.5" x14ac:dyDescent="0.3">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ht="16.5" x14ac:dyDescent="0.3">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ht="16.5" x14ac:dyDescent="0.3">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ht="16.5" x14ac:dyDescent="0.3">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ht="16.5" x14ac:dyDescent="0.3">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ht="16.5" x14ac:dyDescent="0.3">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ht="16.5" x14ac:dyDescent="0.3">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ht="16.5" x14ac:dyDescent="0.3">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ht="16.5" x14ac:dyDescent="0.3">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ht="16.5" x14ac:dyDescent="0.3">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ht="16.5" x14ac:dyDescent="0.3">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ht="16.5" x14ac:dyDescent="0.3">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ht="16.5" x14ac:dyDescent="0.3">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ht="16.5" x14ac:dyDescent="0.3">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ht="16.5" x14ac:dyDescent="0.3">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ht="16.5" x14ac:dyDescent="0.3">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ht="16.5" x14ac:dyDescent="0.3">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ht="16.5" x14ac:dyDescent="0.3">
      <c r="A444" t="s">
        <v>456</v>
      </c>
      <c r="B444" s="2">
        <v>45189</v>
      </c>
      <c r="C444" s="2">
        <v>45197</v>
      </c>
      <c r="D444" t="s">
        <v>647</v>
      </c>
      <c r="E444" t="s">
        <v>654</v>
      </c>
      <c r="G444" t="s">
        <v>701</v>
      </c>
      <c r="I444" t="s">
        <v>717</v>
      </c>
      <c r="J444" t="s">
        <v>733</v>
      </c>
      <c r="K444" t="s">
        <v>1175</v>
      </c>
      <c r="L444">
        <v>1362.06</v>
      </c>
      <c r="M444">
        <v>3398.37</v>
      </c>
      <c r="N444">
        <v>0.157</v>
      </c>
      <c r="O444">
        <v>11</v>
      </c>
    </row>
    <row r="445" spans="1:15" ht="16.5" x14ac:dyDescent="0.3">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ht="16.5" x14ac:dyDescent="0.3">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ht="16.5" x14ac:dyDescent="0.3">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ht="16.5" x14ac:dyDescent="0.3">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ht="16.5" x14ac:dyDescent="0.3">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ht="16.5" x14ac:dyDescent="0.3">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ht="16.5" x14ac:dyDescent="0.3">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ht="16.5" x14ac:dyDescent="0.3">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ht="16.5" x14ac:dyDescent="0.3">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ht="16.5" x14ac:dyDescent="0.3">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ht="16.5" x14ac:dyDescent="0.3">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ht="16.5" x14ac:dyDescent="0.3">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ht="16.5" x14ac:dyDescent="0.3">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ht="16.5" x14ac:dyDescent="0.3">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ht="16.5" x14ac:dyDescent="0.3">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ht="16.5" x14ac:dyDescent="0.3">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ht="16.5" x14ac:dyDescent="0.3">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ht="16.5" x14ac:dyDescent="0.3">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ht="16.5" x14ac:dyDescent="0.3">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ht="16.5" x14ac:dyDescent="0.3">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ht="16.5" x14ac:dyDescent="0.3">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ht="16.5" x14ac:dyDescent="0.3">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ht="16.5" x14ac:dyDescent="0.3">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ht="16.5" x14ac:dyDescent="0.3">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ht="16.5" x14ac:dyDescent="0.3">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ht="16.5" x14ac:dyDescent="0.3">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ht="16.5" x14ac:dyDescent="0.3">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ht="16.5" x14ac:dyDescent="0.3">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ht="16.5" x14ac:dyDescent="0.3">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ht="16.5" x14ac:dyDescent="0.3">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ht="16.5" x14ac:dyDescent="0.3">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ht="16.5" x14ac:dyDescent="0.3">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ht="16.5" x14ac:dyDescent="0.3">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ht="16.5" x14ac:dyDescent="0.3">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ht="16.5" x14ac:dyDescent="0.3">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ht="16.5" x14ac:dyDescent="0.3">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ht="16.5" x14ac:dyDescent="0.3">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ht="16.5" x14ac:dyDescent="0.3">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ht="16.5" x14ac:dyDescent="0.3">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ht="16.5" x14ac:dyDescent="0.3">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ht="16.5" x14ac:dyDescent="0.3">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ht="16.5" x14ac:dyDescent="0.3">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ht="16.5" x14ac:dyDescent="0.3">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ht="16.5" x14ac:dyDescent="0.3">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ht="16.5" x14ac:dyDescent="0.3">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ht="16.5" x14ac:dyDescent="0.3">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ht="16.5" x14ac:dyDescent="0.3">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ht="16.5" x14ac:dyDescent="0.3">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ht="16.5" x14ac:dyDescent="0.3">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ht="16.5" x14ac:dyDescent="0.3">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ht="16.5" x14ac:dyDescent="0.3">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ht="16.5" x14ac:dyDescent="0.3">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ht="16.5" x14ac:dyDescent="0.3">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ht="16.5" x14ac:dyDescent="0.3">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ht="16.5" x14ac:dyDescent="0.3">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ht="16.5" x14ac:dyDescent="0.3">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ht="16.5" x14ac:dyDescent="0.3">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ht="16.5" x14ac:dyDescent="0.3">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ht="16.5" x14ac:dyDescent="0.3">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ht="16.5" x14ac:dyDescent="0.3">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ht="16.5" x14ac:dyDescent="0.3">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ht="16.5" x14ac:dyDescent="0.3">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ht="16.5" x14ac:dyDescent="0.3">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ht="16.5" x14ac:dyDescent="0.3">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ht="16.5" x14ac:dyDescent="0.3">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ht="16.5" x14ac:dyDescent="0.3">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ht="16.5" x14ac:dyDescent="0.3">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ht="16.5" x14ac:dyDescent="0.3">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ht="16.5" x14ac:dyDescent="0.3">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ht="16.5" x14ac:dyDescent="0.3">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ht="16.5" x14ac:dyDescent="0.3">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ht="16.5" x14ac:dyDescent="0.3">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ht="16.5" x14ac:dyDescent="0.3">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ht="16.5" x14ac:dyDescent="0.3">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ht="16.5" x14ac:dyDescent="0.3">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ht="16.5" x14ac:dyDescent="0.3">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ht="16.5" x14ac:dyDescent="0.3">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ht="16.5" x14ac:dyDescent="0.3">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ht="16.5" x14ac:dyDescent="0.3">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ht="16.5" x14ac:dyDescent="0.3">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ht="16.5" x14ac:dyDescent="0.3">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ht="16.5" x14ac:dyDescent="0.3">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ht="16.5" x14ac:dyDescent="0.3">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ht="16.5" x14ac:dyDescent="0.3">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ht="16.5" x14ac:dyDescent="0.3">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ht="16.5" x14ac:dyDescent="0.3">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ht="16.5" x14ac:dyDescent="0.3">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ht="16.5" x14ac:dyDescent="0.3">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ht="16.5" x14ac:dyDescent="0.3">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ht="16.5" x14ac:dyDescent="0.3">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ht="16.5" x14ac:dyDescent="0.3">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ht="16.5" x14ac:dyDescent="0.3">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ht="16.5" x14ac:dyDescent="0.3">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ht="16.5" x14ac:dyDescent="0.3">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ht="16.5" x14ac:dyDescent="0.3">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ht="16.5" x14ac:dyDescent="0.3">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ht="16.5" x14ac:dyDescent="0.3">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ht="16.5" x14ac:dyDescent="0.3">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ht="16.5" x14ac:dyDescent="0.3">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ht="16.5" x14ac:dyDescent="0.3">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ht="16.5" x14ac:dyDescent="0.3">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ht="16.5" x14ac:dyDescent="0.3">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ht="16.5" x14ac:dyDescent="0.3">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ht="16.5" x14ac:dyDescent="0.3">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ht="16.5" x14ac:dyDescent="0.3">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ht="16.5" x14ac:dyDescent="0.3">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ht="16.5" x14ac:dyDescent="0.3">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ht="16.5" x14ac:dyDescent="0.3">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ht="16.5" x14ac:dyDescent="0.3">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ht="16.5" x14ac:dyDescent="0.3">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ht="16.5" x14ac:dyDescent="0.3">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ht="16.5" x14ac:dyDescent="0.3">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ht="16.5" x14ac:dyDescent="0.3">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ht="16.5" x14ac:dyDescent="0.3">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ht="16.5" x14ac:dyDescent="0.3">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ht="16.5" x14ac:dyDescent="0.3">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ht="16.5" x14ac:dyDescent="0.3">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ht="16.5" x14ac:dyDescent="0.3">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ht="16.5" x14ac:dyDescent="0.3">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ht="16.5" x14ac:dyDescent="0.3">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ht="16.5" x14ac:dyDescent="0.3">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ht="16.5" x14ac:dyDescent="0.3">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ht="16.5" x14ac:dyDescent="0.3">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ht="16.5" x14ac:dyDescent="0.3">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ht="16.5" x14ac:dyDescent="0.3">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ht="16.5" x14ac:dyDescent="0.3">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ht="16.5" x14ac:dyDescent="0.3">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ht="16.5" x14ac:dyDescent="0.3">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ht="16.5" x14ac:dyDescent="0.3">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ht="16.5" x14ac:dyDescent="0.3">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ht="16.5" x14ac:dyDescent="0.3">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ht="16.5" x14ac:dyDescent="0.3">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ht="16.5" x14ac:dyDescent="0.3">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ht="16.5" x14ac:dyDescent="0.3">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ht="16.5" x14ac:dyDescent="0.3">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ht="16.5" x14ac:dyDescent="0.3">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ht="16.5" x14ac:dyDescent="0.3">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ht="16.5" x14ac:dyDescent="0.3">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ht="16.5" x14ac:dyDescent="0.3">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ht="16.5" x14ac:dyDescent="0.3">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ht="16.5" x14ac:dyDescent="0.3">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ht="16.5" x14ac:dyDescent="0.3">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ht="16.5" x14ac:dyDescent="0.3">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ht="16.5" x14ac:dyDescent="0.3">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ht="16.5" x14ac:dyDescent="0.3">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ht="16.5" x14ac:dyDescent="0.3">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ht="16.5" x14ac:dyDescent="0.3">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ht="16.5" x14ac:dyDescent="0.3">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ht="16.5" x14ac:dyDescent="0.3">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ht="16.5" x14ac:dyDescent="0.3">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ht="16.5" x14ac:dyDescent="0.3">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ht="16.5" x14ac:dyDescent="0.3">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ht="16.5" x14ac:dyDescent="0.3">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ht="16.5" x14ac:dyDescent="0.3">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ht="16.5" x14ac:dyDescent="0.3">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ht="16.5" x14ac:dyDescent="0.3">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ht="16.5" x14ac:dyDescent="0.3">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ht="16.5" x14ac:dyDescent="0.3">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ht="16.5" x14ac:dyDescent="0.3">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ht="16.5" x14ac:dyDescent="0.3">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ht="16.5" x14ac:dyDescent="0.3">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ht="16.5" x14ac:dyDescent="0.3">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ht="16.5" x14ac:dyDescent="0.3">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ht="16.5" x14ac:dyDescent="0.3">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ht="16.5" x14ac:dyDescent="0.3">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ht="16.5" x14ac:dyDescent="0.3">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ht="16.5" x14ac:dyDescent="0.3">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ht="16.5" x14ac:dyDescent="0.3">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ht="16.5" x14ac:dyDescent="0.3">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ht="16.5" x14ac:dyDescent="0.3">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ht="16.5" x14ac:dyDescent="0.3">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ht="16.5" x14ac:dyDescent="0.3">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ht="16.5" x14ac:dyDescent="0.3">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ht="16.5" x14ac:dyDescent="0.3">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ht="16.5" x14ac:dyDescent="0.3">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ht="16.5" x14ac:dyDescent="0.3">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ht="16.5" x14ac:dyDescent="0.3">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ht="16.5" x14ac:dyDescent="0.3">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ht="16.5" x14ac:dyDescent="0.3">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ht="16.5" x14ac:dyDescent="0.3">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ht="16.5" x14ac:dyDescent="0.3">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ht="16.5" x14ac:dyDescent="0.3">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ht="16.5" x14ac:dyDescent="0.3">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ht="16.5" x14ac:dyDescent="0.3">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ht="16.5" x14ac:dyDescent="0.3">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ht="16.5" x14ac:dyDescent="0.3">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ht="16.5" x14ac:dyDescent="0.3">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ht="16.5" x14ac:dyDescent="0.3">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ht="16.5" x14ac:dyDescent="0.3">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1F496-8C75-48F0-AE32-B5A3B156435A}">
  <dimension ref="A3:N38"/>
  <sheetViews>
    <sheetView workbookViewId="0">
      <selection activeCell="I11" sqref="I11"/>
    </sheetView>
  </sheetViews>
  <sheetFormatPr defaultRowHeight="16.5" x14ac:dyDescent="0.3"/>
  <cols>
    <col min="1" max="1" width="20.375" bestFit="1" customWidth="1"/>
    <col min="2" max="2" width="16.625" bestFit="1" customWidth="1"/>
    <col min="3" max="6" width="13" bestFit="1" customWidth="1"/>
    <col min="7" max="7" width="14.5" bestFit="1" customWidth="1"/>
    <col min="8" max="11" width="13" bestFit="1" customWidth="1"/>
    <col min="12" max="12" width="15.625" bestFit="1" customWidth="1"/>
    <col min="13" max="13" width="13" bestFit="1" customWidth="1"/>
    <col min="14" max="14" width="15.5" bestFit="1" customWidth="1"/>
    <col min="15" max="15" width="13.375" customWidth="1"/>
    <col min="16" max="33" width="11.75" bestFit="1" customWidth="1"/>
    <col min="34" max="34" width="10.75" bestFit="1" customWidth="1"/>
    <col min="35" max="35" width="13.125" bestFit="1" customWidth="1"/>
  </cols>
  <sheetData>
    <row r="3" spans="1:14" x14ac:dyDescent="0.3">
      <c r="A3" s="15" t="s">
        <v>1456</v>
      </c>
      <c r="B3" s="15" t="s">
        <v>1442</v>
      </c>
    </row>
    <row r="4" spans="1:14" x14ac:dyDescent="0.3">
      <c r="A4" s="15" t="s">
        <v>1437</v>
      </c>
      <c r="B4" t="s">
        <v>655</v>
      </c>
      <c r="C4" t="s">
        <v>653</v>
      </c>
      <c r="D4" t="s">
        <v>659</v>
      </c>
      <c r="E4" t="s">
        <v>657</v>
      </c>
      <c r="F4" t="s">
        <v>656</v>
      </c>
      <c r="G4" t="s">
        <v>654</v>
      </c>
      <c r="H4" t="s">
        <v>652</v>
      </c>
      <c r="I4" t="s">
        <v>650</v>
      </c>
      <c r="J4" t="s">
        <v>651</v>
      </c>
      <c r="K4" t="s">
        <v>661</v>
      </c>
      <c r="L4" t="s">
        <v>658</v>
      </c>
      <c r="M4" t="s">
        <v>660</v>
      </c>
      <c r="N4" t="s">
        <v>1438</v>
      </c>
    </row>
    <row r="5" spans="1:14" x14ac:dyDescent="0.3">
      <c r="A5" s="16">
        <v>0</v>
      </c>
      <c r="B5" s="8">
        <v>26695.838159999996</v>
      </c>
      <c r="C5" s="8">
        <v>4141.7599999999993</v>
      </c>
      <c r="D5" s="8">
        <v>11406.96</v>
      </c>
      <c r="E5" s="8">
        <v>9847.2358600000007</v>
      </c>
      <c r="F5" s="8">
        <v>99559.246459999995</v>
      </c>
      <c r="G5" s="8">
        <v>48804.159249999997</v>
      </c>
      <c r="H5" s="8">
        <v>31024.83872</v>
      </c>
      <c r="I5" s="8">
        <v>47962.717579999997</v>
      </c>
      <c r="J5" s="8">
        <v>5422.2875999999997</v>
      </c>
      <c r="K5" s="8">
        <v>3116.21</v>
      </c>
      <c r="L5" s="8">
        <v>27965.366600000001</v>
      </c>
      <c r="M5" s="8">
        <v>47908.667860000001</v>
      </c>
      <c r="N5" s="8">
        <v>363855.28808999999</v>
      </c>
    </row>
    <row r="6" spans="1:14" x14ac:dyDescent="0.3">
      <c r="A6" s="16">
        <v>1</v>
      </c>
      <c r="B6" s="8">
        <v>24523.006720000001</v>
      </c>
      <c r="C6" s="8">
        <v>26150.364320000001</v>
      </c>
      <c r="D6" s="8">
        <v>24306.483179999999</v>
      </c>
      <c r="E6" s="8">
        <v>39546.774539999999</v>
      </c>
      <c r="F6" s="8">
        <v>63596.314609999994</v>
      </c>
      <c r="G6" s="8">
        <v>6631.6443100000006</v>
      </c>
      <c r="H6" s="8">
        <v>21196.913249999998</v>
      </c>
      <c r="I6" s="8">
        <v>10561.881820000001</v>
      </c>
      <c r="J6" s="8"/>
      <c r="K6" s="8">
        <v>86597.081299999991</v>
      </c>
      <c r="L6" s="8">
        <v>4132.0325200000007</v>
      </c>
      <c r="M6" s="8">
        <v>51865.197319999999</v>
      </c>
      <c r="N6" s="8">
        <v>359107.69388999994</v>
      </c>
    </row>
    <row r="7" spans="1:14" x14ac:dyDescent="0.3">
      <c r="A7" s="16">
        <v>2</v>
      </c>
      <c r="B7" s="8">
        <v>12248.675999999999</v>
      </c>
      <c r="C7" s="8">
        <v>17453.3436</v>
      </c>
      <c r="D7" s="8"/>
      <c r="E7" s="8">
        <v>9022.35</v>
      </c>
      <c r="F7" s="8">
        <v>104633.05091000001</v>
      </c>
      <c r="G7" s="8">
        <v>32506.559399999998</v>
      </c>
      <c r="H7" s="8">
        <v>9062.34692</v>
      </c>
      <c r="I7" s="8">
        <v>67069.606889999995</v>
      </c>
      <c r="J7" s="8">
        <v>32280.32474</v>
      </c>
      <c r="K7" s="8">
        <v>29618.551199999998</v>
      </c>
      <c r="L7" s="8">
        <v>64680.119419999988</v>
      </c>
      <c r="M7" s="8"/>
      <c r="N7" s="8">
        <v>378574.92907999997</v>
      </c>
    </row>
    <row r="8" spans="1:14" x14ac:dyDescent="0.3">
      <c r="A8" s="16">
        <v>3</v>
      </c>
      <c r="B8" s="8">
        <v>27194.152039999997</v>
      </c>
      <c r="C8" s="8">
        <v>15618.84504</v>
      </c>
      <c r="D8" s="8">
        <v>51137.289359999995</v>
      </c>
      <c r="E8" s="8">
        <v>31788.701859999997</v>
      </c>
      <c r="F8" s="8"/>
      <c r="G8" s="8">
        <v>249678.13582</v>
      </c>
      <c r="H8" s="8">
        <v>4603.0824400000001</v>
      </c>
      <c r="I8" s="8">
        <v>18037.27893</v>
      </c>
      <c r="J8" s="8">
        <v>20656.557700000001</v>
      </c>
      <c r="K8" s="8"/>
      <c r="L8" s="8">
        <v>17884.687559999998</v>
      </c>
      <c r="M8" s="8">
        <v>15674.497519999999</v>
      </c>
      <c r="N8" s="8">
        <v>452273.22826999996</v>
      </c>
    </row>
    <row r="9" spans="1:14" x14ac:dyDescent="0.3">
      <c r="A9" s="16">
        <v>4</v>
      </c>
      <c r="B9" s="8">
        <v>46991.747199999998</v>
      </c>
      <c r="C9" s="8"/>
      <c r="D9" s="8">
        <v>27108.71488</v>
      </c>
      <c r="E9" s="8"/>
      <c r="F9" s="8">
        <v>23154.287400000001</v>
      </c>
      <c r="G9" s="8">
        <v>4577.1480000000001</v>
      </c>
      <c r="H9" s="8">
        <v>32142.113530000002</v>
      </c>
      <c r="I9" s="8">
        <v>3799.8031499999997</v>
      </c>
      <c r="J9" s="8">
        <v>22882.675440000003</v>
      </c>
      <c r="K9" s="8">
        <v>15476.94406</v>
      </c>
      <c r="L9" s="8">
        <v>49706.426600000006</v>
      </c>
      <c r="M9" s="8">
        <v>23132.398349999996</v>
      </c>
      <c r="N9" s="8">
        <v>248972.25861000002</v>
      </c>
    </row>
    <row r="10" spans="1:14" x14ac:dyDescent="0.3">
      <c r="A10" s="16">
        <v>5</v>
      </c>
      <c r="B10" s="8">
        <v>93430.735400000005</v>
      </c>
      <c r="C10" s="8">
        <v>46226.11952</v>
      </c>
      <c r="D10" s="8"/>
      <c r="E10" s="8">
        <v>18211.877239999998</v>
      </c>
      <c r="F10" s="8">
        <v>14114.068500000001</v>
      </c>
      <c r="G10" s="8">
        <v>12462.65055</v>
      </c>
      <c r="H10" s="8"/>
      <c r="I10" s="8">
        <v>19581.87</v>
      </c>
      <c r="J10" s="8">
        <v>116202.88449999999</v>
      </c>
      <c r="K10" s="8">
        <v>21572.590500000002</v>
      </c>
      <c r="L10" s="8">
        <v>48616.566040000005</v>
      </c>
      <c r="M10" s="8">
        <v>71887.464219999994</v>
      </c>
      <c r="N10" s="8">
        <v>462306.82646999997</v>
      </c>
    </row>
    <row r="11" spans="1:14" x14ac:dyDescent="0.3">
      <c r="A11" s="16">
        <v>6</v>
      </c>
      <c r="B11" s="8">
        <v>37330.00275</v>
      </c>
      <c r="C11" s="8">
        <v>29536.716</v>
      </c>
      <c r="D11" s="8">
        <v>55186.876579999996</v>
      </c>
      <c r="E11" s="8">
        <v>52945.155879999998</v>
      </c>
      <c r="F11" s="8"/>
      <c r="G11" s="8"/>
      <c r="H11" s="8">
        <v>31130.741829999995</v>
      </c>
      <c r="I11" s="8">
        <v>28133.387999999999</v>
      </c>
      <c r="J11" s="8">
        <v>3021.5016000000001</v>
      </c>
      <c r="K11" s="8">
        <v>56993.802439999999</v>
      </c>
      <c r="L11" s="8">
        <v>8763.2849999999999</v>
      </c>
      <c r="M11" s="8">
        <v>32086.37586</v>
      </c>
      <c r="N11" s="8">
        <v>335127.84593999991</v>
      </c>
    </row>
    <row r="12" spans="1:14" x14ac:dyDescent="0.3">
      <c r="A12" s="16">
        <v>7</v>
      </c>
      <c r="B12" s="8">
        <v>7071.6331400000008</v>
      </c>
      <c r="C12" s="8">
        <v>52625.80416</v>
      </c>
      <c r="D12" s="8">
        <v>8909.8587200000002</v>
      </c>
      <c r="E12" s="8">
        <v>36549.429260000004</v>
      </c>
      <c r="F12" s="8">
        <v>215.19839999999996</v>
      </c>
      <c r="G12" s="8">
        <v>49929.549789999997</v>
      </c>
      <c r="H12" s="8">
        <v>14527.748400000002</v>
      </c>
      <c r="I12" s="8">
        <v>1030.7574</v>
      </c>
      <c r="J12" s="8">
        <v>24833.097520000003</v>
      </c>
      <c r="K12" s="8">
        <v>58520.36963999999</v>
      </c>
      <c r="L12" s="8">
        <v>23038.615559999998</v>
      </c>
      <c r="M12" s="8">
        <v>25299.040000000001</v>
      </c>
      <c r="N12" s="8">
        <v>302551.10199</v>
      </c>
    </row>
    <row r="13" spans="1:14" x14ac:dyDescent="0.3">
      <c r="A13" s="16">
        <v>8</v>
      </c>
      <c r="B13" s="8">
        <v>16213.632800000001</v>
      </c>
      <c r="C13" s="8">
        <v>15530.929919999999</v>
      </c>
      <c r="D13" s="8">
        <v>76336.123390000008</v>
      </c>
      <c r="E13" s="8">
        <v>14877.464000000002</v>
      </c>
      <c r="F13" s="8"/>
      <c r="G13" s="8">
        <v>25897.348050000001</v>
      </c>
      <c r="H13" s="8">
        <v>27905.895680000001</v>
      </c>
      <c r="I13" s="8">
        <v>27249</v>
      </c>
      <c r="J13" s="8">
        <v>10786.32144</v>
      </c>
      <c r="K13" s="8"/>
      <c r="L13" s="8"/>
      <c r="M13" s="8">
        <v>20226.246000000003</v>
      </c>
      <c r="N13" s="8">
        <v>235022.96128000005</v>
      </c>
    </row>
    <row r="14" spans="1:14" x14ac:dyDescent="0.3">
      <c r="A14" s="16">
        <v>9</v>
      </c>
      <c r="B14" s="8">
        <v>24161.26311</v>
      </c>
      <c r="C14" s="8">
        <v>27756.432000000001</v>
      </c>
      <c r="D14" s="8">
        <v>4402.1164799999997</v>
      </c>
      <c r="E14" s="8">
        <v>5159.7893599999998</v>
      </c>
      <c r="F14" s="8"/>
      <c r="G14" s="8">
        <v>48296.2664</v>
      </c>
      <c r="H14" s="8">
        <v>65358.033780000005</v>
      </c>
      <c r="I14" s="8">
        <v>11015.510400000003</v>
      </c>
      <c r="J14" s="8"/>
      <c r="K14" s="8">
        <v>434.45248000000004</v>
      </c>
      <c r="L14" s="8">
        <v>31613.310460000001</v>
      </c>
      <c r="M14" s="8"/>
      <c r="N14" s="8">
        <v>218197.17447000003</v>
      </c>
    </row>
    <row r="15" spans="1:14" x14ac:dyDescent="0.3">
      <c r="A15" s="16">
        <v>10</v>
      </c>
      <c r="B15" s="8">
        <v>61471.696859999996</v>
      </c>
      <c r="C15" s="8"/>
      <c r="D15" s="8"/>
      <c r="E15" s="8">
        <v>22983.34563</v>
      </c>
      <c r="F15" s="8">
        <v>64606.506009999997</v>
      </c>
      <c r="G15" s="8">
        <v>35984.636809999996</v>
      </c>
      <c r="H15" s="8">
        <v>26621.873459999999</v>
      </c>
      <c r="I15" s="8"/>
      <c r="J15" s="8"/>
      <c r="K15" s="8">
        <v>12954.358080000002</v>
      </c>
      <c r="L15" s="8"/>
      <c r="M15" s="8"/>
      <c r="N15" s="8">
        <v>224622.41684999998</v>
      </c>
    </row>
    <row r="16" spans="1:14" x14ac:dyDescent="0.3">
      <c r="A16" s="16">
        <v>11</v>
      </c>
      <c r="B16" s="8">
        <v>8567.3924999999999</v>
      </c>
      <c r="C16" s="8">
        <v>14466.95104</v>
      </c>
      <c r="D16" s="8">
        <v>23668.560000000001</v>
      </c>
      <c r="E16" s="8">
        <v>28412.100360000004</v>
      </c>
      <c r="F16" s="8">
        <v>25014.766199999998</v>
      </c>
      <c r="G16" s="8">
        <v>33792.866320000001</v>
      </c>
      <c r="H16" s="8">
        <v>15253.069799999999</v>
      </c>
      <c r="I16" s="8">
        <v>16061.972879999999</v>
      </c>
      <c r="J16" s="8">
        <v>27158.894079999998</v>
      </c>
      <c r="K16" s="8">
        <v>79406.784939999983</v>
      </c>
      <c r="L16" s="8">
        <v>23195.01828</v>
      </c>
      <c r="M16" s="8">
        <v>12130.904400000001</v>
      </c>
      <c r="N16" s="8">
        <v>307129.28080000001</v>
      </c>
    </row>
    <row r="17" spans="1:14" x14ac:dyDescent="0.3">
      <c r="A17" s="16">
        <v>12</v>
      </c>
      <c r="B17" s="8">
        <v>39239.197899999999</v>
      </c>
      <c r="C17" s="8">
        <v>19139.594240000002</v>
      </c>
      <c r="D17" s="8">
        <v>19542.975350000001</v>
      </c>
      <c r="E17" s="8">
        <v>36467.166100000002</v>
      </c>
      <c r="F17" s="8">
        <v>16328.076349999999</v>
      </c>
      <c r="G17" s="8">
        <v>24305.882859999998</v>
      </c>
      <c r="H17" s="8"/>
      <c r="I17" s="8">
        <v>66852.128960000002</v>
      </c>
      <c r="J17" s="8"/>
      <c r="K17" s="8">
        <v>54214.972160000005</v>
      </c>
      <c r="L17" s="8">
        <v>4229.4321199999995</v>
      </c>
      <c r="M17" s="8">
        <v>24439.103279999999</v>
      </c>
      <c r="N17" s="8">
        <v>304758.52932000003</v>
      </c>
    </row>
    <row r="18" spans="1:14" x14ac:dyDescent="0.3">
      <c r="A18" s="16">
        <v>13</v>
      </c>
      <c r="B18" s="8">
        <v>110.14919999999999</v>
      </c>
      <c r="C18" s="8">
        <v>9774.3888000000006</v>
      </c>
      <c r="D18" s="8">
        <v>105288.56134</v>
      </c>
      <c r="E18" s="8">
        <v>13450.74</v>
      </c>
      <c r="F18" s="8">
        <v>33660.62169</v>
      </c>
      <c r="G18" s="8">
        <v>12668.50728</v>
      </c>
      <c r="H18" s="8"/>
      <c r="I18" s="8">
        <v>4866.3287999999993</v>
      </c>
      <c r="J18" s="8">
        <v>28041.02492</v>
      </c>
      <c r="K18" s="8">
        <v>4826.5396199999996</v>
      </c>
      <c r="L18" s="8">
        <v>33938.142760000002</v>
      </c>
      <c r="M18" s="8">
        <v>59638.251029999999</v>
      </c>
      <c r="N18" s="8">
        <v>306263.25543999998</v>
      </c>
    </row>
    <row r="19" spans="1:14" x14ac:dyDescent="0.3">
      <c r="A19" s="16">
        <v>14</v>
      </c>
      <c r="B19" s="8">
        <v>57491.062559999998</v>
      </c>
      <c r="C19" s="8">
        <v>21931.50405</v>
      </c>
      <c r="D19" s="8">
        <v>14197.064400000001</v>
      </c>
      <c r="E19" s="8">
        <v>61324.275860000009</v>
      </c>
      <c r="F19" s="8">
        <v>47953.246319999998</v>
      </c>
      <c r="G19" s="8"/>
      <c r="H19" s="8">
        <v>14287.896349999999</v>
      </c>
      <c r="I19" s="8">
        <v>8326.6852500000005</v>
      </c>
      <c r="J19" s="8">
        <v>32335.21802</v>
      </c>
      <c r="K19" s="8"/>
      <c r="L19" s="8">
        <v>13218.5</v>
      </c>
      <c r="M19" s="8">
        <v>83439.187559999991</v>
      </c>
      <c r="N19" s="8">
        <v>354504.64037000004</v>
      </c>
    </row>
    <row r="20" spans="1:14" x14ac:dyDescent="0.3">
      <c r="A20" s="16">
        <v>15</v>
      </c>
      <c r="B20" s="8">
        <v>9469.7678000000014</v>
      </c>
      <c r="C20" s="8"/>
      <c r="D20" s="8"/>
      <c r="E20" s="8">
        <v>24321.57</v>
      </c>
      <c r="F20" s="8">
        <v>33968.989880000001</v>
      </c>
      <c r="G20" s="8">
        <v>35554.10024</v>
      </c>
      <c r="H20" s="8">
        <v>68665.574250000005</v>
      </c>
      <c r="I20" s="8">
        <v>29230.059240000002</v>
      </c>
      <c r="J20" s="8">
        <v>51003.081039999997</v>
      </c>
      <c r="K20" s="8">
        <v>20171.63305</v>
      </c>
      <c r="L20" s="8">
        <v>121707.26436</v>
      </c>
      <c r="M20" s="8"/>
      <c r="N20" s="8">
        <v>394092.03986000002</v>
      </c>
    </row>
    <row r="21" spans="1:14" x14ac:dyDescent="0.3">
      <c r="A21" s="16">
        <v>16</v>
      </c>
      <c r="B21" s="8"/>
      <c r="C21" s="8">
        <v>17930.494560000003</v>
      </c>
      <c r="D21" s="8">
        <v>70180.55992</v>
      </c>
      <c r="E21" s="8">
        <v>19313.865040000001</v>
      </c>
      <c r="F21" s="8">
        <v>87491.590140000015</v>
      </c>
      <c r="G21" s="8">
        <v>31513.423040000001</v>
      </c>
      <c r="H21" s="8">
        <v>23449.833500000001</v>
      </c>
      <c r="I21" s="8">
        <v>84556.746840000007</v>
      </c>
      <c r="J21" s="8">
        <v>46428.36</v>
      </c>
      <c r="K21" s="8">
        <v>14032.850879999998</v>
      </c>
      <c r="L21" s="8">
        <v>30151.675319999998</v>
      </c>
      <c r="M21" s="8">
        <v>53872.641179999999</v>
      </c>
      <c r="N21" s="8">
        <v>478922.04041999998</v>
      </c>
    </row>
    <row r="22" spans="1:14" x14ac:dyDescent="0.3">
      <c r="A22" s="16">
        <v>17</v>
      </c>
      <c r="B22" s="8">
        <v>52596.047040000005</v>
      </c>
      <c r="C22" s="8">
        <v>55516.603510000001</v>
      </c>
      <c r="D22" s="8">
        <v>50774.406560000003</v>
      </c>
      <c r="E22" s="8">
        <v>7399.4832000000006</v>
      </c>
      <c r="F22" s="8"/>
      <c r="G22" s="8">
        <v>30229.994880000002</v>
      </c>
      <c r="H22" s="8">
        <v>82602.550499999998</v>
      </c>
      <c r="I22" s="8">
        <v>101032.65689999999</v>
      </c>
      <c r="J22" s="8">
        <v>2719.8567000000003</v>
      </c>
      <c r="K22" s="8">
        <v>39907.476419999999</v>
      </c>
      <c r="L22" s="8">
        <v>35167.7448</v>
      </c>
      <c r="M22" s="8"/>
      <c r="N22" s="8">
        <v>457946.82050999999</v>
      </c>
    </row>
    <row r="23" spans="1:14" x14ac:dyDescent="0.3">
      <c r="A23" s="16">
        <v>18</v>
      </c>
      <c r="B23" s="8">
        <v>41358.420049999993</v>
      </c>
      <c r="C23" s="8">
        <v>79082.507010000001</v>
      </c>
      <c r="D23" s="8"/>
      <c r="E23" s="8">
        <v>20507.94138</v>
      </c>
      <c r="F23" s="8"/>
      <c r="G23" s="8">
        <v>44186.458500000001</v>
      </c>
      <c r="H23" s="8">
        <v>50582.705609999997</v>
      </c>
      <c r="I23" s="8">
        <v>27605.925880000003</v>
      </c>
      <c r="J23" s="8"/>
      <c r="K23" s="8"/>
      <c r="L23" s="8">
        <v>23687.524440000001</v>
      </c>
      <c r="M23" s="8">
        <v>71968.626539999997</v>
      </c>
      <c r="N23" s="8">
        <v>358980.10941000003</v>
      </c>
    </row>
    <row r="24" spans="1:14" x14ac:dyDescent="0.3">
      <c r="A24" s="16">
        <v>19</v>
      </c>
      <c r="B24" s="8">
        <v>85419.017859999993</v>
      </c>
      <c r="C24" s="8">
        <v>7466.3063999999986</v>
      </c>
      <c r="D24" s="8">
        <v>8934.8277600000001</v>
      </c>
      <c r="E24" s="8">
        <v>9189.1634999999987</v>
      </c>
      <c r="F24" s="8">
        <v>47066.843850000005</v>
      </c>
      <c r="G24" s="8">
        <v>20028.787380000002</v>
      </c>
      <c r="H24" s="8">
        <v>29808.424959999997</v>
      </c>
      <c r="I24" s="8">
        <v>52863.98113</v>
      </c>
      <c r="J24" s="8">
        <v>2879.9836</v>
      </c>
      <c r="K24" s="8">
        <v>40303.832219999997</v>
      </c>
      <c r="L24" s="8">
        <v>25249.613219999999</v>
      </c>
      <c r="M24" s="8">
        <v>63145.134920000004</v>
      </c>
      <c r="N24" s="8">
        <v>392355.91679999995</v>
      </c>
    </row>
    <row r="25" spans="1:14" x14ac:dyDescent="0.3">
      <c r="A25" s="16">
        <v>20</v>
      </c>
      <c r="B25" s="8"/>
      <c r="C25" s="8">
        <v>64160.245439999999</v>
      </c>
      <c r="D25" s="8">
        <v>60223.533530000008</v>
      </c>
      <c r="E25" s="8"/>
      <c r="F25" s="8"/>
      <c r="G25" s="8">
        <v>599.53200000000004</v>
      </c>
      <c r="H25" s="8"/>
      <c r="I25" s="8"/>
      <c r="J25" s="8">
        <v>55700.645940000002</v>
      </c>
      <c r="K25" s="8">
        <v>18061.204320000004</v>
      </c>
      <c r="L25" s="8">
        <v>91431.437760000001</v>
      </c>
      <c r="M25" s="8"/>
      <c r="N25" s="8">
        <v>290176.59899000003</v>
      </c>
    </row>
    <row r="26" spans="1:14" x14ac:dyDescent="0.3">
      <c r="A26" s="16">
        <v>21</v>
      </c>
      <c r="B26" s="8">
        <v>11939.431199999999</v>
      </c>
      <c r="C26" s="8"/>
      <c r="D26" s="8">
        <v>20974.101200000001</v>
      </c>
      <c r="E26" s="8">
        <v>66499.004939999984</v>
      </c>
      <c r="F26" s="8">
        <v>12955.824749999998</v>
      </c>
      <c r="G26" s="8">
        <v>80963.246050000002</v>
      </c>
      <c r="H26" s="8">
        <v>18641.222160000001</v>
      </c>
      <c r="I26" s="8">
        <v>55049.58</v>
      </c>
      <c r="J26" s="8">
        <v>44369.070899999999</v>
      </c>
      <c r="K26" s="8"/>
      <c r="L26" s="8">
        <v>44605.988639999996</v>
      </c>
      <c r="M26" s="8">
        <v>16023.123</v>
      </c>
      <c r="N26" s="8">
        <v>372020.59284</v>
      </c>
    </row>
    <row r="27" spans="1:14" x14ac:dyDescent="0.3">
      <c r="A27" s="16">
        <v>22</v>
      </c>
      <c r="B27" s="8"/>
      <c r="C27" s="8">
        <v>60697.470839999994</v>
      </c>
      <c r="D27" s="8">
        <v>4071.8</v>
      </c>
      <c r="E27" s="8">
        <v>48264.827620000004</v>
      </c>
      <c r="F27" s="8">
        <v>5538.3298400000003</v>
      </c>
      <c r="G27" s="8">
        <v>51589.538240000002</v>
      </c>
      <c r="H27" s="8">
        <v>23394.9202</v>
      </c>
      <c r="I27" s="8">
        <v>119943.70428000001</v>
      </c>
      <c r="J27" s="8">
        <v>12967.958640000001</v>
      </c>
      <c r="K27" s="8"/>
      <c r="L27" s="8">
        <v>30519.801539999993</v>
      </c>
      <c r="M27" s="8"/>
      <c r="N27" s="8">
        <v>356988.35120000009</v>
      </c>
    </row>
    <row r="28" spans="1:14" x14ac:dyDescent="0.3">
      <c r="A28" s="16">
        <v>23</v>
      </c>
      <c r="B28" s="8">
        <v>22987.3279</v>
      </c>
      <c r="C28" s="8">
        <v>20713.040080000002</v>
      </c>
      <c r="D28" s="8">
        <v>80623.678139999989</v>
      </c>
      <c r="E28" s="8">
        <v>25948.414799999995</v>
      </c>
      <c r="F28" s="8">
        <v>73330.963799999998</v>
      </c>
      <c r="G28" s="8">
        <v>33308.550000000003</v>
      </c>
      <c r="H28" s="8">
        <v>266.17821999999995</v>
      </c>
      <c r="I28" s="8"/>
      <c r="J28" s="8"/>
      <c r="K28" s="8"/>
      <c r="L28" s="8">
        <v>30799.273800000003</v>
      </c>
      <c r="M28" s="8">
        <v>14568.782480000002</v>
      </c>
      <c r="N28" s="8">
        <v>302546.20922000002</v>
      </c>
    </row>
    <row r="29" spans="1:14" x14ac:dyDescent="0.3">
      <c r="A29" s="16">
        <v>24</v>
      </c>
      <c r="B29" s="8">
        <v>70563.592109999998</v>
      </c>
      <c r="C29" s="8"/>
      <c r="D29" s="8">
        <v>52780.07</v>
      </c>
      <c r="E29" s="8">
        <v>20050.102040000002</v>
      </c>
      <c r="F29" s="8">
        <v>30546.068040000002</v>
      </c>
      <c r="G29" s="8">
        <v>7120.6486400000003</v>
      </c>
      <c r="H29" s="8">
        <v>49818.786760000003</v>
      </c>
      <c r="I29" s="8">
        <v>68469.84792</v>
      </c>
      <c r="J29" s="8">
        <v>2146.5580500000001</v>
      </c>
      <c r="K29" s="8">
        <v>6576.298960000001</v>
      </c>
      <c r="L29" s="8">
        <v>47052.4614</v>
      </c>
      <c r="M29" s="8">
        <v>2117.4834999999998</v>
      </c>
      <c r="N29" s="8">
        <v>357241.91741999995</v>
      </c>
    </row>
    <row r="30" spans="1:14" x14ac:dyDescent="0.3">
      <c r="A30" s="16">
        <v>25</v>
      </c>
      <c r="B30" s="8">
        <v>15158.393100000001</v>
      </c>
      <c r="C30" s="8">
        <v>8128.5187499999993</v>
      </c>
      <c r="D30" s="8"/>
      <c r="E30" s="8">
        <v>12040.64352</v>
      </c>
      <c r="F30" s="8">
        <v>618.19979999999987</v>
      </c>
      <c r="G30" s="8">
        <v>24075.089820000001</v>
      </c>
      <c r="H30" s="8">
        <v>20606.46444</v>
      </c>
      <c r="I30" s="8"/>
      <c r="J30" s="8">
        <v>25958.851379999996</v>
      </c>
      <c r="K30" s="8"/>
      <c r="L30" s="8"/>
      <c r="M30" s="8">
        <v>9984.7160999999978</v>
      </c>
      <c r="N30" s="8">
        <v>116570.87690999999</v>
      </c>
    </row>
    <row r="31" spans="1:14" x14ac:dyDescent="0.3">
      <c r="A31" s="16">
        <v>26</v>
      </c>
      <c r="B31" s="8">
        <v>70019.054340000002</v>
      </c>
      <c r="C31" s="8"/>
      <c r="D31" s="8">
        <v>9378.6258099999995</v>
      </c>
      <c r="E31" s="8">
        <v>21725.844440000001</v>
      </c>
      <c r="F31" s="8">
        <v>16328.358699999999</v>
      </c>
      <c r="G31" s="8">
        <v>4856.35725</v>
      </c>
      <c r="H31" s="8">
        <v>63856.506820000002</v>
      </c>
      <c r="I31" s="8">
        <v>31401.432999999997</v>
      </c>
      <c r="J31" s="8">
        <v>48310.143040000003</v>
      </c>
      <c r="K31" s="8">
        <v>5565.3272500000003</v>
      </c>
      <c r="L31" s="8">
        <v>117895.35054</v>
      </c>
      <c r="M31" s="8">
        <v>2915.4540999999999</v>
      </c>
      <c r="N31" s="8">
        <v>392252.45528999995</v>
      </c>
    </row>
    <row r="32" spans="1:14" x14ac:dyDescent="0.3">
      <c r="A32" s="16">
        <v>27</v>
      </c>
      <c r="B32" s="8">
        <v>67596.422359999997</v>
      </c>
      <c r="C32" s="8">
        <v>7901.5041599999995</v>
      </c>
      <c r="D32" s="8"/>
      <c r="E32" s="8">
        <v>11482.480960000001</v>
      </c>
      <c r="F32" s="8">
        <v>5734.3457399999998</v>
      </c>
      <c r="G32" s="8">
        <v>62421.224639999986</v>
      </c>
      <c r="H32" s="8">
        <v>11984.891250000001</v>
      </c>
      <c r="I32" s="8">
        <v>4569.8508000000002</v>
      </c>
      <c r="J32" s="8">
        <v>40139.874619999995</v>
      </c>
      <c r="K32" s="8">
        <v>1886.9915999999998</v>
      </c>
      <c r="L32" s="8"/>
      <c r="M32" s="8">
        <v>35325.243150000002</v>
      </c>
      <c r="N32" s="8">
        <v>249042.82927999998</v>
      </c>
    </row>
    <row r="33" spans="1:14" x14ac:dyDescent="0.3">
      <c r="A33" s="16">
        <v>28</v>
      </c>
      <c r="B33" s="8"/>
      <c r="C33" s="8">
        <v>76122.593299999993</v>
      </c>
      <c r="D33" s="8">
        <v>9684.8756000000012</v>
      </c>
      <c r="E33" s="8">
        <v>14385.236500000003</v>
      </c>
      <c r="F33" s="8">
        <v>56391.304550000001</v>
      </c>
      <c r="G33" s="8">
        <v>39717.144100000005</v>
      </c>
      <c r="H33" s="8">
        <v>43398.362049999989</v>
      </c>
      <c r="I33" s="8"/>
      <c r="J33" s="8">
        <v>11947.367920000001</v>
      </c>
      <c r="K33" s="8">
        <v>31556.187599999997</v>
      </c>
      <c r="L33" s="8">
        <v>39263.702919999996</v>
      </c>
      <c r="M33" s="8">
        <v>3644.3212800000006</v>
      </c>
      <c r="N33" s="8">
        <v>326111.09581999993</v>
      </c>
    </row>
    <row r="34" spans="1:14" x14ac:dyDescent="0.3">
      <c r="A34" s="16">
        <v>29</v>
      </c>
      <c r="B34" s="8">
        <v>38096.18406</v>
      </c>
      <c r="C34" s="8">
        <v>5335.5655499999993</v>
      </c>
      <c r="D34" s="8">
        <v>70923.210180000009</v>
      </c>
      <c r="E34" s="8">
        <v>8366.02</v>
      </c>
      <c r="F34" s="8">
        <v>10441.90848</v>
      </c>
      <c r="G34" s="8"/>
      <c r="H34" s="8"/>
      <c r="I34" s="8">
        <v>17867.219160000001</v>
      </c>
      <c r="J34" s="8">
        <v>146296.57</v>
      </c>
      <c r="K34" s="8">
        <v>88311.186579999994</v>
      </c>
      <c r="L34" s="8">
        <v>77588.779909999997</v>
      </c>
      <c r="M34" s="8"/>
      <c r="N34" s="8">
        <v>463226.64392</v>
      </c>
    </row>
    <row r="35" spans="1:14" x14ac:dyDescent="0.3">
      <c r="A35" s="16">
        <v>30</v>
      </c>
      <c r="B35" s="8">
        <v>45754.744080000004</v>
      </c>
      <c r="C35" s="8">
        <v>141645.56601000001</v>
      </c>
      <c r="D35" s="8">
        <v>34592.243559999995</v>
      </c>
      <c r="E35" s="8"/>
      <c r="F35" s="8">
        <v>56176.777799999996</v>
      </c>
      <c r="G35" s="8">
        <v>11006.647559999999</v>
      </c>
      <c r="H35" s="8">
        <v>74882.385600000009</v>
      </c>
      <c r="I35" s="8">
        <v>1654.8966000000003</v>
      </c>
      <c r="J35" s="8">
        <v>17847.907199999998</v>
      </c>
      <c r="K35" s="8">
        <v>76636.156479999991</v>
      </c>
      <c r="L35" s="8">
        <v>38415.602769999998</v>
      </c>
      <c r="M35" s="8">
        <v>16609.090809999998</v>
      </c>
      <c r="N35" s="8">
        <v>515222.01847000007</v>
      </c>
    </row>
    <row r="36" spans="1:14" x14ac:dyDescent="0.3">
      <c r="A36" s="16">
        <v>31</v>
      </c>
      <c r="B36" s="8">
        <v>24172.044580000002</v>
      </c>
      <c r="C36" s="8">
        <v>24972.288</v>
      </c>
      <c r="D36" s="8">
        <v>4420.5961799999995</v>
      </c>
      <c r="E36" s="8">
        <v>68199.913</v>
      </c>
      <c r="F36" s="8"/>
      <c r="G36" s="8">
        <v>29627.320319999999</v>
      </c>
      <c r="H36" s="8"/>
      <c r="I36" s="8">
        <v>22570.034399999997</v>
      </c>
      <c r="J36" s="8">
        <v>49501.660319999995</v>
      </c>
      <c r="K36" s="8"/>
      <c r="L36" s="8">
        <v>8764.4065599999994</v>
      </c>
      <c r="M36" s="8">
        <v>10792.637119999999</v>
      </c>
      <c r="N36" s="8">
        <v>243020.90048000001</v>
      </c>
    </row>
    <row r="37" spans="1:14" x14ac:dyDescent="0.3">
      <c r="A37" s="16">
        <v>32</v>
      </c>
      <c r="B37" s="8"/>
      <c r="C37" s="8">
        <v>12597.52224</v>
      </c>
      <c r="D37" s="8"/>
      <c r="E37" s="8"/>
      <c r="F37" s="8"/>
      <c r="G37" s="8"/>
      <c r="H37" s="8"/>
      <c r="I37" s="8"/>
      <c r="J37" s="8"/>
      <c r="K37" s="8">
        <v>13185.543</v>
      </c>
      <c r="L37" s="8"/>
      <c r="M37" s="8"/>
      <c r="N37" s="8">
        <v>25783.06524</v>
      </c>
    </row>
    <row r="38" spans="1:14" x14ac:dyDescent="0.3">
      <c r="A38" s="16" t="s">
        <v>1438</v>
      </c>
      <c r="B38" s="8">
        <v>1037870.6328199999</v>
      </c>
      <c r="C38" s="8">
        <v>882622.97853999969</v>
      </c>
      <c r="D38" s="8">
        <v>899054.11212000018</v>
      </c>
      <c r="E38" s="8">
        <v>758280.91688999999</v>
      </c>
      <c r="F38" s="8">
        <v>929424.88822000008</v>
      </c>
      <c r="G38" s="8">
        <v>1092333.4175000002</v>
      </c>
      <c r="H38" s="8">
        <v>855073.36048000015</v>
      </c>
      <c r="I38" s="8">
        <v>947364.86620999989</v>
      </c>
      <c r="J38" s="8">
        <v>881838.67690999992</v>
      </c>
      <c r="K38" s="8">
        <v>779927.34477999981</v>
      </c>
      <c r="L38" s="8">
        <v>1113282.1309</v>
      </c>
      <c r="M38" s="8">
        <v>768694.58757999982</v>
      </c>
      <c r="N38" s="8">
        <v>10945767.912949998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ABD6-AB39-47CF-A4C2-7E43E07033DC}">
  <dimension ref="A1:K631"/>
  <sheetViews>
    <sheetView workbookViewId="0">
      <selection activeCell="H9" sqref="H9"/>
    </sheetView>
  </sheetViews>
  <sheetFormatPr defaultRowHeight="15" x14ac:dyDescent="0.3"/>
  <cols>
    <col min="1" max="1" width="14" customWidth="1"/>
    <col min="2" max="2" width="10.375" bestFit="1" customWidth="1"/>
    <col min="3" max="3" width="20.375" bestFit="1" customWidth="1"/>
    <col min="4" max="5" width="24.25" style="8" customWidth="1"/>
    <col min="6" max="6" width="11.875" style="18" customWidth="1"/>
    <col min="7" max="7" width="12.75" style="13" customWidth="1"/>
    <col min="10" max="10" width="15.875" customWidth="1"/>
    <col min="11" max="11" width="20" customWidth="1"/>
  </cols>
  <sheetData>
    <row r="1" spans="1:11" ht="16.5" x14ac:dyDescent="0.3">
      <c r="A1" s="15" t="s">
        <v>9</v>
      </c>
      <c r="B1" s="15" t="s">
        <v>10</v>
      </c>
      <c r="C1" t="s">
        <v>1456</v>
      </c>
      <c r="D1" s="23" t="s">
        <v>1458</v>
      </c>
      <c r="E1" s="19" t="s">
        <v>1459</v>
      </c>
      <c r="F1" s="21" t="s">
        <v>1460</v>
      </c>
      <c r="G1" s="13" t="s">
        <v>1461</v>
      </c>
      <c r="J1" s="13"/>
      <c r="K1" s="13"/>
    </row>
    <row r="2" spans="1:11" ht="16.5" x14ac:dyDescent="0.3">
      <c r="A2" t="s">
        <v>733</v>
      </c>
      <c r="B2" t="s">
        <v>1080</v>
      </c>
      <c r="C2" s="8">
        <v>79082.507010000001</v>
      </c>
      <c r="D2" s="8">
        <f>IF(A2=A1, D1+C2, C2)</f>
        <v>79082.507010000001</v>
      </c>
      <c r="E2" s="20">
        <f>SUMIF(A:A, A2, C:C)</f>
        <v>1342046.6256700007</v>
      </c>
      <c r="F2" s="22">
        <f>D2/E2</f>
        <v>5.8926795461013891E-2</v>
      </c>
      <c r="G2" s="13" t="str">
        <f>IF(F2&lt;=0.8, "A", IF(F2&lt;=0.95, "B", "C"))</f>
        <v>A</v>
      </c>
    </row>
    <row r="3" spans="1:11" ht="16.5" x14ac:dyDescent="0.3">
      <c r="A3" t="s">
        <v>733</v>
      </c>
      <c r="B3" t="s">
        <v>1053</v>
      </c>
      <c r="C3" s="8">
        <v>53034.364139999991</v>
      </c>
      <c r="D3" s="8">
        <f>IF(A3=A2, D2+C3, C3)</f>
        <v>132116.87114999999</v>
      </c>
      <c r="E3" s="20">
        <f t="shared" ref="E3:E66" si="0">SUMIF(A:A, A3, C:C)</f>
        <v>1342046.6256700007</v>
      </c>
      <c r="F3" s="22">
        <f t="shared" ref="F3:F66" si="1">D3/E3</f>
        <v>9.8444322740308843E-2</v>
      </c>
      <c r="G3" s="13" t="str">
        <f t="shared" ref="G3:G66" si="2">IF(F3&lt;=0.8, "A", IF(F3&lt;=0.95, "B", "C"))</f>
        <v>A</v>
      </c>
    </row>
    <row r="4" spans="1:11" ht="16.5" x14ac:dyDescent="0.3">
      <c r="A4" t="s">
        <v>733</v>
      </c>
      <c r="B4" t="s">
        <v>1288</v>
      </c>
      <c r="C4" s="8">
        <v>46450.26</v>
      </c>
      <c r="D4" s="8">
        <f t="shared" ref="D4:D67" si="3">IF(A4=A3, D3+C4, C4)</f>
        <v>178567.13115</v>
      </c>
      <c r="E4" s="20">
        <f t="shared" si="0"/>
        <v>1342046.6256700007</v>
      </c>
      <c r="F4" s="22">
        <f t="shared" si="1"/>
        <v>0.1330558325876737</v>
      </c>
      <c r="G4" s="13" t="str">
        <f t="shared" si="2"/>
        <v>A</v>
      </c>
    </row>
    <row r="5" spans="1:11" ht="16.5" x14ac:dyDescent="0.3">
      <c r="A5" t="s">
        <v>733</v>
      </c>
      <c r="B5" t="s">
        <v>1040</v>
      </c>
      <c r="C5" s="8">
        <v>43084.872000000003</v>
      </c>
      <c r="D5" s="8">
        <f t="shared" si="3"/>
        <v>221652.00315</v>
      </c>
      <c r="E5" s="20">
        <f t="shared" si="0"/>
        <v>1342046.6256700007</v>
      </c>
      <c r="F5" s="22">
        <f t="shared" si="1"/>
        <v>0.16515968887395616</v>
      </c>
      <c r="G5" s="13" t="str">
        <f t="shared" si="2"/>
        <v>A</v>
      </c>
    </row>
    <row r="6" spans="1:11" ht="16.5" x14ac:dyDescent="0.3">
      <c r="A6" t="s">
        <v>733</v>
      </c>
      <c r="B6" t="s">
        <v>752</v>
      </c>
      <c r="C6" s="8">
        <v>38096.18406</v>
      </c>
      <c r="D6" s="8">
        <f t="shared" si="3"/>
        <v>259748.18721</v>
      </c>
      <c r="E6" s="20">
        <f t="shared" si="0"/>
        <v>1342046.6256700007</v>
      </c>
      <c r="F6" s="22">
        <f t="shared" si="1"/>
        <v>0.19354632114985112</v>
      </c>
      <c r="G6" s="13" t="str">
        <f t="shared" si="2"/>
        <v>A</v>
      </c>
    </row>
    <row r="7" spans="1:11" ht="16.5" x14ac:dyDescent="0.3">
      <c r="A7" t="s">
        <v>733</v>
      </c>
      <c r="B7" t="s">
        <v>810</v>
      </c>
      <c r="C7" s="8">
        <v>35396.277799999996</v>
      </c>
      <c r="D7" s="8">
        <f t="shared" si="3"/>
        <v>295144.46500999999</v>
      </c>
      <c r="E7" s="20">
        <f t="shared" si="0"/>
        <v>1342046.6256700007</v>
      </c>
      <c r="F7" s="22">
        <f t="shared" si="1"/>
        <v>0.21992117066920283</v>
      </c>
      <c r="G7" s="13" t="str">
        <f t="shared" si="2"/>
        <v>A</v>
      </c>
    </row>
    <row r="8" spans="1:11" ht="16.5" x14ac:dyDescent="0.3">
      <c r="A8" t="s">
        <v>733</v>
      </c>
      <c r="B8" t="s">
        <v>1094</v>
      </c>
      <c r="C8" s="8">
        <v>35167.7448</v>
      </c>
      <c r="D8" s="8">
        <f t="shared" si="3"/>
        <v>330312.20980999997</v>
      </c>
      <c r="E8" s="20">
        <f t="shared" si="0"/>
        <v>1342046.6256700007</v>
      </c>
      <c r="F8" s="22">
        <f t="shared" si="1"/>
        <v>0.24612573325840714</v>
      </c>
      <c r="G8" s="13" t="str">
        <f t="shared" si="2"/>
        <v>A</v>
      </c>
    </row>
    <row r="9" spans="1:11" ht="16.5" x14ac:dyDescent="0.3">
      <c r="A9" t="s">
        <v>733</v>
      </c>
      <c r="B9" t="s">
        <v>831</v>
      </c>
      <c r="C9" s="8">
        <v>34139.159999999996</v>
      </c>
      <c r="D9" s="8">
        <f t="shared" si="3"/>
        <v>364451.36980999995</v>
      </c>
      <c r="E9" s="20">
        <f t="shared" si="0"/>
        <v>1342046.6256700007</v>
      </c>
      <c r="F9" s="22">
        <f t="shared" si="1"/>
        <v>0.27156386584411846</v>
      </c>
      <c r="G9" s="13" t="str">
        <f t="shared" si="2"/>
        <v>A</v>
      </c>
    </row>
    <row r="10" spans="1:11" ht="16.5" x14ac:dyDescent="0.3">
      <c r="A10" t="s">
        <v>733</v>
      </c>
      <c r="B10" t="s">
        <v>811</v>
      </c>
      <c r="C10" s="8">
        <v>33062.236480000007</v>
      </c>
      <c r="D10" s="8">
        <f t="shared" si="3"/>
        <v>397513.60628999997</v>
      </c>
      <c r="E10" s="20">
        <f t="shared" si="0"/>
        <v>1342046.6256700007</v>
      </c>
      <c r="F10" s="22">
        <f t="shared" si="1"/>
        <v>0.29619954976716706</v>
      </c>
      <c r="G10" s="13" t="str">
        <f t="shared" si="2"/>
        <v>A</v>
      </c>
    </row>
    <row r="11" spans="1:11" ht="16.5" x14ac:dyDescent="0.3">
      <c r="A11" t="s">
        <v>733</v>
      </c>
      <c r="B11" t="s">
        <v>876</v>
      </c>
      <c r="C11" s="8">
        <v>32086.37586</v>
      </c>
      <c r="D11" s="8">
        <f t="shared" si="3"/>
        <v>429599.98214999994</v>
      </c>
      <c r="E11" s="20">
        <f t="shared" si="0"/>
        <v>1342046.6256700007</v>
      </c>
      <c r="F11" s="22">
        <f t="shared" si="1"/>
        <v>0.32010809008630925</v>
      </c>
      <c r="G11" s="13" t="str">
        <f t="shared" si="2"/>
        <v>A</v>
      </c>
    </row>
    <row r="12" spans="1:11" ht="16.5" x14ac:dyDescent="0.3">
      <c r="A12" t="s">
        <v>733</v>
      </c>
      <c r="B12" t="s">
        <v>1175</v>
      </c>
      <c r="C12" s="8">
        <v>31513.085009999999</v>
      </c>
      <c r="D12" s="8">
        <f t="shared" si="3"/>
        <v>461113.06715999992</v>
      </c>
      <c r="E12" s="20">
        <f t="shared" si="0"/>
        <v>1342046.6256700007</v>
      </c>
      <c r="F12" s="22">
        <f t="shared" si="1"/>
        <v>0.3435894538535833</v>
      </c>
      <c r="G12" s="13" t="str">
        <f t="shared" si="2"/>
        <v>A</v>
      </c>
    </row>
    <row r="13" spans="1:11" ht="16.5" x14ac:dyDescent="0.3">
      <c r="A13" t="s">
        <v>733</v>
      </c>
      <c r="B13" t="s">
        <v>941</v>
      </c>
      <c r="C13" s="8">
        <v>28386.015839999996</v>
      </c>
      <c r="D13" s="8">
        <f t="shared" si="3"/>
        <v>489499.08299999993</v>
      </c>
      <c r="E13" s="20">
        <f t="shared" si="0"/>
        <v>1342046.6256700007</v>
      </c>
      <c r="F13" s="22">
        <f t="shared" si="1"/>
        <v>0.36474074271124773</v>
      </c>
      <c r="G13" s="13" t="str">
        <f t="shared" si="2"/>
        <v>A</v>
      </c>
    </row>
    <row r="14" spans="1:11" ht="16.5" x14ac:dyDescent="0.3">
      <c r="A14" t="s">
        <v>733</v>
      </c>
      <c r="B14" t="s">
        <v>1074</v>
      </c>
      <c r="C14" s="8">
        <v>27465.647999999997</v>
      </c>
      <c r="D14" s="8">
        <f t="shared" si="3"/>
        <v>516964.73099999991</v>
      </c>
      <c r="E14" s="20">
        <f t="shared" si="0"/>
        <v>1342046.6256700007</v>
      </c>
      <c r="F14" s="22">
        <f t="shared" si="1"/>
        <v>0.38520623733315634</v>
      </c>
      <c r="G14" s="13" t="str">
        <f t="shared" si="2"/>
        <v>A</v>
      </c>
    </row>
    <row r="15" spans="1:11" ht="16.5" x14ac:dyDescent="0.3">
      <c r="A15" t="s">
        <v>733</v>
      </c>
      <c r="B15" t="s">
        <v>1022</v>
      </c>
      <c r="C15" s="8">
        <v>26765.040239999998</v>
      </c>
      <c r="D15" s="8">
        <f t="shared" si="3"/>
        <v>543729.77123999991</v>
      </c>
      <c r="E15" s="20">
        <f t="shared" si="0"/>
        <v>1342046.6256700007</v>
      </c>
      <c r="F15" s="22">
        <f t="shared" si="1"/>
        <v>0.40514968767836168</v>
      </c>
      <c r="G15" s="13" t="str">
        <f t="shared" si="2"/>
        <v>A</v>
      </c>
    </row>
    <row r="16" spans="1:11" ht="16.5" x14ac:dyDescent="0.3">
      <c r="A16" t="s">
        <v>733</v>
      </c>
      <c r="B16" t="s">
        <v>921</v>
      </c>
      <c r="C16" s="8">
        <v>26759.28775</v>
      </c>
      <c r="D16" s="8">
        <f t="shared" si="3"/>
        <v>570489.05898999993</v>
      </c>
      <c r="E16" s="20">
        <f t="shared" si="0"/>
        <v>1342046.6256700007</v>
      </c>
      <c r="F16" s="22">
        <f t="shared" si="1"/>
        <v>0.42508885166727356</v>
      </c>
      <c r="G16" s="13" t="str">
        <f t="shared" si="2"/>
        <v>A</v>
      </c>
    </row>
    <row r="17" spans="1:7" ht="16.5" x14ac:dyDescent="0.3">
      <c r="A17" t="s">
        <v>733</v>
      </c>
      <c r="B17" t="s">
        <v>1086</v>
      </c>
      <c r="C17" s="8">
        <v>26552.60298</v>
      </c>
      <c r="D17" s="8">
        <f t="shared" si="3"/>
        <v>597041.6619699999</v>
      </c>
      <c r="E17" s="20">
        <f t="shared" si="0"/>
        <v>1342046.6256700007</v>
      </c>
      <c r="F17" s="22">
        <f t="shared" si="1"/>
        <v>0.44487400851064618</v>
      </c>
      <c r="G17" s="13" t="str">
        <f t="shared" si="2"/>
        <v>A</v>
      </c>
    </row>
    <row r="18" spans="1:7" ht="16.5" x14ac:dyDescent="0.3">
      <c r="A18" t="s">
        <v>733</v>
      </c>
      <c r="B18" t="s">
        <v>1171</v>
      </c>
      <c r="C18" s="8">
        <v>24278.849280000002</v>
      </c>
      <c r="D18" s="8">
        <f t="shared" si="3"/>
        <v>621320.51124999986</v>
      </c>
      <c r="E18" s="20">
        <f t="shared" si="0"/>
        <v>1342046.6256700007</v>
      </c>
      <c r="F18" s="22">
        <f t="shared" si="1"/>
        <v>0.46296492190784583</v>
      </c>
      <c r="G18" s="13" t="str">
        <f t="shared" si="2"/>
        <v>A</v>
      </c>
    </row>
    <row r="19" spans="1:7" ht="16.5" x14ac:dyDescent="0.3">
      <c r="A19" t="s">
        <v>733</v>
      </c>
      <c r="B19" t="s">
        <v>1142</v>
      </c>
      <c r="C19" s="8">
        <v>23668.560000000001</v>
      </c>
      <c r="D19" s="8">
        <f t="shared" si="3"/>
        <v>644989.07124999992</v>
      </c>
      <c r="E19" s="20">
        <f t="shared" si="0"/>
        <v>1342046.6256700007</v>
      </c>
      <c r="F19" s="22">
        <f t="shared" si="1"/>
        <v>0.4806010900910368</v>
      </c>
      <c r="G19" s="13" t="str">
        <f t="shared" si="2"/>
        <v>A</v>
      </c>
    </row>
    <row r="20" spans="1:7" ht="16.5" x14ac:dyDescent="0.3">
      <c r="A20" t="s">
        <v>733</v>
      </c>
      <c r="B20" t="s">
        <v>1026</v>
      </c>
      <c r="C20" s="8">
        <v>23375.594060000003</v>
      </c>
      <c r="D20" s="8">
        <f t="shared" si="3"/>
        <v>668364.66530999995</v>
      </c>
      <c r="E20" s="20">
        <f t="shared" si="0"/>
        <v>1342046.6256700007</v>
      </c>
      <c r="F20" s="22">
        <f t="shared" si="1"/>
        <v>0.4980189603891943</v>
      </c>
      <c r="G20" s="13" t="str">
        <f t="shared" si="2"/>
        <v>A</v>
      </c>
    </row>
    <row r="21" spans="1:7" ht="16.5" x14ac:dyDescent="0.3">
      <c r="A21" t="s">
        <v>733</v>
      </c>
      <c r="B21" t="s">
        <v>1089</v>
      </c>
      <c r="C21" s="8">
        <v>23195.01828</v>
      </c>
      <c r="D21" s="8">
        <f t="shared" si="3"/>
        <v>691559.68358999991</v>
      </c>
      <c r="E21" s="20">
        <f t="shared" si="0"/>
        <v>1342046.6256700007</v>
      </c>
      <c r="F21" s="22">
        <f t="shared" si="1"/>
        <v>0.51530227814905238</v>
      </c>
      <c r="G21" s="13" t="str">
        <f t="shared" si="2"/>
        <v>A</v>
      </c>
    </row>
    <row r="22" spans="1:7" ht="16.5" x14ac:dyDescent="0.3">
      <c r="A22" t="s">
        <v>733</v>
      </c>
      <c r="B22" t="s">
        <v>1212</v>
      </c>
      <c r="C22" s="8">
        <v>22620.859800000002</v>
      </c>
      <c r="D22" s="8">
        <f t="shared" si="3"/>
        <v>714180.54338999989</v>
      </c>
      <c r="E22" s="20">
        <f t="shared" si="0"/>
        <v>1342046.6256700007</v>
      </c>
      <c r="F22" s="22">
        <f t="shared" si="1"/>
        <v>0.5321577728593847</v>
      </c>
      <c r="G22" s="13" t="str">
        <f t="shared" si="2"/>
        <v>A</v>
      </c>
    </row>
    <row r="23" spans="1:7" ht="16.5" x14ac:dyDescent="0.3">
      <c r="A23" t="s">
        <v>733</v>
      </c>
      <c r="B23" t="s">
        <v>1255</v>
      </c>
      <c r="C23" s="8">
        <v>22526.66</v>
      </c>
      <c r="D23" s="8">
        <f t="shared" si="3"/>
        <v>736707.20338999992</v>
      </c>
      <c r="E23" s="20">
        <f t="shared" si="0"/>
        <v>1342046.6256700007</v>
      </c>
      <c r="F23" s="22">
        <f t="shared" si="1"/>
        <v>0.54894307641674345</v>
      </c>
      <c r="G23" s="13" t="str">
        <f t="shared" si="2"/>
        <v>A</v>
      </c>
    </row>
    <row r="24" spans="1:7" ht="16.5" x14ac:dyDescent="0.3">
      <c r="A24" t="s">
        <v>733</v>
      </c>
      <c r="B24" t="s">
        <v>1270</v>
      </c>
      <c r="C24" s="8">
        <v>20430.771599999996</v>
      </c>
      <c r="D24" s="8">
        <f t="shared" si="3"/>
        <v>757137.9749899999</v>
      </c>
      <c r="E24" s="20">
        <f t="shared" si="0"/>
        <v>1342046.6256700007</v>
      </c>
      <c r="F24" s="22">
        <f t="shared" si="1"/>
        <v>0.56416666940465487</v>
      </c>
      <c r="G24" s="13" t="str">
        <f t="shared" si="2"/>
        <v>A</v>
      </c>
    </row>
    <row r="25" spans="1:7" ht="16.5" x14ac:dyDescent="0.3">
      <c r="A25" t="s">
        <v>733</v>
      </c>
      <c r="B25" t="s">
        <v>1285</v>
      </c>
      <c r="C25" s="8">
        <v>20163.409200000002</v>
      </c>
      <c r="D25" s="8">
        <f t="shared" si="3"/>
        <v>777301.3841899999</v>
      </c>
      <c r="E25" s="20">
        <f t="shared" si="0"/>
        <v>1342046.6256700007</v>
      </c>
      <c r="F25" s="22">
        <f t="shared" si="1"/>
        <v>0.57919104248851372</v>
      </c>
      <c r="G25" s="13" t="str">
        <f t="shared" si="2"/>
        <v>A</v>
      </c>
    </row>
    <row r="26" spans="1:7" ht="16.5" x14ac:dyDescent="0.3">
      <c r="A26" t="s">
        <v>733</v>
      </c>
      <c r="B26" t="s">
        <v>827</v>
      </c>
      <c r="C26" s="8">
        <v>20079.343620000003</v>
      </c>
      <c r="D26" s="8">
        <f t="shared" si="3"/>
        <v>797380.72780999995</v>
      </c>
      <c r="E26" s="20">
        <f t="shared" si="0"/>
        <v>1342046.6256700007</v>
      </c>
      <c r="F26" s="22">
        <f t="shared" si="1"/>
        <v>0.59415277573677228</v>
      </c>
      <c r="G26" s="13" t="str">
        <f t="shared" si="2"/>
        <v>A</v>
      </c>
    </row>
    <row r="27" spans="1:7" ht="16.5" x14ac:dyDescent="0.3">
      <c r="A27" t="s">
        <v>733</v>
      </c>
      <c r="B27" t="s">
        <v>1184</v>
      </c>
      <c r="C27" s="8">
        <v>19628.476999999999</v>
      </c>
      <c r="D27" s="8">
        <f t="shared" si="3"/>
        <v>817009.20480999991</v>
      </c>
      <c r="E27" s="20">
        <f t="shared" si="0"/>
        <v>1342046.6256700007</v>
      </c>
      <c r="F27" s="22">
        <f t="shared" si="1"/>
        <v>0.60877855447244078</v>
      </c>
      <c r="G27" s="13" t="str">
        <f t="shared" si="2"/>
        <v>A</v>
      </c>
    </row>
    <row r="28" spans="1:7" ht="16.5" x14ac:dyDescent="0.3">
      <c r="A28" t="s">
        <v>733</v>
      </c>
      <c r="B28" t="s">
        <v>1024</v>
      </c>
      <c r="C28" s="8">
        <v>19066.045319999997</v>
      </c>
      <c r="D28" s="8">
        <f t="shared" si="3"/>
        <v>836075.25012999994</v>
      </c>
      <c r="E28" s="20">
        <f t="shared" si="0"/>
        <v>1342046.6256700007</v>
      </c>
      <c r="F28" s="22">
        <f t="shared" si="1"/>
        <v>0.62298524815603884</v>
      </c>
      <c r="G28" s="13" t="str">
        <f t="shared" si="2"/>
        <v>A</v>
      </c>
    </row>
    <row r="29" spans="1:7" ht="16.5" x14ac:dyDescent="0.3">
      <c r="A29" t="s">
        <v>733</v>
      </c>
      <c r="B29" t="s">
        <v>995</v>
      </c>
      <c r="C29" s="8">
        <v>17964.4038</v>
      </c>
      <c r="D29" s="8">
        <f t="shared" si="3"/>
        <v>854039.65392999991</v>
      </c>
      <c r="E29" s="20">
        <f t="shared" si="0"/>
        <v>1342046.6256700007</v>
      </c>
      <c r="F29" s="22">
        <f t="shared" si="1"/>
        <v>0.63637107503893975</v>
      </c>
      <c r="G29" s="13" t="str">
        <f t="shared" si="2"/>
        <v>A</v>
      </c>
    </row>
    <row r="30" spans="1:7" ht="16.5" x14ac:dyDescent="0.3">
      <c r="A30" t="s">
        <v>733</v>
      </c>
      <c r="B30" t="s">
        <v>943</v>
      </c>
      <c r="C30" s="8">
        <v>17847.907199999998</v>
      </c>
      <c r="D30" s="8">
        <f t="shared" si="3"/>
        <v>871887.56112999993</v>
      </c>
      <c r="E30" s="20">
        <f t="shared" si="0"/>
        <v>1342046.6256700007</v>
      </c>
      <c r="F30" s="22">
        <f t="shared" si="1"/>
        <v>0.64967009674102827</v>
      </c>
      <c r="G30" s="13" t="str">
        <f t="shared" si="2"/>
        <v>A</v>
      </c>
    </row>
    <row r="31" spans="1:7" ht="16.5" x14ac:dyDescent="0.3">
      <c r="A31" t="s">
        <v>733</v>
      </c>
      <c r="B31" t="s">
        <v>800</v>
      </c>
      <c r="C31" s="8">
        <v>16013.681599999998</v>
      </c>
      <c r="D31" s="8">
        <f t="shared" si="3"/>
        <v>887901.24272999994</v>
      </c>
      <c r="E31" s="20">
        <f t="shared" si="0"/>
        <v>1342046.6256700007</v>
      </c>
      <c r="F31" s="22">
        <f t="shared" si="1"/>
        <v>0.66160238083138567</v>
      </c>
      <c r="G31" s="13" t="str">
        <f t="shared" si="2"/>
        <v>A</v>
      </c>
    </row>
    <row r="32" spans="1:7" ht="16.5" x14ac:dyDescent="0.3">
      <c r="A32" t="s">
        <v>733</v>
      </c>
      <c r="B32" t="s">
        <v>744</v>
      </c>
      <c r="C32" s="8">
        <v>16006.14344</v>
      </c>
      <c r="D32" s="8">
        <f t="shared" si="3"/>
        <v>903907.38616999995</v>
      </c>
      <c r="E32" s="20">
        <f t="shared" si="0"/>
        <v>1342046.6256700007</v>
      </c>
      <c r="F32" s="22">
        <f t="shared" si="1"/>
        <v>0.67352904800810109</v>
      </c>
      <c r="G32" s="13" t="str">
        <f t="shared" si="2"/>
        <v>A</v>
      </c>
    </row>
    <row r="33" spans="1:7" ht="16.5" x14ac:dyDescent="0.3">
      <c r="A33" t="s">
        <v>733</v>
      </c>
      <c r="B33" t="s">
        <v>1286</v>
      </c>
      <c r="C33" s="8">
        <v>15860.782080000001</v>
      </c>
      <c r="D33" s="8">
        <f t="shared" si="3"/>
        <v>919768.16824999999</v>
      </c>
      <c r="E33" s="20">
        <f t="shared" si="0"/>
        <v>1342046.6256700007</v>
      </c>
      <c r="F33" s="22">
        <f t="shared" si="1"/>
        <v>0.68534740198822586</v>
      </c>
      <c r="G33" s="13" t="str">
        <f t="shared" si="2"/>
        <v>A</v>
      </c>
    </row>
    <row r="34" spans="1:7" ht="16.5" x14ac:dyDescent="0.3">
      <c r="A34" t="s">
        <v>733</v>
      </c>
      <c r="B34" t="s">
        <v>1279</v>
      </c>
      <c r="C34" s="8">
        <v>15530.929919999999</v>
      </c>
      <c r="D34" s="8">
        <f t="shared" si="3"/>
        <v>935299.09817000001</v>
      </c>
      <c r="E34" s="20">
        <f t="shared" si="0"/>
        <v>1342046.6256700007</v>
      </c>
      <c r="F34" s="22">
        <f t="shared" si="1"/>
        <v>0.69691997303228059</v>
      </c>
      <c r="G34" s="13" t="str">
        <f t="shared" si="2"/>
        <v>A</v>
      </c>
    </row>
    <row r="35" spans="1:7" ht="16.5" x14ac:dyDescent="0.3">
      <c r="A35" t="s">
        <v>733</v>
      </c>
      <c r="B35" t="s">
        <v>784</v>
      </c>
      <c r="C35" s="8">
        <v>14894.903999999999</v>
      </c>
      <c r="D35" s="8">
        <f t="shared" si="3"/>
        <v>950194.00216999999</v>
      </c>
      <c r="E35" s="20">
        <f t="shared" si="0"/>
        <v>1342046.6256700007</v>
      </c>
      <c r="F35" s="22">
        <f t="shared" si="1"/>
        <v>0.7080186217044635</v>
      </c>
      <c r="G35" s="13" t="str">
        <f t="shared" si="2"/>
        <v>A</v>
      </c>
    </row>
    <row r="36" spans="1:7" ht="16.5" x14ac:dyDescent="0.3">
      <c r="A36" t="s">
        <v>733</v>
      </c>
      <c r="B36" t="s">
        <v>1188</v>
      </c>
      <c r="C36" s="8">
        <v>14752.706080000002</v>
      </c>
      <c r="D36" s="8">
        <f t="shared" si="3"/>
        <v>964946.70825000003</v>
      </c>
      <c r="E36" s="20">
        <f t="shared" si="0"/>
        <v>1342046.6256700007</v>
      </c>
      <c r="F36" s="22">
        <f t="shared" si="1"/>
        <v>0.71901131435598364</v>
      </c>
      <c r="G36" s="13" t="str">
        <f t="shared" si="2"/>
        <v>A</v>
      </c>
    </row>
    <row r="37" spans="1:7" ht="16.5" x14ac:dyDescent="0.3">
      <c r="A37" t="s">
        <v>733</v>
      </c>
      <c r="B37" t="s">
        <v>904</v>
      </c>
      <c r="C37" s="8">
        <v>14549.029120000001</v>
      </c>
      <c r="D37" s="8">
        <f t="shared" si="3"/>
        <v>979495.73736999999</v>
      </c>
      <c r="E37" s="20">
        <f t="shared" si="0"/>
        <v>1342046.6256700007</v>
      </c>
      <c r="F37" s="22">
        <f t="shared" si="1"/>
        <v>0.72985224107321789</v>
      </c>
      <c r="G37" s="13" t="str">
        <f t="shared" si="2"/>
        <v>A</v>
      </c>
    </row>
    <row r="38" spans="1:7" ht="16.5" x14ac:dyDescent="0.3">
      <c r="A38" t="s">
        <v>733</v>
      </c>
      <c r="B38" t="s">
        <v>1128</v>
      </c>
      <c r="C38" s="8">
        <v>14431.738420000001</v>
      </c>
      <c r="D38" s="8">
        <f t="shared" si="3"/>
        <v>993927.47578999994</v>
      </c>
      <c r="E38" s="20">
        <f t="shared" si="0"/>
        <v>1342046.6256700007</v>
      </c>
      <c r="F38" s="22">
        <f t="shared" si="1"/>
        <v>0.74060577090143465</v>
      </c>
      <c r="G38" s="13" t="str">
        <f t="shared" si="2"/>
        <v>A</v>
      </c>
    </row>
    <row r="39" spans="1:7" ht="16.5" x14ac:dyDescent="0.3">
      <c r="A39" t="s">
        <v>733</v>
      </c>
      <c r="B39" t="s">
        <v>1338</v>
      </c>
      <c r="C39" s="8">
        <v>13856.52411</v>
      </c>
      <c r="D39" s="8">
        <f t="shared" si="3"/>
        <v>1007783.9998999999</v>
      </c>
      <c r="E39" s="20">
        <f t="shared" si="0"/>
        <v>1342046.6256700007</v>
      </c>
      <c r="F39" s="22">
        <f t="shared" si="1"/>
        <v>0.75093069094888998</v>
      </c>
      <c r="G39" s="13" t="str">
        <f t="shared" si="2"/>
        <v>A</v>
      </c>
    </row>
    <row r="40" spans="1:7" ht="16.5" x14ac:dyDescent="0.3">
      <c r="A40" t="s">
        <v>733</v>
      </c>
      <c r="B40" t="s">
        <v>881</v>
      </c>
      <c r="C40" s="8">
        <v>13321.14</v>
      </c>
      <c r="D40" s="8">
        <f t="shared" si="3"/>
        <v>1021105.1399</v>
      </c>
      <c r="E40" s="20">
        <f t="shared" si="0"/>
        <v>1342046.6256700007</v>
      </c>
      <c r="F40" s="22">
        <f t="shared" si="1"/>
        <v>0.76085667991618811</v>
      </c>
      <c r="G40" s="13" t="str">
        <f t="shared" si="2"/>
        <v>A</v>
      </c>
    </row>
    <row r="41" spans="1:7" ht="16.5" x14ac:dyDescent="0.3">
      <c r="A41" t="s">
        <v>733</v>
      </c>
      <c r="B41" t="s">
        <v>1291</v>
      </c>
      <c r="C41" s="8">
        <v>13108.78584</v>
      </c>
      <c r="D41" s="8">
        <f t="shared" si="3"/>
        <v>1034213.92574</v>
      </c>
      <c r="E41" s="20">
        <f t="shared" si="0"/>
        <v>1342046.6256700007</v>
      </c>
      <c r="F41" s="22">
        <f t="shared" si="1"/>
        <v>0.77062443730200592</v>
      </c>
      <c r="G41" s="13" t="str">
        <f t="shared" si="2"/>
        <v>A</v>
      </c>
    </row>
    <row r="42" spans="1:7" ht="16.5" x14ac:dyDescent="0.3">
      <c r="A42" t="s">
        <v>733</v>
      </c>
      <c r="B42" t="s">
        <v>1033</v>
      </c>
      <c r="C42" s="8">
        <v>12699.28</v>
      </c>
      <c r="D42" s="8">
        <f t="shared" si="3"/>
        <v>1046913.20574</v>
      </c>
      <c r="E42" s="20">
        <f t="shared" si="0"/>
        <v>1342046.6256700007</v>
      </c>
      <c r="F42" s="22">
        <f t="shared" si="1"/>
        <v>0.78008705935782308</v>
      </c>
      <c r="G42" s="13" t="str">
        <f t="shared" si="2"/>
        <v>A</v>
      </c>
    </row>
    <row r="43" spans="1:7" ht="16.5" x14ac:dyDescent="0.3">
      <c r="A43" t="s">
        <v>733</v>
      </c>
      <c r="B43" t="s">
        <v>1321</v>
      </c>
      <c r="C43" s="8">
        <v>12040.64352</v>
      </c>
      <c r="D43" s="8">
        <f t="shared" si="3"/>
        <v>1058953.84926</v>
      </c>
      <c r="E43" s="20">
        <f t="shared" si="0"/>
        <v>1342046.6256700007</v>
      </c>
      <c r="F43" s="22">
        <f t="shared" si="1"/>
        <v>0.78905891122175431</v>
      </c>
      <c r="G43" s="13" t="str">
        <f t="shared" si="2"/>
        <v>A</v>
      </c>
    </row>
    <row r="44" spans="1:7" ht="16.5" x14ac:dyDescent="0.3">
      <c r="A44" t="s">
        <v>733</v>
      </c>
      <c r="B44" t="s">
        <v>1227</v>
      </c>
      <c r="C44" s="8">
        <v>11859.695119999998</v>
      </c>
      <c r="D44" s="8">
        <f t="shared" si="3"/>
        <v>1070813.5443800001</v>
      </c>
      <c r="E44" s="20">
        <f t="shared" si="0"/>
        <v>1342046.6256700007</v>
      </c>
      <c r="F44" s="22">
        <f t="shared" si="1"/>
        <v>0.79789593289682414</v>
      </c>
      <c r="G44" s="13" t="str">
        <f t="shared" si="2"/>
        <v>A</v>
      </c>
    </row>
    <row r="45" spans="1:7" ht="16.5" x14ac:dyDescent="0.3">
      <c r="A45" t="s">
        <v>733</v>
      </c>
      <c r="B45" t="s">
        <v>1046</v>
      </c>
      <c r="C45" s="8">
        <v>11283.400799999999</v>
      </c>
      <c r="D45" s="8">
        <f t="shared" si="3"/>
        <v>1082096.94518</v>
      </c>
      <c r="E45" s="20">
        <f t="shared" si="0"/>
        <v>1342046.6256700007</v>
      </c>
      <c r="F45" s="22">
        <f t="shared" si="1"/>
        <v>0.80630354004263904</v>
      </c>
      <c r="G45" s="13" t="str">
        <f t="shared" si="2"/>
        <v>B</v>
      </c>
    </row>
    <row r="46" spans="1:7" ht="16.5" x14ac:dyDescent="0.3">
      <c r="A46" t="s">
        <v>733</v>
      </c>
      <c r="B46" t="s">
        <v>888</v>
      </c>
      <c r="C46" s="8">
        <v>11015.510400000003</v>
      </c>
      <c r="D46" s="8">
        <f t="shared" si="3"/>
        <v>1093112.4555800001</v>
      </c>
      <c r="E46" s="20">
        <f t="shared" si="0"/>
        <v>1342046.6256700007</v>
      </c>
      <c r="F46" s="22">
        <f t="shared" si="1"/>
        <v>0.81451153385544772</v>
      </c>
      <c r="G46" s="13" t="str">
        <f t="shared" si="2"/>
        <v>B</v>
      </c>
    </row>
    <row r="47" spans="1:7" ht="16.5" x14ac:dyDescent="0.3">
      <c r="A47" t="s">
        <v>733</v>
      </c>
      <c r="B47" t="s">
        <v>756</v>
      </c>
      <c r="C47" s="8">
        <v>10936.992</v>
      </c>
      <c r="D47" s="8">
        <f t="shared" si="3"/>
        <v>1104049.4475800002</v>
      </c>
      <c r="E47" s="20">
        <f t="shared" si="0"/>
        <v>1342046.6256700007</v>
      </c>
      <c r="F47" s="22">
        <f t="shared" si="1"/>
        <v>0.822661021206187</v>
      </c>
      <c r="G47" s="13" t="str">
        <f t="shared" si="2"/>
        <v>B</v>
      </c>
    </row>
    <row r="48" spans="1:7" ht="16.5" x14ac:dyDescent="0.3">
      <c r="A48" t="s">
        <v>733</v>
      </c>
      <c r="B48" t="s">
        <v>1149</v>
      </c>
      <c r="C48" s="8">
        <v>10893.6232</v>
      </c>
      <c r="D48" s="8">
        <f t="shared" si="3"/>
        <v>1114943.0707800002</v>
      </c>
      <c r="E48" s="20">
        <f t="shared" si="0"/>
        <v>1342046.6256700007</v>
      </c>
      <c r="F48" s="22">
        <f t="shared" si="1"/>
        <v>0.83077819313720058</v>
      </c>
      <c r="G48" s="13" t="str">
        <f t="shared" si="2"/>
        <v>B</v>
      </c>
    </row>
    <row r="49" spans="1:7" ht="16.5" x14ac:dyDescent="0.3">
      <c r="A49" t="s">
        <v>733</v>
      </c>
      <c r="B49" t="s">
        <v>1355</v>
      </c>
      <c r="C49" s="8">
        <v>10693.88488</v>
      </c>
      <c r="D49" s="8">
        <f t="shared" si="3"/>
        <v>1125636.9556600002</v>
      </c>
      <c r="E49" s="20">
        <f t="shared" si="0"/>
        <v>1342046.6256700007</v>
      </c>
      <c r="F49" s="22">
        <f t="shared" si="1"/>
        <v>0.83874653393509291</v>
      </c>
      <c r="G49" s="13" t="str">
        <f t="shared" si="2"/>
        <v>B</v>
      </c>
    </row>
    <row r="50" spans="1:7" ht="16.5" x14ac:dyDescent="0.3">
      <c r="A50" t="s">
        <v>733</v>
      </c>
      <c r="B50" t="s">
        <v>804</v>
      </c>
      <c r="C50" s="8">
        <v>10647.727199999999</v>
      </c>
      <c r="D50" s="8">
        <f t="shared" si="3"/>
        <v>1136284.6828600003</v>
      </c>
      <c r="E50" s="20">
        <f t="shared" si="0"/>
        <v>1342046.6256700007</v>
      </c>
      <c r="F50" s="22">
        <f t="shared" si="1"/>
        <v>0.8466804812334473</v>
      </c>
      <c r="G50" s="13" t="str">
        <f t="shared" si="2"/>
        <v>B</v>
      </c>
    </row>
    <row r="51" spans="1:7" ht="16.5" x14ac:dyDescent="0.3">
      <c r="A51" t="s">
        <v>733</v>
      </c>
      <c r="B51" t="s">
        <v>919</v>
      </c>
      <c r="C51" s="8">
        <v>10388.429999999998</v>
      </c>
      <c r="D51" s="8">
        <f t="shared" si="3"/>
        <v>1146673.1128600002</v>
      </c>
      <c r="E51" s="20">
        <f t="shared" si="0"/>
        <v>1342046.6256700007</v>
      </c>
      <c r="F51" s="22">
        <f t="shared" si="1"/>
        <v>0.8544212182550196</v>
      </c>
      <c r="G51" s="13" t="str">
        <f t="shared" si="2"/>
        <v>B</v>
      </c>
    </row>
    <row r="52" spans="1:7" ht="16.5" x14ac:dyDescent="0.3">
      <c r="A52" t="s">
        <v>733</v>
      </c>
      <c r="B52" t="s">
        <v>892</v>
      </c>
      <c r="C52" s="8">
        <v>10382.65884</v>
      </c>
      <c r="D52" s="8">
        <f t="shared" si="3"/>
        <v>1157055.7717000002</v>
      </c>
      <c r="E52" s="20">
        <f t="shared" si="0"/>
        <v>1342046.6256700007</v>
      </c>
      <c r="F52" s="22">
        <f t="shared" si="1"/>
        <v>0.86215765500871022</v>
      </c>
      <c r="G52" s="13" t="str">
        <f t="shared" si="2"/>
        <v>B</v>
      </c>
    </row>
    <row r="53" spans="1:7" ht="16.5" x14ac:dyDescent="0.3">
      <c r="A53" t="s">
        <v>733</v>
      </c>
      <c r="B53" t="s">
        <v>1059</v>
      </c>
      <c r="C53" s="8">
        <v>9829.0483199999999</v>
      </c>
      <c r="D53" s="8">
        <f t="shared" si="3"/>
        <v>1166884.8200200002</v>
      </c>
      <c r="E53" s="20">
        <f t="shared" si="0"/>
        <v>1342046.6256700007</v>
      </c>
      <c r="F53" s="22">
        <f t="shared" si="1"/>
        <v>0.86948157962652528</v>
      </c>
      <c r="G53" s="13" t="str">
        <f t="shared" si="2"/>
        <v>B</v>
      </c>
    </row>
    <row r="54" spans="1:7" ht="16.5" x14ac:dyDescent="0.3">
      <c r="A54" t="s">
        <v>733</v>
      </c>
      <c r="B54" t="s">
        <v>1322</v>
      </c>
      <c r="C54" s="8">
        <v>9022.35</v>
      </c>
      <c r="D54" s="8">
        <f t="shared" si="3"/>
        <v>1175907.1700200003</v>
      </c>
      <c r="E54" s="20">
        <f t="shared" si="0"/>
        <v>1342046.6256700007</v>
      </c>
      <c r="F54" s="22">
        <f t="shared" si="1"/>
        <v>0.8762044086455959</v>
      </c>
      <c r="G54" s="13" t="str">
        <f t="shared" si="2"/>
        <v>B</v>
      </c>
    </row>
    <row r="55" spans="1:7" ht="16.5" x14ac:dyDescent="0.3">
      <c r="A55" t="s">
        <v>733</v>
      </c>
      <c r="B55" t="s">
        <v>1231</v>
      </c>
      <c r="C55" s="8">
        <v>8644.6696000000011</v>
      </c>
      <c r="D55" s="8">
        <f t="shared" si="3"/>
        <v>1184551.8396200002</v>
      </c>
      <c r="E55" s="20">
        <f t="shared" si="0"/>
        <v>1342046.6256700007</v>
      </c>
      <c r="F55" s="22">
        <f t="shared" si="1"/>
        <v>0.88264581644369244</v>
      </c>
      <c r="G55" s="13" t="str">
        <f t="shared" si="2"/>
        <v>B</v>
      </c>
    </row>
    <row r="56" spans="1:7" ht="16.5" x14ac:dyDescent="0.3">
      <c r="A56" t="s">
        <v>733</v>
      </c>
      <c r="B56" t="s">
        <v>759</v>
      </c>
      <c r="C56" s="8">
        <v>8596.2905599999995</v>
      </c>
      <c r="D56" s="8">
        <f t="shared" si="3"/>
        <v>1193148.1301800003</v>
      </c>
      <c r="E56" s="20">
        <f t="shared" si="0"/>
        <v>1342046.6256700007</v>
      </c>
      <c r="F56" s="22">
        <f t="shared" si="1"/>
        <v>0.88905117553895374</v>
      </c>
      <c r="G56" s="13" t="str">
        <f t="shared" si="2"/>
        <v>B</v>
      </c>
    </row>
    <row r="57" spans="1:7" ht="16.5" x14ac:dyDescent="0.3">
      <c r="A57" t="s">
        <v>733</v>
      </c>
      <c r="B57" t="s">
        <v>1326</v>
      </c>
      <c r="C57" s="8">
        <v>8366.02</v>
      </c>
      <c r="D57" s="8">
        <f t="shared" si="3"/>
        <v>1201514.1501800003</v>
      </c>
      <c r="E57" s="20">
        <f t="shared" si="0"/>
        <v>1342046.6256700007</v>
      </c>
      <c r="F57" s="22">
        <f t="shared" si="1"/>
        <v>0.89528495299495192</v>
      </c>
      <c r="G57" s="13" t="str">
        <f t="shared" si="2"/>
        <v>B</v>
      </c>
    </row>
    <row r="58" spans="1:7" ht="16.5" x14ac:dyDescent="0.3">
      <c r="A58" t="s">
        <v>733</v>
      </c>
      <c r="B58" t="s">
        <v>1150</v>
      </c>
      <c r="C58" s="8">
        <v>7969.4615000000003</v>
      </c>
      <c r="D58" s="8">
        <f t="shared" si="3"/>
        <v>1209483.6116800003</v>
      </c>
      <c r="E58" s="20">
        <f t="shared" si="0"/>
        <v>1342046.6256700007</v>
      </c>
      <c r="F58" s="22">
        <f t="shared" si="1"/>
        <v>0.90122324258010045</v>
      </c>
      <c r="G58" s="13" t="str">
        <f t="shared" si="2"/>
        <v>B</v>
      </c>
    </row>
    <row r="59" spans="1:7" ht="16.5" x14ac:dyDescent="0.3">
      <c r="A59" t="s">
        <v>733</v>
      </c>
      <c r="B59" t="s">
        <v>948</v>
      </c>
      <c r="C59" s="8">
        <v>7854.6693599999999</v>
      </c>
      <c r="D59" s="8">
        <f t="shared" si="3"/>
        <v>1217338.2810400003</v>
      </c>
      <c r="E59" s="20">
        <f t="shared" si="0"/>
        <v>1342046.6256700007</v>
      </c>
      <c r="F59" s="22">
        <f t="shared" si="1"/>
        <v>0.90707599702972963</v>
      </c>
      <c r="G59" s="13" t="str">
        <f t="shared" si="2"/>
        <v>B</v>
      </c>
    </row>
    <row r="60" spans="1:7" ht="16.5" x14ac:dyDescent="0.3">
      <c r="A60" t="s">
        <v>733</v>
      </c>
      <c r="B60" t="s">
        <v>916</v>
      </c>
      <c r="C60" s="8">
        <v>7689.4560000000001</v>
      </c>
      <c r="D60" s="8">
        <f t="shared" si="3"/>
        <v>1225027.7370400003</v>
      </c>
      <c r="E60" s="20">
        <f t="shared" si="0"/>
        <v>1342046.6256700007</v>
      </c>
      <c r="F60" s="22">
        <f t="shared" si="1"/>
        <v>0.91280564595020675</v>
      </c>
      <c r="G60" s="13" t="str">
        <f t="shared" si="2"/>
        <v>B</v>
      </c>
    </row>
    <row r="61" spans="1:7" ht="16.5" x14ac:dyDescent="0.3">
      <c r="A61" t="s">
        <v>733</v>
      </c>
      <c r="B61" t="s">
        <v>748</v>
      </c>
      <c r="C61" s="8">
        <v>7578.84</v>
      </c>
      <c r="D61" s="8">
        <f t="shared" si="3"/>
        <v>1232606.5770400004</v>
      </c>
      <c r="E61" s="20">
        <f t="shared" si="0"/>
        <v>1342046.6256700007</v>
      </c>
      <c r="F61" s="22">
        <f t="shared" si="1"/>
        <v>0.91845287150484534</v>
      </c>
      <c r="G61" s="13" t="str">
        <f t="shared" si="2"/>
        <v>B</v>
      </c>
    </row>
    <row r="62" spans="1:7" ht="16.5" x14ac:dyDescent="0.3">
      <c r="A62" t="s">
        <v>733</v>
      </c>
      <c r="B62" t="s">
        <v>993</v>
      </c>
      <c r="C62" s="8">
        <v>7568.9632000000001</v>
      </c>
      <c r="D62" s="8">
        <f t="shared" si="3"/>
        <v>1240175.5402400005</v>
      </c>
      <c r="E62" s="20">
        <f t="shared" si="0"/>
        <v>1342046.6256700007</v>
      </c>
      <c r="F62" s="22">
        <f t="shared" si="1"/>
        <v>0.92409273755362842</v>
      </c>
      <c r="G62" s="13" t="str">
        <f t="shared" si="2"/>
        <v>B</v>
      </c>
    </row>
    <row r="63" spans="1:7" ht="16.5" x14ac:dyDescent="0.3">
      <c r="A63" t="s">
        <v>733</v>
      </c>
      <c r="B63" t="s">
        <v>1225</v>
      </c>
      <c r="C63" s="8">
        <v>7507.4514899999995</v>
      </c>
      <c r="D63" s="8">
        <f t="shared" si="3"/>
        <v>1247682.9917300004</v>
      </c>
      <c r="E63" s="20">
        <f t="shared" si="0"/>
        <v>1342046.6256700007</v>
      </c>
      <c r="F63" s="22">
        <f t="shared" si="1"/>
        <v>0.92968676934537176</v>
      </c>
      <c r="G63" s="13" t="str">
        <f t="shared" si="2"/>
        <v>B</v>
      </c>
    </row>
    <row r="64" spans="1:7" ht="16.5" x14ac:dyDescent="0.3">
      <c r="A64" t="s">
        <v>733</v>
      </c>
      <c r="B64" t="s">
        <v>1027</v>
      </c>
      <c r="C64" s="8">
        <v>7382.1450000000004</v>
      </c>
      <c r="D64" s="8">
        <f t="shared" si="3"/>
        <v>1255065.1367300004</v>
      </c>
      <c r="E64" s="20">
        <f t="shared" si="0"/>
        <v>1342046.6256700007</v>
      </c>
      <c r="F64" s="22">
        <f t="shared" si="1"/>
        <v>0.93518743143772975</v>
      </c>
      <c r="G64" s="13" t="str">
        <f t="shared" si="2"/>
        <v>B</v>
      </c>
    </row>
    <row r="65" spans="1:7" ht="16.5" x14ac:dyDescent="0.3">
      <c r="A65" t="s">
        <v>733</v>
      </c>
      <c r="B65" t="s">
        <v>1004</v>
      </c>
      <c r="C65" s="8">
        <v>7235.2134999999998</v>
      </c>
      <c r="D65" s="8">
        <f t="shared" si="3"/>
        <v>1262300.3502300004</v>
      </c>
      <c r="E65" s="20">
        <f t="shared" si="0"/>
        <v>1342046.6256700007</v>
      </c>
      <c r="F65" s="22">
        <f t="shared" si="1"/>
        <v>0.94057861037414559</v>
      </c>
      <c r="G65" s="13" t="str">
        <f t="shared" si="2"/>
        <v>B</v>
      </c>
    </row>
    <row r="66" spans="1:7" ht="16.5" x14ac:dyDescent="0.3">
      <c r="A66" t="s">
        <v>733</v>
      </c>
      <c r="B66" t="s">
        <v>1066</v>
      </c>
      <c r="C66" s="8">
        <v>7105.3528000000006</v>
      </c>
      <c r="D66" s="8">
        <f t="shared" si="3"/>
        <v>1269405.7030300004</v>
      </c>
      <c r="E66" s="20">
        <f t="shared" si="0"/>
        <v>1342046.6256700007</v>
      </c>
      <c r="F66" s="22">
        <f t="shared" si="1"/>
        <v>0.94587302612997137</v>
      </c>
      <c r="G66" s="13" t="str">
        <f t="shared" si="2"/>
        <v>B</v>
      </c>
    </row>
    <row r="67" spans="1:7" ht="16.5" x14ac:dyDescent="0.3">
      <c r="A67" t="s">
        <v>733</v>
      </c>
      <c r="B67" t="s">
        <v>1310</v>
      </c>
      <c r="C67" s="8">
        <v>6732.4334000000008</v>
      </c>
      <c r="D67" s="8">
        <f t="shared" si="3"/>
        <v>1276138.1364300004</v>
      </c>
      <c r="E67" s="20">
        <f t="shared" ref="E67:E130" si="4">SUMIF(A:A, A67, C:C)</f>
        <v>1342046.6256700007</v>
      </c>
      <c r="F67" s="22">
        <f t="shared" ref="F67:F130" si="5">D67/E67</f>
        <v>0.95088956823158344</v>
      </c>
      <c r="G67" s="13" t="str">
        <f t="shared" ref="G67:G130" si="6">IF(F67&lt;=0.8, "A", IF(F67&lt;=0.95, "B", "C"))</f>
        <v>C</v>
      </c>
    </row>
    <row r="68" spans="1:7" ht="16.5" x14ac:dyDescent="0.3">
      <c r="A68" t="s">
        <v>733</v>
      </c>
      <c r="B68" t="s">
        <v>1011</v>
      </c>
      <c r="C68" s="8">
        <v>6066.54648</v>
      </c>
      <c r="D68" s="8">
        <f t="shared" ref="D68:D131" si="7">IF(A68=A67, D67+C68, C68)</f>
        <v>1282204.6829100004</v>
      </c>
      <c r="E68" s="20">
        <f t="shared" si="4"/>
        <v>1342046.6256700007</v>
      </c>
      <c r="F68" s="22">
        <f t="shared" si="5"/>
        <v>0.95540993761664217</v>
      </c>
      <c r="G68" s="13" t="str">
        <f t="shared" si="6"/>
        <v>C</v>
      </c>
    </row>
    <row r="69" spans="1:7" ht="16.5" x14ac:dyDescent="0.3">
      <c r="A69" t="s">
        <v>733</v>
      </c>
      <c r="B69" t="s">
        <v>837</v>
      </c>
      <c r="C69" s="8">
        <v>5960.3340000000007</v>
      </c>
      <c r="D69" s="8">
        <f t="shared" si="7"/>
        <v>1288165.0169100005</v>
      </c>
      <c r="E69" s="20">
        <f t="shared" si="4"/>
        <v>1342046.6256700007</v>
      </c>
      <c r="F69" s="22">
        <f t="shared" si="5"/>
        <v>0.95985116483333766</v>
      </c>
      <c r="G69" s="13" t="str">
        <f t="shared" si="6"/>
        <v>C</v>
      </c>
    </row>
    <row r="70" spans="1:7" ht="16.5" x14ac:dyDescent="0.3">
      <c r="A70" t="s">
        <v>733</v>
      </c>
      <c r="B70" t="s">
        <v>1067</v>
      </c>
      <c r="C70" s="8">
        <v>5610.0923999999995</v>
      </c>
      <c r="D70" s="8">
        <f t="shared" si="7"/>
        <v>1293775.1093100004</v>
      </c>
      <c r="E70" s="20">
        <f t="shared" si="4"/>
        <v>1342046.6256700007</v>
      </c>
      <c r="F70" s="22">
        <f t="shared" si="5"/>
        <v>0.96403141631841494</v>
      </c>
      <c r="G70" s="13" t="str">
        <f t="shared" si="6"/>
        <v>C</v>
      </c>
    </row>
    <row r="71" spans="1:7" ht="16.5" x14ac:dyDescent="0.3">
      <c r="A71" t="s">
        <v>733</v>
      </c>
      <c r="B71" t="s">
        <v>961</v>
      </c>
      <c r="C71" s="8">
        <v>5533.6230000000005</v>
      </c>
      <c r="D71" s="8">
        <f t="shared" si="7"/>
        <v>1299308.7323100003</v>
      </c>
      <c r="E71" s="20">
        <f t="shared" si="4"/>
        <v>1342046.6256700007</v>
      </c>
      <c r="F71" s="22">
        <f t="shared" si="5"/>
        <v>0.96815468811401095</v>
      </c>
      <c r="G71" s="13" t="str">
        <f t="shared" si="6"/>
        <v>C</v>
      </c>
    </row>
    <row r="72" spans="1:7" ht="16.5" x14ac:dyDescent="0.3">
      <c r="A72" t="s">
        <v>733</v>
      </c>
      <c r="B72" t="s">
        <v>791</v>
      </c>
      <c r="C72" s="8">
        <v>4790.1068000000005</v>
      </c>
      <c r="D72" s="8">
        <f t="shared" si="7"/>
        <v>1304098.8391100003</v>
      </c>
      <c r="E72" s="20">
        <f t="shared" si="4"/>
        <v>1342046.6256700007</v>
      </c>
      <c r="F72" s="22">
        <f t="shared" si="5"/>
        <v>0.97172394324149847</v>
      </c>
      <c r="G72" s="13" t="str">
        <f t="shared" si="6"/>
        <v>C</v>
      </c>
    </row>
    <row r="73" spans="1:7" ht="16.5" x14ac:dyDescent="0.3">
      <c r="A73" t="s">
        <v>733</v>
      </c>
      <c r="B73" t="s">
        <v>1275</v>
      </c>
      <c r="C73" s="8">
        <v>4737.2198399999997</v>
      </c>
      <c r="D73" s="8">
        <f t="shared" si="7"/>
        <v>1308836.0589500002</v>
      </c>
      <c r="E73" s="20">
        <f t="shared" si="4"/>
        <v>1342046.6256700007</v>
      </c>
      <c r="F73" s="22">
        <f t="shared" si="5"/>
        <v>0.9752537906770411</v>
      </c>
      <c r="G73" s="13" t="str">
        <f t="shared" si="6"/>
        <v>C</v>
      </c>
    </row>
    <row r="74" spans="1:7" ht="16.5" x14ac:dyDescent="0.3">
      <c r="A74" t="s">
        <v>733</v>
      </c>
      <c r="B74" t="s">
        <v>1303</v>
      </c>
      <c r="C74" s="8">
        <v>4577.1480000000001</v>
      </c>
      <c r="D74" s="8">
        <f t="shared" si="7"/>
        <v>1313413.2069500003</v>
      </c>
      <c r="E74" s="20">
        <f t="shared" si="4"/>
        <v>1342046.6256700007</v>
      </c>
      <c r="F74" s="22">
        <f t="shared" si="5"/>
        <v>0.97866436368728582</v>
      </c>
      <c r="G74" s="13" t="str">
        <f t="shared" si="6"/>
        <v>C</v>
      </c>
    </row>
    <row r="75" spans="1:7" ht="16.5" x14ac:dyDescent="0.3">
      <c r="A75" t="s">
        <v>733</v>
      </c>
      <c r="B75" t="s">
        <v>793</v>
      </c>
      <c r="C75" s="8">
        <v>4569.8508000000002</v>
      </c>
      <c r="D75" s="8">
        <f t="shared" si="7"/>
        <v>1317983.0577500002</v>
      </c>
      <c r="E75" s="20">
        <f t="shared" si="4"/>
        <v>1342046.6256700007</v>
      </c>
      <c r="F75" s="22">
        <f t="shared" si="5"/>
        <v>0.98206949933055632</v>
      </c>
      <c r="G75" s="13" t="str">
        <f t="shared" si="6"/>
        <v>C</v>
      </c>
    </row>
    <row r="76" spans="1:7" ht="16.5" x14ac:dyDescent="0.3">
      <c r="A76" t="s">
        <v>733</v>
      </c>
      <c r="B76" t="s">
        <v>865</v>
      </c>
      <c r="C76" s="8">
        <v>4417.8334199999999</v>
      </c>
      <c r="D76" s="8">
        <f t="shared" si="7"/>
        <v>1322400.8911700002</v>
      </c>
      <c r="E76" s="20">
        <f t="shared" si="4"/>
        <v>1342046.6256700007</v>
      </c>
      <c r="F76" s="22">
        <f t="shared" si="5"/>
        <v>0.98536136217309689</v>
      </c>
      <c r="G76" s="13" t="str">
        <f t="shared" si="6"/>
        <v>C</v>
      </c>
    </row>
    <row r="77" spans="1:7" ht="16.5" x14ac:dyDescent="0.3">
      <c r="A77" t="s">
        <v>733</v>
      </c>
      <c r="B77" t="s">
        <v>1092</v>
      </c>
      <c r="C77" s="8">
        <v>4071.8</v>
      </c>
      <c r="D77" s="8">
        <f t="shared" si="7"/>
        <v>1326472.6911700002</v>
      </c>
      <c r="E77" s="20">
        <f t="shared" si="4"/>
        <v>1342046.6256700007</v>
      </c>
      <c r="F77" s="22">
        <f t="shared" si="5"/>
        <v>0.98839538492768431</v>
      </c>
      <c r="G77" s="13" t="str">
        <f t="shared" si="6"/>
        <v>C</v>
      </c>
    </row>
    <row r="78" spans="1:7" ht="16.5" x14ac:dyDescent="0.3">
      <c r="A78" t="s">
        <v>733</v>
      </c>
      <c r="B78" t="s">
        <v>1072</v>
      </c>
      <c r="C78" s="8">
        <v>3021.5016000000001</v>
      </c>
      <c r="D78" s="8">
        <f t="shared" si="7"/>
        <v>1329494.1927700003</v>
      </c>
      <c r="E78" s="20">
        <f t="shared" si="4"/>
        <v>1342046.6256700007</v>
      </c>
      <c r="F78" s="22">
        <f t="shared" si="5"/>
        <v>0.99064679821110257</v>
      </c>
      <c r="G78" s="13" t="str">
        <f t="shared" si="6"/>
        <v>C</v>
      </c>
    </row>
    <row r="79" spans="1:7" ht="16.5" x14ac:dyDescent="0.3">
      <c r="A79" t="s">
        <v>733</v>
      </c>
      <c r="B79" t="s">
        <v>1199</v>
      </c>
      <c r="C79" s="8">
        <v>2719.8567000000003</v>
      </c>
      <c r="D79" s="8">
        <f t="shared" si="7"/>
        <v>1332214.0494700002</v>
      </c>
      <c r="E79" s="20">
        <f t="shared" si="4"/>
        <v>1342046.6256700007</v>
      </c>
      <c r="F79" s="22">
        <f t="shared" si="5"/>
        <v>0.9926734466508631</v>
      </c>
      <c r="G79" s="13" t="str">
        <f t="shared" si="6"/>
        <v>C</v>
      </c>
    </row>
    <row r="80" spans="1:7" ht="16.5" x14ac:dyDescent="0.3">
      <c r="A80" t="s">
        <v>733</v>
      </c>
      <c r="B80" t="s">
        <v>847</v>
      </c>
      <c r="C80" s="8">
        <v>2117.4834999999998</v>
      </c>
      <c r="D80" s="8">
        <f t="shared" si="7"/>
        <v>1334331.5329700003</v>
      </c>
      <c r="E80" s="20">
        <f t="shared" si="4"/>
        <v>1342046.6256700007</v>
      </c>
      <c r="F80" s="22">
        <f t="shared" si="5"/>
        <v>0.99425124839001122</v>
      </c>
      <c r="G80" s="13" t="str">
        <f t="shared" si="6"/>
        <v>C</v>
      </c>
    </row>
    <row r="81" spans="1:7" ht="16.5" x14ac:dyDescent="0.3">
      <c r="A81" t="s">
        <v>733</v>
      </c>
      <c r="B81" t="s">
        <v>1223</v>
      </c>
      <c r="C81" s="8">
        <v>1547.3500000000001</v>
      </c>
      <c r="D81" s="8">
        <f t="shared" si="7"/>
        <v>1335878.8829700004</v>
      </c>
      <c r="E81" s="20">
        <f t="shared" si="4"/>
        <v>1342046.6256700007</v>
      </c>
      <c r="F81" s="22">
        <f t="shared" si="5"/>
        <v>0.99540422621537372</v>
      </c>
      <c r="G81" s="13" t="str">
        <f t="shared" si="6"/>
        <v>C</v>
      </c>
    </row>
    <row r="82" spans="1:7" ht="16.5" x14ac:dyDescent="0.3">
      <c r="A82" t="s">
        <v>733</v>
      </c>
      <c r="B82" t="s">
        <v>873</v>
      </c>
      <c r="C82" s="8">
        <v>1446.9507000000001</v>
      </c>
      <c r="D82" s="8">
        <f t="shared" si="7"/>
        <v>1337325.8336700003</v>
      </c>
      <c r="E82" s="20">
        <f t="shared" si="4"/>
        <v>1342046.6256700007</v>
      </c>
      <c r="F82" s="22">
        <f t="shared" si="5"/>
        <v>0.99648239345064216</v>
      </c>
      <c r="G82" s="13" t="str">
        <f t="shared" si="6"/>
        <v>C</v>
      </c>
    </row>
    <row r="83" spans="1:7" ht="16.5" x14ac:dyDescent="0.3">
      <c r="A83" t="s">
        <v>733</v>
      </c>
      <c r="B83" t="s">
        <v>1352</v>
      </c>
      <c r="C83" s="8">
        <v>1030.7574</v>
      </c>
      <c r="D83" s="8">
        <f t="shared" si="7"/>
        <v>1338356.5910700003</v>
      </c>
      <c r="E83" s="20">
        <f t="shared" si="4"/>
        <v>1342046.6256700007</v>
      </c>
      <c r="F83" s="22">
        <f t="shared" si="5"/>
        <v>0.99725044232486471</v>
      </c>
      <c r="G83" s="13" t="str">
        <f t="shared" si="6"/>
        <v>C</v>
      </c>
    </row>
    <row r="84" spans="1:7" ht="16.5" x14ac:dyDescent="0.3">
      <c r="A84" t="s">
        <v>733</v>
      </c>
      <c r="B84" t="s">
        <v>1250</v>
      </c>
      <c r="C84" s="8">
        <v>1010.3759200000001</v>
      </c>
      <c r="D84" s="8">
        <f t="shared" si="7"/>
        <v>1339366.9669900003</v>
      </c>
      <c r="E84" s="20">
        <f t="shared" si="4"/>
        <v>1342046.6256700007</v>
      </c>
      <c r="F84" s="22">
        <f t="shared" si="5"/>
        <v>0.99800330433477857</v>
      </c>
      <c r="G84" s="13" t="str">
        <f t="shared" si="6"/>
        <v>C</v>
      </c>
    </row>
    <row r="85" spans="1:7" ht="16.5" x14ac:dyDescent="0.3">
      <c r="A85" t="s">
        <v>733</v>
      </c>
      <c r="B85" t="s">
        <v>1194</v>
      </c>
      <c r="C85" s="8">
        <v>930.17574000000002</v>
      </c>
      <c r="D85" s="8">
        <f t="shared" si="7"/>
        <v>1340297.1427300004</v>
      </c>
      <c r="E85" s="20">
        <f t="shared" si="4"/>
        <v>1342046.6256700007</v>
      </c>
      <c r="F85" s="22">
        <f t="shared" si="5"/>
        <v>0.99869640673689197</v>
      </c>
      <c r="G85" s="13" t="str">
        <f t="shared" si="6"/>
        <v>C</v>
      </c>
    </row>
    <row r="86" spans="1:7" ht="16.5" x14ac:dyDescent="0.3">
      <c r="A86" t="s">
        <v>733</v>
      </c>
      <c r="B86" t="s">
        <v>955</v>
      </c>
      <c r="C86" s="8">
        <v>908.03700000000003</v>
      </c>
      <c r="D86" s="8">
        <f t="shared" si="7"/>
        <v>1341205.1797300004</v>
      </c>
      <c r="E86" s="20">
        <f t="shared" si="4"/>
        <v>1342046.6256700007</v>
      </c>
      <c r="F86" s="22">
        <f t="shared" si="5"/>
        <v>0.99937301288650815</v>
      </c>
      <c r="G86" s="13" t="str">
        <f t="shared" si="6"/>
        <v>C</v>
      </c>
    </row>
    <row r="87" spans="1:7" ht="16.5" x14ac:dyDescent="0.3">
      <c r="A87" t="s">
        <v>733</v>
      </c>
      <c r="B87" t="s">
        <v>843</v>
      </c>
      <c r="C87" s="8">
        <v>549.80010000000004</v>
      </c>
      <c r="D87" s="8">
        <f t="shared" si="7"/>
        <v>1341754.9798300005</v>
      </c>
      <c r="E87" s="20">
        <f t="shared" si="4"/>
        <v>1342046.6256700007</v>
      </c>
      <c r="F87" s="22">
        <f t="shared" si="5"/>
        <v>0.99978268576186424</v>
      </c>
      <c r="G87" s="13" t="str">
        <f t="shared" si="6"/>
        <v>C</v>
      </c>
    </row>
    <row r="88" spans="1:7" ht="16.5" x14ac:dyDescent="0.3">
      <c r="A88" t="s">
        <v>733</v>
      </c>
      <c r="B88" t="s">
        <v>792</v>
      </c>
      <c r="C88" s="8">
        <v>272.98599999999999</v>
      </c>
      <c r="D88" s="8">
        <f t="shared" si="7"/>
        <v>1342027.9658300006</v>
      </c>
      <c r="E88" s="20">
        <f t="shared" si="4"/>
        <v>1342046.6256700007</v>
      </c>
      <c r="F88" s="22">
        <f t="shared" si="5"/>
        <v>0.9999860959823279</v>
      </c>
      <c r="G88" s="13" t="str">
        <f t="shared" si="6"/>
        <v>C</v>
      </c>
    </row>
    <row r="89" spans="1:7" ht="16.5" x14ac:dyDescent="0.3">
      <c r="A89" t="s">
        <v>733</v>
      </c>
      <c r="B89" t="s">
        <v>914</v>
      </c>
      <c r="C89" s="8">
        <v>18.659839999999999</v>
      </c>
      <c r="D89" s="8">
        <f t="shared" si="7"/>
        <v>1342046.6256700007</v>
      </c>
      <c r="E89" s="20">
        <f t="shared" si="4"/>
        <v>1342046.6256700007</v>
      </c>
      <c r="F89" s="22">
        <f t="shared" si="5"/>
        <v>1</v>
      </c>
      <c r="G89" s="13" t="str">
        <f t="shared" si="6"/>
        <v>C</v>
      </c>
    </row>
    <row r="90" spans="1:7" ht="16.5" x14ac:dyDescent="0.3">
      <c r="A90" t="s">
        <v>727</v>
      </c>
      <c r="B90" t="s">
        <v>971</v>
      </c>
      <c r="C90" s="8">
        <v>139277.83032000001</v>
      </c>
      <c r="D90" s="8">
        <f t="shared" si="7"/>
        <v>139277.83032000001</v>
      </c>
      <c r="E90" s="20">
        <f t="shared" si="4"/>
        <v>1550200.534329999</v>
      </c>
      <c r="F90" s="22">
        <f t="shared" si="5"/>
        <v>8.9845040841891002E-2</v>
      </c>
      <c r="G90" s="13" t="str">
        <f t="shared" si="6"/>
        <v>A</v>
      </c>
    </row>
    <row r="91" spans="1:7" ht="16.5" x14ac:dyDescent="0.3">
      <c r="A91" t="s">
        <v>727</v>
      </c>
      <c r="B91" t="s">
        <v>1198</v>
      </c>
      <c r="C91" s="8">
        <v>84136.119600000005</v>
      </c>
      <c r="D91" s="8">
        <f t="shared" si="7"/>
        <v>223413.94992000001</v>
      </c>
      <c r="E91" s="20">
        <f t="shared" si="4"/>
        <v>1550200.534329999</v>
      </c>
      <c r="F91" s="22">
        <f t="shared" si="5"/>
        <v>0.14411938647444741</v>
      </c>
      <c r="G91" s="13" t="str">
        <f t="shared" si="6"/>
        <v>A</v>
      </c>
    </row>
    <row r="92" spans="1:7" ht="16.5" x14ac:dyDescent="0.3">
      <c r="A92" t="s">
        <v>727</v>
      </c>
      <c r="B92" t="s">
        <v>860</v>
      </c>
      <c r="C92" s="8">
        <v>65111.38614000001</v>
      </c>
      <c r="D92" s="8">
        <f t="shared" si="7"/>
        <v>288525.33606</v>
      </c>
      <c r="E92" s="20">
        <f t="shared" si="4"/>
        <v>1550200.534329999</v>
      </c>
      <c r="F92" s="22">
        <f t="shared" si="5"/>
        <v>0.18612129829041857</v>
      </c>
      <c r="G92" s="13" t="str">
        <f t="shared" si="6"/>
        <v>A</v>
      </c>
    </row>
    <row r="93" spans="1:7" ht="16.5" x14ac:dyDescent="0.3">
      <c r="A93" t="s">
        <v>727</v>
      </c>
      <c r="B93" t="s">
        <v>743</v>
      </c>
      <c r="C93" s="8">
        <v>60928.502359999999</v>
      </c>
      <c r="D93" s="8">
        <f t="shared" si="7"/>
        <v>349453.83841999999</v>
      </c>
      <c r="E93" s="20">
        <f t="shared" si="4"/>
        <v>1550200.534329999</v>
      </c>
      <c r="F93" s="22">
        <f t="shared" si="5"/>
        <v>0.22542492450567689</v>
      </c>
      <c r="G93" s="13" t="str">
        <f t="shared" si="6"/>
        <v>A</v>
      </c>
    </row>
    <row r="94" spans="1:7" ht="16.5" x14ac:dyDescent="0.3">
      <c r="A94" t="s">
        <v>727</v>
      </c>
      <c r="B94" t="s">
        <v>1125</v>
      </c>
      <c r="C94" s="8">
        <v>52361.645000000004</v>
      </c>
      <c r="D94" s="8">
        <f t="shared" si="7"/>
        <v>401815.48342</v>
      </c>
      <c r="E94" s="20">
        <f t="shared" si="4"/>
        <v>1550200.534329999</v>
      </c>
      <c r="F94" s="22">
        <f t="shared" si="5"/>
        <v>0.25920226094726884</v>
      </c>
      <c r="G94" s="13" t="str">
        <f t="shared" si="6"/>
        <v>A</v>
      </c>
    </row>
    <row r="95" spans="1:7" ht="16.5" x14ac:dyDescent="0.3">
      <c r="A95" t="s">
        <v>727</v>
      </c>
      <c r="B95" t="s">
        <v>1245</v>
      </c>
      <c r="C95" s="8">
        <v>50296.415399999998</v>
      </c>
      <c r="D95" s="8">
        <f t="shared" si="7"/>
        <v>452111.89882</v>
      </c>
      <c r="E95" s="20">
        <f t="shared" si="4"/>
        <v>1550200.534329999</v>
      </c>
      <c r="F95" s="22">
        <f t="shared" si="5"/>
        <v>0.29164736355571186</v>
      </c>
      <c r="G95" s="13" t="str">
        <f t="shared" si="6"/>
        <v>A</v>
      </c>
    </row>
    <row r="96" spans="1:7" ht="16.5" x14ac:dyDescent="0.3">
      <c r="A96" t="s">
        <v>727</v>
      </c>
      <c r="B96" t="s">
        <v>1351</v>
      </c>
      <c r="C96" s="8">
        <v>41419.524249999995</v>
      </c>
      <c r="D96" s="8">
        <f t="shared" si="7"/>
        <v>493531.42307000002</v>
      </c>
      <c r="E96" s="20">
        <f t="shared" si="4"/>
        <v>1550200.534329999</v>
      </c>
      <c r="F96" s="22">
        <f t="shared" si="5"/>
        <v>0.31836618046535875</v>
      </c>
      <c r="G96" s="13" t="str">
        <f t="shared" si="6"/>
        <v>A</v>
      </c>
    </row>
    <row r="97" spans="1:7" ht="16.5" x14ac:dyDescent="0.3">
      <c r="A97" t="s">
        <v>727</v>
      </c>
      <c r="B97" t="s">
        <v>1361</v>
      </c>
      <c r="C97" s="8">
        <v>40476.013200000001</v>
      </c>
      <c r="D97" s="8">
        <f t="shared" si="7"/>
        <v>534007.43627000006</v>
      </c>
      <c r="E97" s="20">
        <f t="shared" si="4"/>
        <v>1550200.534329999</v>
      </c>
      <c r="F97" s="22">
        <f t="shared" si="5"/>
        <v>0.3444763593123128</v>
      </c>
      <c r="G97" s="13" t="str">
        <f t="shared" si="6"/>
        <v>A</v>
      </c>
    </row>
    <row r="98" spans="1:7" ht="16.5" x14ac:dyDescent="0.3">
      <c r="A98" t="s">
        <v>727</v>
      </c>
      <c r="B98" t="s">
        <v>794</v>
      </c>
      <c r="C98" s="8">
        <v>33687.501800000005</v>
      </c>
      <c r="D98" s="8">
        <f t="shared" si="7"/>
        <v>567694.93807000003</v>
      </c>
      <c r="E98" s="20">
        <f t="shared" si="4"/>
        <v>1550200.534329999</v>
      </c>
      <c r="F98" s="22">
        <f t="shared" si="5"/>
        <v>0.36620741994219436</v>
      </c>
      <c r="G98" s="13" t="str">
        <f t="shared" si="6"/>
        <v>A</v>
      </c>
    </row>
    <row r="99" spans="1:7" ht="16.5" x14ac:dyDescent="0.3">
      <c r="A99" t="s">
        <v>727</v>
      </c>
      <c r="B99" t="s">
        <v>1247</v>
      </c>
      <c r="C99" s="8">
        <v>33308.550000000003</v>
      </c>
      <c r="D99" s="8">
        <f t="shared" si="7"/>
        <v>601003.48807000008</v>
      </c>
      <c r="E99" s="20">
        <f t="shared" si="4"/>
        <v>1550200.534329999</v>
      </c>
      <c r="F99" s="22">
        <f t="shared" si="5"/>
        <v>0.38769402716646301</v>
      </c>
      <c r="G99" s="13" t="str">
        <f t="shared" si="6"/>
        <v>A</v>
      </c>
    </row>
    <row r="100" spans="1:7" ht="16.5" x14ac:dyDescent="0.3">
      <c r="A100" t="s">
        <v>727</v>
      </c>
      <c r="B100" t="s">
        <v>1238</v>
      </c>
      <c r="C100" s="8">
        <v>32335.21802</v>
      </c>
      <c r="D100" s="8">
        <f t="shared" si="7"/>
        <v>633338.70609000011</v>
      </c>
      <c r="E100" s="20">
        <f t="shared" si="4"/>
        <v>1550200.534329999</v>
      </c>
      <c r="F100" s="22">
        <f t="shared" si="5"/>
        <v>0.4085527595071633</v>
      </c>
      <c r="G100" s="13" t="str">
        <f t="shared" si="6"/>
        <v>A</v>
      </c>
    </row>
    <row r="101" spans="1:7" ht="16.5" x14ac:dyDescent="0.3">
      <c r="A101" t="s">
        <v>727</v>
      </c>
      <c r="B101" t="s">
        <v>795</v>
      </c>
      <c r="C101" s="8">
        <v>27701.570400000001</v>
      </c>
      <c r="D101" s="8">
        <f t="shared" si="7"/>
        <v>661040.27649000008</v>
      </c>
      <c r="E101" s="20">
        <f t="shared" si="4"/>
        <v>1550200.534329999</v>
      </c>
      <c r="F101" s="22">
        <f t="shared" si="5"/>
        <v>0.42642242848645612</v>
      </c>
      <c r="G101" s="13" t="str">
        <f t="shared" si="6"/>
        <v>A</v>
      </c>
    </row>
    <row r="102" spans="1:7" ht="16.5" x14ac:dyDescent="0.3">
      <c r="A102" t="s">
        <v>727</v>
      </c>
      <c r="B102" t="s">
        <v>844</v>
      </c>
      <c r="C102" s="8">
        <v>27676.35</v>
      </c>
      <c r="D102" s="8">
        <f t="shared" si="7"/>
        <v>688716.62649000005</v>
      </c>
      <c r="E102" s="20">
        <f t="shared" si="4"/>
        <v>1550200.534329999</v>
      </c>
      <c r="F102" s="22">
        <f t="shared" si="5"/>
        <v>0.44427582834479235</v>
      </c>
      <c r="G102" s="13" t="str">
        <f t="shared" si="6"/>
        <v>A</v>
      </c>
    </row>
    <row r="103" spans="1:7" ht="16.5" x14ac:dyDescent="0.3">
      <c r="A103" t="s">
        <v>727</v>
      </c>
      <c r="B103" t="s">
        <v>768</v>
      </c>
      <c r="C103" s="8">
        <v>27331.829999999998</v>
      </c>
      <c r="D103" s="8">
        <f t="shared" si="7"/>
        <v>716048.45649000001</v>
      </c>
      <c r="E103" s="20">
        <f t="shared" si="4"/>
        <v>1550200.534329999</v>
      </c>
      <c r="F103" s="22">
        <f t="shared" si="5"/>
        <v>0.46190698598841484</v>
      </c>
      <c r="G103" s="13" t="str">
        <f t="shared" si="6"/>
        <v>A</v>
      </c>
    </row>
    <row r="104" spans="1:7" ht="16.5" x14ac:dyDescent="0.3">
      <c r="A104" t="s">
        <v>727</v>
      </c>
      <c r="B104" t="s">
        <v>1082</v>
      </c>
      <c r="C104" s="8">
        <v>27158.894079999998</v>
      </c>
      <c r="D104" s="8">
        <f t="shared" si="7"/>
        <v>743207.35057000001</v>
      </c>
      <c r="E104" s="20">
        <f t="shared" si="4"/>
        <v>1550200.534329999</v>
      </c>
      <c r="F104" s="22">
        <f t="shared" si="5"/>
        <v>0.47942658650367209</v>
      </c>
      <c r="G104" s="13" t="str">
        <f t="shared" si="6"/>
        <v>A</v>
      </c>
    </row>
    <row r="105" spans="1:7" ht="16.5" x14ac:dyDescent="0.3">
      <c r="A105" t="s">
        <v>727</v>
      </c>
      <c r="B105" t="s">
        <v>1058</v>
      </c>
      <c r="C105" s="8">
        <v>26015.449459999996</v>
      </c>
      <c r="D105" s="8">
        <f t="shared" si="7"/>
        <v>769222.80003000004</v>
      </c>
      <c r="E105" s="20">
        <f t="shared" si="4"/>
        <v>1550200.534329999</v>
      </c>
      <c r="F105" s="22">
        <f t="shared" si="5"/>
        <v>0.49620857624233777</v>
      </c>
      <c r="G105" s="13" t="str">
        <f t="shared" si="6"/>
        <v>A</v>
      </c>
    </row>
    <row r="106" spans="1:7" ht="16.5" x14ac:dyDescent="0.3">
      <c r="A106" t="s">
        <v>727</v>
      </c>
      <c r="B106" t="s">
        <v>1034</v>
      </c>
      <c r="C106" s="8">
        <v>25577.274079999999</v>
      </c>
      <c r="D106" s="8">
        <f t="shared" si="7"/>
        <v>794800.07411000005</v>
      </c>
      <c r="E106" s="20">
        <f t="shared" si="4"/>
        <v>1550200.534329999</v>
      </c>
      <c r="F106" s="22">
        <f t="shared" si="5"/>
        <v>0.51270790875679506</v>
      </c>
      <c r="G106" s="13" t="str">
        <f t="shared" si="6"/>
        <v>A</v>
      </c>
    </row>
    <row r="107" spans="1:7" ht="16.5" x14ac:dyDescent="0.3">
      <c r="A107" t="s">
        <v>727</v>
      </c>
      <c r="B107" t="s">
        <v>1201</v>
      </c>
      <c r="C107" s="8">
        <v>25269.09</v>
      </c>
      <c r="D107" s="8">
        <f t="shared" si="7"/>
        <v>820069.16411000001</v>
      </c>
      <c r="E107" s="20">
        <f t="shared" si="4"/>
        <v>1550200.534329999</v>
      </c>
      <c r="F107" s="22">
        <f t="shared" si="5"/>
        <v>0.52900843855303936</v>
      </c>
      <c r="G107" s="13" t="str">
        <f t="shared" si="6"/>
        <v>A</v>
      </c>
    </row>
    <row r="108" spans="1:7" ht="16.5" x14ac:dyDescent="0.3">
      <c r="A108" t="s">
        <v>727</v>
      </c>
      <c r="B108" t="s">
        <v>1319</v>
      </c>
      <c r="C108" s="8">
        <v>25131.155999999999</v>
      </c>
      <c r="D108" s="8">
        <f t="shared" si="7"/>
        <v>845200.32010999997</v>
      </c>
      <c r="E108" s="20">
        <f t="shared" si="4"/>
        <v>1550200.534329999</v>
      </c>
      <c r="F108" s="22">
        <f t="shared" si="5"/>
        <v>0.54521999018359124</v>
      </c>
      <c r="G108" s="13" t="str">
        <f t="shared" si="6"/>
        <v>A</v>
      </c>
    </row>
    <row r="109" spans="1:7" ht="16.5" x14ac:dyDescent="0.3">
      <c r="A109" t="s">
        <v>727</v>
      </c>
      <c r="B109" t="s">
        <v>758</v>
      </c>
      <c r="C109" s="8">
        <v>24894.430559999997</v>
      </c>
      <c r="D109" s="8">
        <f t="shared" si="7"/>
        <v>870094.75066999998</v>
      </c>
      <c r="E109" s="20">
        <f t="shared" si="4"/>
        <v>1550200.534329999</v>
      </c>
      <c r="F109" s="22">
        <f t="shared" si="5"/>
        <v>0.56127883548050594</v>
      </c>
      <c r="G109" s="13" t="str">
        <f t="shared" si="6"/>
        <v>A</v>
      </c>
    </row>
    <row r="110" spans="1:7" ht="16.5" x14ac:dyDescent="0.3">
      <c r="A110" t="s">
        <v>727</v>
      </c>
      <c r="B110" t="s">
        <v>1192</v>
      </c>
      <c r="C110" s="8">
        <v>24321.57</v>
      </c>
      <c r="D110" s="8">
        <f t="shared" si="7"/>
        <v>894416.32066999993</v>
      </c>
      <c r="E110" s="20">
        <f t="shared" si="4"/>
        <v>1550200.534329999</v>
      </c>
      <c r="F110" s="22">
        <f t="shared" si="5"/>
        <v>0.57696814112928241</v>
      </c>
      <c r="G110" s="13" t="str">
        <f t="shared" si="6"/>
        <v>A</v>
      </c>
    </row>
    <row r="111" spans="1:7" ht="16.5" x14ac:dyDescent="0.3">
      <c r="A111" t="s">
        <v>727</v>
      </c>
      <c r="B111" t="s">
        <v>891</v>
      </c>
      <c r="C111" s="8">
        <v>24147.922500000001</v>
      </c>
      <c r="D111" s="8">
        <f t="shared" si="7"/>
        <v>918564.24316999991</v>
      </c>
      <c r="E111" s="20">
        <f t="shared" si="4"/>
        <v>1550200.534329999</v>
      </c>
      <c r="F111" s="22">
        <f t="shared" si="5"/>
        <v>0.59254543062521003</v>
      </c>
      <c r="G111" s="13" t="str">
        <f t="shared" si="6"/>
        <v>A</v>
      </c>
    </row>
    <row r="112" spans="1:7" ht="16.5" x14ac:dyDescent="0.3">
      <c r="A112" t="s">
        <v>727</v>
      </c>
      <c r="B112" t="s">
        <v>1185</v>
      </c>
      <c r="C112" s="8">
        <v>23694.405119999999</v>
      </c>
      <c r="D112" s="8">
        <f t="shared" si="7"/>
        <v>942258.64828999992</v>
      </c>
      <c r="E112" s="20">
        <f t="shared" si="4"/>
        <v>1550200.534329999</v>
      </c>
      <c r="F112" s="22">
        <f t="shared" si="5"/>
        <v>0.60783016611282925</v>
      </c>
      <c r="G112" s="13" t="str">
        <f t="shared" si="6"/>
        <v>A</v>
      </c>
    </row>
    <row r="113" spans="1:7" ht="16.5" x14ac:dyDescent="0.3">
      <c r="A113" t="s">
        <v>727</v>
      </c>
      <c r="B113" t="s">
        <v>994</v>
      </c>
      <c r="C113" s="8">
        <v>22882.675440000003</v>
      </c>
      <c r="D113" s="8">
        <f t="shared" si="7"/>
        <v>965141.32372999995</v>
      </c>
      <c r="E113" s="20">
        <f t="shared" si="4"/>
        <v>1550200.534329999</v>
      </c>
      <c r="F113" s="22">
        <f t="shared" si="5"/>
        <v>0.6225912727782259</v>
      </c>
      <c r="G113" s="13" t="str">
        <f t="shared" si="6"/>
        <v>A</v>
      </c>
    </row>
    <row r="114" spans="1:7" ht="16.5" x14ac:dyDescent="0.3">
      <c r="A114" t="s">
        <v>727</v>
      </c>
      <c r="B114" t="s">
        <v>812</v>
      </c>
      <c r="C114" s="8">
        <v>21787.936199999996</v>
      </c>
      <c r="D114" s="8">
        <f t="shared" si="7"/>
        <v>986929.25992999994</v>
      </c>
      <c r="E114" s="20">
        <f t="shared" si="4"/>
        <v>1550200.534329999</v>
      </c>
      <c r="F114" s="22">
        <f t="shared" si="5"/>
        <v>0.63664618742797263</v>
      </c>
      <c r="G114" s="13" t="str">
        <f t="shared" si="6"/>
        <v>A</v>
      </c>
    </row>
    <row r="115" spans="1:7" ht="16.5" x14ac:dyDescent="0.3">
      <c r="A115" t="s">
        <v>727</v>
      </c>
      <c r="B115" t="s">
        <v>1099</v>
      </c>
      <c r="C115" s="8">
        <v>21584.693520000001</v>
      </c>
      <c r="D115" s="8">
        <f t="shared" si="7"/>
        <v>1008513.9534499999</v>
      </c>
      <c r="E115" s="20">
        <f t="shared" si="4"/>
        <v>1550200.534329999</v>
      </c>
      <c r="F115" s="22">
        <f t="shared" si="5"/>
        <v>0.65056999473031563</v>
      </c>
      <c r="G115" s="13" t="str">
        <f t="shared" si="6"/>
        <v>A</v>
      </c>
    </row>
    <row r="116" spans="1:7" ht="16.5" x14ac:dyDescent="0.3">
      <c r="A116" t="s">
        <v>727</v>
      </c>
      <c r="B116" t="s">
        <v>1127</v>
      </c>
      <c r="C116" s="8">
        <v>19800.88896</v>
      </c>
      <c r="D116" s="8">
        <f t="shared" si="7"/>
        <v>1028314.8424099999</v>
      </c>
      <c r="E116" s="20">
        <f t="shared" si="4"/>
        <v>1550200.534329999</v>
      </c>
      <c r="F116" s="22">
        <f t="shared" si="5"/>
        <v>0.66334310925421047</v>
      </c>
      <c r="G116" s="13" t="str">
        <f t="shared" si="6"/>
        <v>A</v>
      </c>
    </row>
    <row r="117" spans="1:7" ht="16.5" x14ac:dyDescent="0.3">
      <c r="A117" t="s">
        <v>727</v>
      </c>
      <c r="B117" t="s">
        <v>990</v>
      </c>
      <c r="C117" s="8">
        <v>19073.059649999999</v>
      </c>
      <c r="D117" s="8">
        <f t="shared" si="7"/>
        <v>1047387.9020599999</v>
      </c>
      <c r="E117" s="20">
        <f t="shared" si="4"/>
        <v>1550200.534329999</v>
      </c>
      <c r="F117" s="22">
        <f t="shared" si="5"/>
        <v>0.67564671722467429</v>
      </c>
      <c r="G117" s="13" t="str">
        <f t="shared" si="6"/>
        <v>A</v>
      </c>
    </row>
    <row r="118" spans="1:7" ht="16.5" x14ac:dyDescent="0.3">
      <c r="A118" t="s">
        <v>727</v>
      </c>
      <c r="B118" t="s">
        <v>770</v>
      </c>
      <c r="C118" s="8">
        <v>18957.37689</v>
      </c>
      <c r="D118" s="8">
        <f t="shared" si="7"/>
        <v>1066345.2789499999</v>
      </c>
      <c r="E118" s="20">
        <f t="shared" si="4"/>
        <v>1550200.534329999</v>
      </c>
      <c r="F118" s="22">
        <f t="shared" si="5"/>
        <v>0.68787570081110661</v>
      </c>
      <c r="G118" s="13" t="str">
        <f t="shared" si="6"/>
        <v>A</v>
      </c>
    </row>
    <row r="119" spans="1:7" ht="16.5" x14ac:dyDescent="0.3">
      <c r="A119" t="s">
        <v>727</v>
      </c>
      <c r="B119" t="s">
        <v>1101</v>
      </c>
      <c r="C119" s="8">
        <v>18554.370299999999</v>
      </c>
      <c r="D119" s="8">
        <f t="shared" si="7"/>
        <v>1084899.64925</v>
      </c>
      <c r="E119" s="20">
        <f t="shared" si="4"/>
        <v>1550200.534329999</v>
      </c>
      <c r="F119" s="22">
        <f t="shared" si="5"/>
        <v>0.69984471378014113</v>
      </c>
      <c r="G119" s="13" t="str">
        <f t="shared" si="6"/>
        <v>A</v>
      </c>
    </row>
    <row r="120" spans="1:7" ht="16.5" x14ac:dyDescent="0.3">
      <c r="A120" t="s">
        <v>727</v>
      </c>
      <c r="B120" t="s">
        <v>944</v>
      </c>
      <c r="C120" s="8">
        <v>18061.204320000004</v>
      </c>
      <c r="D120" s="8">
        <f t="shared" si="7"/>
        <v>1102960.85357</v>
      </c>
      <c r="E120" s="20">
        <f t="shared" si="4"/>
        <v>1550200.534329999</v>
      </c>
      <c r="F120" s="22">
        <f t="shared" si="5"/>
        <v>0.71149559630793369</v>
      </c>
      <c r="G120" s="13" t="str">
        <f t="shared" si="6"/>
        <v>A</v>
      </c>
    </row>
    <row r="121" spans="1:7" ht="16.5" x14ac:dyDescent="0.3">
      <c r="A121" t="s">
        <v>727</v>
      </c>
      <c r="B121" t="s">
        <v>778</v>
      </c>
      <c r="C121" s="8">
        <v>17930.494560000003</v>
      </c>
      <c r="D121" s="8">
        <f t="shared" si="7"/>
        <v>1120891.3481300001</v>
      </c>
      <c r="E121" s="20">
        <f t="shared" si="4"/>
        <v>1550200.534329999</v>
      </c>
      <c r="F121" s="22">
        <f t="shared" si="5"/>
        <v>0.72306216086711161</v>
      </c>
      <c r="G121" s="13" t="str">
        <f t="shared" si="6"/>
        <v>A</v>
      </c>
    </row>
    <row r="122" spans="1:7" ht="16.5" x14ac:dyDescent="0.3">
      <c r="A122" t="s">
        <v>727</v>
      </c>
      <c r="B122" t="s">
        <v>1001</v>
      </c>
      <c r="C122" s="8">
        <v>17594.028880000002</v>
      </c>
      <c r="D122" s="8">
        <f t="shared" si="7"/>
        <v>1138485.3770100002</v>
      </c>
      <c r="E122" s="20">
        <f t="shared" si="4"/>
        <v>1550200.534329999</v>
      </c>
      <c r="F122" s="22">
        <f t="shared" si="5"/>
        <v>0.73441167887486036</v>
      </c>
      <c r="G122" s="13" t="str">
        <f t="shared" si="6"/>
        <v>A</v>
      </c>
    </row>
    <row r="123" spans="1:7" ht="16.5" x14ac:dyDescent="0.3">
      <c r="A123" t="s">
        <v>727</v>
      </c>
      <c r="B123" t="s">
        <v>1298</v>
      </c>
      <c r="C123" s="8">
        <v>17540.201120000002</v>
      </c>
      <c r="D123" s="8">
        <f t="shared" si="7"/>
        <v>1156025.5781300003</v>
      </c>
      <c r="E123" s="20">
        <f t="shared" si="4"/>
        <v>1550200.534329999</v>
      </c>
      <c r="F123" s="22">
        <f t="shared" si="5"/>
        <v>0.74572647378788171</v>
      </c>
      <c r="G123" s="13" t="str">
        <f t="shared" si="6"/>
        <v>A</v>
      </c>
    </row>
    <row r="124" spans="1:7" ht="16.5" x14ac:dyDescent="0.3">
      <c r="A124" t="s">
        <v>727</v>
      </c>
      <c r="B124" t="s">
        <v>1135</v>
      </c>
      <c r="C124" s="8">
        <v>16946.091840000001</v>
      </c>
      <c r="D124" s="8">
        <f t="shared" si="7"/>
        <v>1172971.6699700002</v>
      </c>
      <c r="E124" s="20">
        <f t="shared" si="4"/>
        <v>1550200.534329999</v>
      </c>
      <c r="F124" s="22">
        <f t="shared" si="5"/>
        <v>0.75665802197453236</v>
      </c>
      <c r="G124" s="13" t="str">
        <f t="shared" si="6"/>
        <v>A</v>
      </c>
    </row>
    <row r="125" spans="1:7" ht="16.5" x14ac:dyDescent="0.3">
      <c r="A125" t="s">
        <v>727</v>
      </c>
      <c r="B125" t="s">
        <v>1205</v>
      </c>
      <c r="C125" s="8">
        <v>15374.563199999999</v>
      </c>
      <c r="D125" s="8">
        <f t="shared" si="7"/>
        <v>1188346.2331700001</v>
      </c>
      <c r="E125" s="20">
        <f t="shared" si="4"/>
        <v>1550200.534329999</v>
      </c>
      <c r="F125" s="22">
        <f t="shared" si="5"/>
        <v>0.76657581187301471</v>
      </c>
      <c r="G125" s="13" t="str">
        <f t="shared" si="6"/>
        <v>A</v>
      </c>
    </row>
    <row r="126" spans="1:7" ht="16.5" x14ac:dyDescent="0.3">
      <c r="A126" t="s">
        <v>727</v>
      </c>
      <c r="B126" t="s">
        <v>1111</v>
      </c>
      <c r="C126" s="8">
        <v>15348.702599999999</v>
      </c>
      <c r="D126" s="8">
        <f t="shared" si="7"/>
        <v>1203694.9357700001</v>
      </c>
      <c r="E126" s="20">
        <f t="shared" si="4"/>
        <v>1550200.534329999</v>
      </c>
      <c r="F126" s="22">
        <f t="shared" si="5"/>
        <v>0.77647691967171228</v>
      </c>
      <c r="G126" s="13" t="str">
        <f t="shared" si="6"/>
        <v>A</v>
      </c>
    </row>
    <row r="127" spans="1:7" ht="16.5" x14ac:dyDescent="0.3">
      <c r="A127" t="s">
        <v>727</v>
      </c>
      <c r="B127" t="s">
        <v>968</v>
      </c>
      <c r="C127" s="8">
        <v>14269.848599999999</v>
      </c>
      <c r="D127" s="8">
        <f t="shared" si="7"/>
        <v>1217964.78437</v>
      </c>
      <c r="E127" s="20">
        <f t="shared" si="4"/>
        <v>1550200.534329999</v>
      </c>
      <c r="F127" s="22">
        <f t="shared" si="5"/>
        <v>0.78568208267094153</v>
      </c>
      <c r="G127" s="13" t="str">
        <f t="shared" si="6"/>
        <v>A</v>
      </c>
    </row>
    <row r="128" spans="1:7" ht="16.5" x14ac:dyDescent="0.3">
      <c r="A128" t="s">
        <v>727</v>
      </c>
      <c r="B128" t="s">
        <v>820</v>
      </c>
      <c r="C128" s="8">
        <v>14197.064400000001</v>
      </c>
      <c r="D128" s="8">
        <f t="shared" si="7"/>
        <v>1232161.84877</v>
      </c>
      <c r="E128" s="20">
        <f t="shared" si="4"/>
        <v>1550200.534329999</v>
      </c>
      <c r="F128" s="22">
        <f t="shared" si="5"/>
        <v>0.79484029419622404</v>
      </c>
      <c r="G128" s="13" t="str">
        <f t="shared" si="6"/>
        <v>A</v>
      </c>
    </row>
    <row r="129" spans="1:7" ht="16.5" x14ac:dyDescent="0.3">
      <c r="A129" t="s">
        <v>727</v>
      </c>
      <c r="B129" t="s">
        <v>1358</v>
      </c>
      <c r="C129" s="8">
        <v>13983.752729999998</v>
      </c>
      <c r="D129" s="8">
        <f t="shared" si="7"/>
        <v>1246145.6015000001</v>
      </c>
      <c r="E129" s="20">
        <f t="shared" si="4"/>
        <v>1550200.534329999</v>
      </c>
      <c r="F129" s="22">
        <f t="shared" si="5"/>
        <v>0.80386090309186209</v>
      </c>
      <c r="G129" s="13" t="str">
        <f t="shared" si="6"/>
        <v>B</v>
      </c>
    </row>
    <row r="130" spans="1:7" ht="16.5" x14ac:dyDescent="0.3">
      <c r="A130" t="s">
        <v>727</v>
      </c>
      <c r="B130" t="s">
        <v>954</v>
      </c>
      <c r="C130" s="8">
        <v>13519.529099999998</v>
      </c>
      <c r="D130" s="8">
        <f t="shared" si="7"/>
        <v>1259665.1306</v>
      </c>
      <c r="E130" s="20">
        <f t="shared" si="4"/>
        <v>1550200.534329999</v>
      </c>
      <c r="F130" s="22">
        <f t="shared" si="5"/>
        <v>0.8125820516146518</v>
      </c>
      <c r="G130" s="13" t="str">
        <f t="shared" si="6"/>
        <v>B</v>
      </c>
    </row>
    <row r="131" spans="1:7" ht="16.5" x14ac:dyDescent="0.3">
      <c r="A131" t="s">
        <v>727</v>
      </c>
      <c r="B131" t="s">
        <v>1131</v>
      </c>
      <c r="C131" s="8">
        <v>13185.543</v>
      </c>
      <c r="D131" s="8">
        <f t="shared" si="7"/>
        <v>1272850.6736000001</v>
      </c>
      <c r="E131" s="20">
        <f t="shared" ref="E131:E194" si="8">SUMIF(A:A, A131, C:C)</f>
        <v>1550200.534329999</v>
      </c>
      <c r="F131" s="22">
        <f t="shared" ref="F131:F194" si="9">D131/E131</f>
        <v>0.82108775310810334</v>
      </c>
      <c r="G131" s="13" t="str">
        <f t="shared" ref="G131:G194" si="10">IF(F131&lt;=0.8, "A", IF(F131&lt;=0.95, "B", "C"))</f>
        <v>B</v>
      </c>
    </row>
    <row r="132" spans="1:7" ht="16.5" x14ac:dyDescent="0.3">
      <c r="A132" t="s">
        <v>727</v>
      </c>
      <c r="B132" t="s">
        <v>819</v>
      </c>
      <c r="C132" s="8">
        <v>13146.470699999998</v>
      </c>
      <c r="D132" s="8">
        <f t="shared" ref="D132:D195" si="11">IF(A132=A131, D131+C132, C132)</f>
        <v>1285997.1443</v>
      </c>
      <c r="E132" s="20">
        <f t="shared" si="8"/>
        <v>1550200.534329999</v>
      </c>
      <c r="F132" s="22">
        <f t="shared" si="9"/>
        <v>0.82956824992697575</v>
      </c>
      <c r="G132" s="13" t="str">
        <f t="shared" si="10"/>
        <v>B</v>
      </c>
    </row>
    <row r="133" spans="1:7" ht="16.5" x14ac:dyDescent="0.3">
      <c r="A133" t="s">
        <v>727</v>
      </c>
      <c r="B133" t="s">
        <v>984</v>
      </c>
      <c r="C133" s="8">
        <v>12186.368600000002</v>
      </c>
      <c r="D133" s="8">
        <f t="shared" si="11"/>
        <v>1298183.5129</v>
      </c>
      <c r="E133" s="20">
        <f t="shared" si="8"/>
        <v>1550200.534329999</v>
      </c>
      <c r="F133" s="22">
        <f t="shared" si="9"/>
        <v>0.83742940616458927</v>
      </c>
      <c r="G133" s="13" t="str">
        <f t="shared" si="10"/>
        <v>B</v>
      </c>
    </row>
    <row r="134" spans="1:7" ht="16.5" x14ac:dyDescent="0.3">
      <c r="A134" t="s">
        <v>727</v>
      </c>
      <c r="B134" t="s">
        <v>839</v>
      </c>
      <c r="C134" s="8">
        <v>12080.215199999999</v>
      </c>
      <c r="D134" s="8">
        <f t="shared" si="11"/>
        <v>1310263.7280999999</v>
      </c>
      <c r="E134" s="20">
        <f t="shared" si="8"/>
        <v>1550200.534329999</v>
      </c>
      <c r="F134" s="22">
        <f t="shared" si="9"/>
        <v>0.84522208519706099</v>
      </c>
      <c r="G134" s="13" t="str">
        <f t="shared" si="10"/>
        <v>B</v>
      </c>
    </row>
    <row r="135" spans="1:7" ht="16.5" x14ac:dyDescent="0.3">
      <c r="A135" t="s">
        <v>727</v>
      </c>
      <c r="B135" t="s">
        <v>771</v>
      </c>
      <c r="C135" s="8">
        <v>11995.153920000001</v>
      </c>
      <c r="D135" s="8">
        <f t="shared" si="11"/>
        <v>1322258.8820199999</v>
      </c>
      <c r="E135" s="20">
        <f t="shared" si="8"/>
        <v>1550200.534329999</v>
      </c>
      <c r="F135" s="22">
        <f t="shared" si="9"/>
        <v>0.85295989308343512</v>
      </c>
      <c r="G135" s="13" t="str">
        <f t="shared" si="10"/>
        <v>B</v>
      </c>
    </row>
    <row r="136" spans="1:7" ht="16.5" x14ac:dyDescent="0.3">
      <c r="A136" t="s">
        <v>727</v>
      </c>
      <c r="B136" t="s">
        <v>1323</v>
      </c>
      <c r="C136" s="8">
        <v>11742.8703</v>
      </c>
      <c r="D136" s="8">
        <f t="shared" si="11"/>
        <v>1334001.75232</v>
      </c>
      <c r="E136" s="20">
        <f t="shared" si="8"/>
        <v>1550200.534329999</v>
      </c>
      <c r="F136" s="22">
        <f t="shared" si="9"/>
        <v>0.86053495839914629</v>
      </c>
      <c r="G136" s="13" t="str">
        <f t="shared" si="10"/>
        <v>B</v>
      </c>
    </row>
    <row r="137" spans="1:7" ht="16.5" x14ac:dyDescent="0.3">
      <c r="A137" t="s">
        <v>727</v>
      </c>
      <c r="B137" t="s">
        <v>1023</v>
      </c>
      <c r="C137" s="8">
        <v>10456.416880000001</v>
      </c>
      <c r="D137" s="8">
        <f t="shared" si="11"/>
        <v>1344458.1691999999</v>
      </c>
      <c r="E137" s="20">
        <f t="shared" si="8"/>
        <v>1550200.534329999</v>
      </c>
      <c r="F137" s="22">
        <f t="shared" si="9"/>
        <v>0.8672801611315909</v>
      </c>
      <c r="G137" s="13" t="str">
        <f t="shared" si="10"/>
        <v>B</v>
      </c>
    </row>
    <row r="138" spans="1:7" ht="16.5" x14ac:dyDescent="0.3">
      <c r="A138" t="s">
        <v>727</v>
      </c>
      <c r="B138" t="s">
        <v>764</v>
      </c>
      <c r="C138" s="8">
        <v>9805.8573800000013</v>
      </c>
      <c r="D138" s="8">
        <f t="shared" si="11"/>
        <v>1354264.0265799998</v>
      </c>
      <c r="E138" s="20">
        <f t="shared" si="8"/>
        <v>1550200.534329999</v>
      </c>
      <c r="F138" s="22">
        <f t="shared" si="9"/>
        <v>0.87360570235212598</v>
      </c>
      <c r="G138" s="13" t="str">
        <f t="shared" si="10"/>
        <v>B</v>
      </c>
    </row>
    <row r="139" spans="1:7" ht="16.5" x14ac:dyDescent="0.3">
      <c r="A139" t="s">
        <v>727</v>
      </c>
      <c r="B139" t="s">
        <v>870</v>
      </c>
      <c r="C139" s="8">
        <v>9698.1638399999993</v>
      </c>
      <c r="D139" s="8">
        <f t="shared" si="11"/>
        <v>1363962.1904199999</v>
      </c>
      <c r="E139" s="20">
        <f t="shared" si="8"/>
        <v>1550200.534329999</v>
      </c>
      <c r="F139" s="22">
        <f t="shared" si="9"/>
        <v>0.87986177285734724</v>
      </c>
      <c r="G139" s="13" t="str">
        <f t="shared" si="10"/>
        <v>B</v>
      </c>
    </row>
    <row r="140" spans="1:7" ht="16.5" x14ac:dyDescent="0.3">
      <c r="A140" t="s">
        <v>727</v>
      </c>
      <c r="B140" t="s">
        <v>803</v>
      </c>
      <c r="C140" s="8">
        <v>8930.7124999999996</v>
      </c>
      <c r="D140" s="8">
        <f t="shared" si="11"/>
        <v>1372892.9029199998</v>
      </c>
      <c r="E140" s="20">
        <f t="shared" si="8"/>
        <v>1550200.534329999</v>
      </c>
      <c r="F140" s="22">
        <f t="shared" si="9"/>
        <v>0.88562277751592178</v>
      </c>
      <c r="G140" s="13" t="str">
        <f t="shared" si="10"/>
        <v>B</v>
      </c>
    </row>
    <row r="141" spans="1:7" ht="16.5" x14ac:dyDescent="0.3">
      <c r="A141" t="s">
        <v>727</v>
      </c>
      <c r="B141" t="s">
        <v>905</v>
      </c>
      <c r="C141" s="8">
        <v>8928.9795999999988</v>
      </c>
      <c r="D141" s="8">
        <f t="shared" si="11"/>
        <v>1381821.8825199998</v>
      </c>
      <c r="E141" s="20">
        <f t="shared" si="8"/>
        <v>1550200.534329999</v>
      </c>
      <c r="F141" s="22">
        <f t="shared" si="9"/>
        <v>0.89138266431912117</v>
      </c>
      <c r="G141" s="13" t="str">
        <f t="shared" si="10"/>
        <v>B</v>
      </c>
    </row>
    <row r="142" spans="1:7" ht="16.5" x14ac:dyDescent="0.3">
      <c r="A142" t="s">
        <v>727</v>
      </c>
      <c r="B142" t="s">
        <v>859</v>
      </c>
      <c r="C142" s="8">
        <v>8909.8587200000002</v>
      </c>
      <c r="D142" s="8">
        <f t="shared" si="11"/>
        <v>1390731.7412399997</v>
      </c>
      <c r="E142" s="20">
        <f t="shared" si="8"/>
        <v>1550200.534329999</v>
      </c>
      <c r="F142" s="22">
        <f t="shared" si="9"/>
        <v>0.89713021666650228</v>
      </c>
      <c r="G142" s="13" t="str">
        <f t="shared" si="10"/>
        <v>B</v>
      </c>
    </row>
    <row r="143" spans="1:7" ht="16.5" x14ac:dyDescent="0.3">
      <c r="A143" t="s">
        <v>727</v>
      </c>
      <c r="B143" t="s">
        <v>1028</v>
      </c>
      <c r="C143" s="8">
        <v>8903.4839999999986</v>
      </c>
      <c r="D143" s="8">
        <f t="shared" si="11"/>
        <v>1399635.2252399996</v>
      </c>
      <c r="E143" s="20">
        <f t="shared" si="8"/>
        <v>1550200.534329999</v>
      </c>
      <c r="F143" s="22">
        <f t="shared" si="9"/>
        <v>0.90287365682332565</v>
      </c>
      <c r="G143" s="13" t="str">
        <f t="shared" si="10"/>
        <v>B</v>
      </c>
    </row>
    <row r="144" spans="1:7" ht="16.5" x14ac:dyDescent="0.3">
      <c r="A144" t="s">
        <v>727</v>
      </c>
      <c r="B144" t="s">
        <v>1049</v>
      </c>
      <c r="C144" s="8">
        <v>8780.5809000000008</v>
      </c>
      <c r="D144" s="8">
        <f t="shared" si="11"/>
        <v>1408415.8061399995</v>
      </c>
      <c r="E144" s="20">
        <f t="shared" si="8"/>
        <v>1550200.534329999</v>
      </c>
      <c r="F144" s="22">
        <f t="shared" si="9"/>
        <v>0.90853781491484309</v>
      </c>
      <c r="G144" s="13" t="str">
        <f t="shared" si="10"/>
        <v>B</v>
      </c>
    </row>
    <row r="145" spans="1:7" ht="16.5" x14ac:dyDescent="0.3">
      <c r="A145" t="s">
        <v>727</v>
      </c>
      <c r="B145" t="s">
        <v>1328</v>
      </c>
      <c r="C145" s="8">
        <v>8128.5187499999993</v>
      </c>
      <c r="D145" s="8">
        <f t="shared" si="11"/>
        <v>1416544.3248899996</v>
      </c>
      <c r="E145" s="20">
        <f t="shared" si="8"/>
        <v>1550200.534329999</v>
      </c>
      <c r="F145" s="22">
        <f t="shared" si="9"/>
        <v>0.91378134216824658</v>
      </c>
      <c r="G145" s="13" t="str">
        <f t="shared" si="10"/>
        <v>B</v>
      </c>
    </row>
    <row r="146" spans="1:7" ht="16.5" x14ac:dyDescent="0.3">
      <c r="A146" t="s">
        <v>727</v>
      </c>
      <c r="B146" t="s">
        <v>1137</v>
      </c>
      <c r="C146" s="8">
        <v>7832.0010999999995</v>
      </c>
      <c r="D146" s="8">
        <f t="shared" si="11"/>
        <v>1424376.3259899996</v>
      </c>
      <c r="E146" s="20">
        <f t="shared" si="8"/>
        <v>1550200.534329999</v>
      </c>
      <c r="F146" s="22">
        <f t="shared" si="9"/>
        <v>0.9188335924588098</v>
      </c>
      <c r="G146" s="13" t="str">
        <f t="shared" si="10"/>
        <v>B</v>
      </c>
    </row>
    <row r="147" spans="1:7" ht="16.5" x14ac:dyDescent="0.3">
      <c r="A147" t="s">
        <v>727</v>
      </c>
      <c r="B147" t="s">
        <v>1253</v>
      </c>
      <c r="C147" s="8">
        <v>7399.4832000000006</v>
      </c>
      <c r="D147" s="8">
        <f t="shared" si="11"/>
        <v>1431775.8091899995</v>
      </c>
      <c r="E147" s="20">
        <f t="shared" si="8"/>
        <v>1550200.534329999</v>
      </c>
      <c r="F147" s="22">
        <f t="shared" si="9"/>
        <v>0.92360683504009822</v>
      </c>
      <c r="G147" s="13" t="str">
        <f t="shared" si="10"/>
        <v>B</v>
      </c>
    </row>
    <row r="148" spans="1:7" ht="16.5" x14ac:dyDescent="0.3">
      <c r="A148" t="s">
        <v>727</v>
      </c>
      <c r="B148" t="s">
        <v>1170</v>
      </c>
      <c r="C148" s="8">
        <v>7340.3891399999993</v>
      </c>
      <c r="D148" s="8">
        <f t="shared" si="11"/>
        <v>1439116.1983299996</v>
      </c>
      <c r="E148" s="20">
        <f t="shared" si="8"/>
        <v>1550200.534329999</v>
      </c>
      <c r="F148" s="22">
        <f t="shared" si="9"/>
        <v>0.92834195735327207</v>
      </c>
      <c r="G148" s="13" t="str">
        <f t="shared" si="10"/>
        <v>B</v>
      </c>
    </row>
    <row r="149" spans="1:7" ht="16.5" x14ac:dyDescent="0.3">
      <c r="A149" t="s">
        <v>727</v>
      </c>
      <c r="B149" t="s">
        <v>809</v>
      </c>
      <c r="C149" s="8">
        <v>6874.4828600000001</v>
      </c>
      <c r="D149" s="8">
        <f t="shared" si="11"/>
        <v>1445990.6811899997</v>
      </c>
      <c r="E149" s="20">
        <f t="shared" si="8"/>
        <v>1550200.534329999</v>
      </c>
      <c r="F149" s="22">
        <f t="shared" si="9"/>
        <v>0.93277653385338366</v>
      </c>
      <c r="G149" s="13" t="str">
        <f t="shared" si="10"/>
        <v>B</v>
      </c>
    </row>
    <row r="150" spans="1:7" ht="16.5" x14ac:dyDescent="0.3">
      <c r="A150" t="s">
        <v>727</v>
      </c>
      <c r="B150" t="s">
        <v>1293</v>
      </c>
      <c r="C150" s="8">
        <v>6766.9829999999993</v>
      </c>
      <c r="D150" s="8">
        <f t="shared" si="11"/>
        <v>1452757.6641899997</v>
      </c>
      <c r="E150" s="20">
        <f t="shared" si="8"/>
        <v>1550200.534329999</v>
      </c>
      <c r="F150" s="22">
        <f t="shared" si="9"/>
        <v>0.93714176457685561</v>
      </c>
      <c r="G150" s="13" t="str">
        <f t="shared" si="10"/>
        <v>B</v>
      </c>
    </row>
    <row r="151" spans="1:7" ht="16.5" x14ac:dyDescent="0.3">
      <c r="A151" t="s">
        <v>727</v>
      </c>
      <c r="B151" t="s">
        <v>940</v>
      </c>
      <c r="C151" s="8">
        <v>6702.3501999999999</v>
      </c>
      <c r="D151" s="8">
        <f t="shared" si="11"/>
        <v>1459460.0143899997</v>
      </c>
      <c r="E151" s="20">
        <f t="shared" si="8"/>
        <v>1550200.534329999</v>
      </c>
      <c r="F151" s="22">
        <f t="shared" si="9"/>
        <v>0.94146530211382129</v>
      </c>
      <c r="G151" s="13" t="str">
        <f t="shared" si="10"/>
        <v>B</v>
      </c>
    </row>
    <row r="152" spans="1:7" ht="16.5" x14ac:dyDescent="0.3">
      <c r="A152" t="s">
        <v>727</v>
      </c>
      <c r="B152" t="s">
        <v>1224</v>
      </c>
      <c r="C152" s="8">
        <v>6664.0999999999995</v>
      </c>
      <c r="D152" s="8">
        <f t="shared" si="11"/>
        <v>1466124.1143899998</v>
      </c>
      <c r="E152" s="20">
        <f t="shared" si="8"/>
        <v>1550200.534329999</v>
      </c>
      <c r="F152" s="22">
        <f t="shared" si="9"/>
        <v>0.94576416529469376</v>
      </c>
      <c r="G152" s="13" t="str">
        <f t="shared" si="10"/>
        <v>B</v>
      </c>
    </row>
    <row r="153" spans="1:7" ht="16.5" x14ac:dyDescent="0.3">
      <c r="A153" t="s">
        <v>727</v>
      </c>
      <c r="B153" t="s">
        <v>1257</v>
      </c>
      <c r="C153" s="8">
        <v>6435.2555999999995</v>
      </c>
      <c r="D153" s="8">
        <f t="shared" si="11"/>
        <v>1472559.3699899998</v>
      </c>
      <c r="E153" s="20">
        <f t="shared" si="8"/>
        <v>1550200.534329999</v>
      </c>
      <c r="F153" s="22">
        <f t="shared" si="9"/>
        <v>0.9499154060261269</v>
      </c>
      <c r="G153" s="13" t="str">
        <f t="shared" si="10"/>
        <v>B</v>
      </c>
    </row>
    <row r="154" spans="1:7" ht="16.5" x14ac:dyDescent="0.3">
      <c r="A154" t="s">
        <v>727</v>
      </c>
      <c r="B154" t="s">
        <v>835</v>
      </c>
      <c r="C154" s="8">
        <v>6324.5775999999996</v>
      </c>
      <c r="D154" s="8">
        <f t="shared" si="11"/>
        <v>1478883.9475899998</v>
      </c>
      <c r="E154" s="20">
        <f t="shared" si="8"/>
        <v>1550200.534329999</v>
      </c>
      <c r="F154" s="22">
        <f t="shared" si="9"/>
        <v>0.9539952508332592</v>
      </c>
      <c r="G154" s="13" t="str">
        <f t="shared" si="10"/>
        <v>C</v>
      </c>
    </row>
    <row r="155" spans="1:7" ht="16.5" x14ac:dyDescent="0.3">
      <c r="A155" t="s">
        <v>727</v>
      </c>
      <c r="B155" t="s">
        <v>1313</v>
      </c>
      <c r="C155" s="8">
        <v>6137.8019999999988</v>
      </c>
      <c r="D155" s="8">
        <f t="shared" si="11"/>
        <v>1485021.7495899997</v>
      </c>
      <c r="E155" s="20">
        <f t="shared" si="8"/>
        <v>1550200.534329999</v>
      </c>
      <c r="F155" s="22">
        <f t="shared" si="9"/>
        <v>0.95795461084125499</v>
      </c>
      <c r="G155" s="13" t="str">
        <f t="shared" si="10"/>
        <v>C</v>
      </c>
    </row>
    <row r="156" spans="1:7" ht="16.5" x14ac:dyDescent="0.3">
      <c r="A156" t="s">
        <v>727</v>
      </c>
      <c r="B156" t="s">
        <v>1218</v>
      </c>
      <c r="C156" s="8">
        <v>6063.2517199999993</v>
      </c>
      <c r="D156" s="8">
        <f t="shared" si="11"/>
        <v>1491085.0013099997</v>
      </c>
      <c r="E156" s="20">
        <f t="shared" si="8"/>
        <v>1550200.534329999</v>
      </c>
      <c r="F156" s="22">
        <f t="shared" si="9"/>
        <v>0.9618658801162463</v>
      </c>
      <c r="G156" s="13" t="str">
        <f t="shared" si="10"/>
        <v>C</v>
      </c>
    </row>
    <row r="157" spans="1:7" ht="16.5" x14ac:dyDescent="0.3">
      <c r="A157" t="s">
        <v>727</v>
      </c>
      <c r="B157" t="s">
        <v>895</v>
      </c>
      <c r="C157" s="8">
        <v>5650.1744000000008</v>
      </c>
      <c r="D157" s="8">
        <f t="shared" si="11"/>
        <v>1496735.1757099996</v>
      </c>
      <c r="E157" s="20">
        <f t="shared" si="8"/>
        <v>1550200.534329999</v>
      </c>
      <c r="F157" s="22">
        <f t="shared" si="9"/>
        <v>0.96551068236916382</v>
      </c>
      <c r="G157" s="13" t="str">
        <f t="shared" si="10"/>
        <v>C</v>
      </c>
    </row>
    <row r="158" spans="1:7" ht="16.5" x14ac:dyDescent="0.3">
      <c r="A158" t="s">
        <v>727</v>
      </c>
      <c r="B158" t="s">
        <v>816</v>
      </c>
      <c r="C158" s="8">
        <v>5331.6696000000002</v>
      </c>
      <c r="D158" s="8">
        <f t="shared" si="11"/>
        <v>1502066.8453099995</v>
      </c>
      <c r="E158" s="20">
        <f t="shared" si="8"/>
        <v>1550200.534329999</v>
      </c>
      <c r="F158" s="22">
        <f t="shared" si="9"/>
        <v>0.96895002423618504</v>
      </c>
      <c r="G158" s="13" t="str">
        <f t="shared" si="10"/>
        <v>C</v>
      </c>
    </row>
    <row r="159" spans="1:7" ht="16.5" x14ac:dyDescent="0.3">
      <c r="A159" t="s">
        <v>727</v>
      </c>
      <c r="B159" t="s">
        <v>746</v>
      </c>
      <c r="C159" s="8">
        <v>4968.5039999999999</v>
      </c>
      <c r="D159" s="8">
        <f t="shared" si="11"/>
        <v>1507035.3493099995</v>
      </c>
      <c r="E159" s="20">
        <f t="shared" si="8"/>
        <v>1550200.534329999</v>
      </c>
      <c r="F159" s="22">
        <f t="shared" si="9"/>
        <v>0.9721550960252664</v>
      </c>
      <c r="G159" s="13" t="str">
        <f t="shared" si="10"/>
        <v>C</v>
      </c>
    </row>
    <row r="160" spans="1:7" ht="16.5" x14ac:dyDescent="0.3">
      <c r="A160" t="s">
        <v>727</v>
      </c>
      <c r="B160" t="s">
        <v>734</v>
      </c>
      <c r="C160" s="8">
        <v>4866.3287999999993</v>
      </c>
      <c r="D160" s="8">
        <f t="shared" si="11"/>
        <v>1511901.6781099995</v>
      </c>
      <c r="E160" s="20">
        <f t="shared" si="8"/>
        <v>1550200.534329999</v>
      </c>
      <c r="F160" s="22">
        <f t="shared" si="9"/>
        <v>0.97529425685783788</v>
      </c>
      <c r="G160" s="13" t="str">
        <f t="shared" si="10"/>
        <v>C</v>
      </c>
    </row>
    <row r="161" spans="1:7" ht="16.5" x14ac:dyDescent="0.3">
      <c r="A161" t="s">
        <v>727</v>
      </c>
      <c r="B161" t="s">
        <v>808</v>
      </c>
      <c r="C161" s="8">
        <v>4717.72</v>
      </c>
      <c r="D161" s="8">
        <f t="shared" si="11"/>
        <v>1516619.3981099995</v>
      </c>
      <c r="E161" s="20">
        <f t="shared" si="8"/>
        <v>1550200.534329999</v>
      </c>
      <c r="F161" s="22">
        <f t="shared" si="9"/>
        <v>0.97833755344787476</v>
      </c>
      <c r="G161" s="13" t="str">
        <f t="shared" si="10"/>
        <v>C</v>
      </c>
    </row>
    <row r="162" spans="1:7" ht="16.5" x14ac:dyDescent="0.3">
      <c r="A162" t="s">
        <v>727</v>
      </c>
      <c r="B162" t="s">
        <v>956</v>
      </c>
      <c r="C162" s="8">
        <v>4503.4363999999996</v>
      </c>
      <c r="D162" s="8">
        <f t="shared" si="11"/>
        <v>1521122.8345099995</v>
      </c>
      <c r="E162" s="20">
        <f t="shared" si="8"/>
        <v>1550200.534329999</v>
      </c>
      <c r="F162" s="22">
        <f t="shared" si="9"/>
        <v>0.98124262043777</v>
      </c>
      <c r="G162" s="13" t="str">
        <f t="shared" si="10"/>
        <v>C</v>
      </c>
    </row>
    <row r="163" spans="1:7" ht="16.5" x14ac:dyDescent="0.3">
      <c r="A163" t="s">
        <v>727</v>
      </c>
      <c r="B163" t="s">
        <v>1210</v>
      </c>
      <c r="C163" s="8">
        <v>4212.3745999999992</v>
      </c>
      <c r="D163" s="8">
        <f t="shared" si="11"/>
        <v>1525335.2091099995</v>
      </c>
      <c r="E163" s="20">
        <f t="shared" si="8"/>
        <v>1550200.534329999</v>
      </c>
      <c r="F163" s="22">
        <f t="shared" si="9"/>
        <v>0.98395992991271519</v>
      </c>
      <c r="G163" s="13" t="str">
        <f t="shared" si="10"/>
        <v>C</v>
      </c>
    </row>
    <row r="164" spans="1:7" ht="16.5" x14ac:dyDescent="0.3">
      <c r="A164" t="s">
        <v>727</v>
      </c>
      <c r="B164" t="s">
        <v>1244</v>
      </c>
      <c r="C164" s="8">
        <v>3525.5505600000001</v>
      </c>
      <c r="D164" s="8">
        <f t="shared" si="11"/>
        <v>1528860.7596699994</v>
      </c>
      <c r="E164" s="20">
        <f t="shared" si="8"/>
        <v>1550200.534329999</v>
      </c>
      <c r="F164" s="22">
        <f t="shared" si="9"/>
        <v>0.98623418442490551</v>
      </c>
      <c r="G164" s="13" t="str">
        <f t="shared" si="10"/>
        <v>C</v>
      </c>
    </row>
    <row r="165" spans="1:7" ht="16.5" x14ac:dyDescent="0.3">
      <c r="A165" t="s">
        <v>727</v>
      </c>
      <c r="B165" t="s">
        <v>1302</v>
      </c>
      <c r="C165" s="8">
        <v>3378.1478400000001</v>
      </c>
      <c r="D165" s="8">
        <f t="shared" si="11"/>
        <v>1532238.9075099993</v>
      </c>
      <c r="E165" s="20">
        <f t="shared" si="8"/>
        <v>1550200.534329999</v>
      </c>
      <c r="F165" s="22">
        <f t="shared" si="9"/>
        <v>0.98841335271003328</v>
      </c>
      <c r="G165" s="13" t="str">
        <f t="shared" si="10"/>
        <v>C</v>
      </c>
    </row>
    <row r="166" spans="1:7" ht="16.5" x14ac:dyDescent="0.3">
      <c r="A166" t="s">
        <v>727</v>
      </c>
      <c r="B166" t="s">
        <v>1060</v>
      </c>
      <c r="C166" s="8">
        <v>2373.9623200000001</v>
      </c>
      <c r="D166" s="8">
        <f t="shared" si="11"/>
        <v>1534612.8698299993</v>
      </c>
      <c r="E166" s="20">
        <f t="shared" si="8"/>
        <v>1550200.534329999</v>
      </c>
      <c r="F166" s="22">
        <f t="shared" si="9"/>
        <v>0.98994474317689696</v>
      </c>
      <c r="G166" s="13" t="str">
        <f t="shared" si="10"/>
        <v>C</v>
      </c>
    </row>
    <row r="167" spans="1:7" ht="16.5" x14ac:dyDescent="0.3">
      <c r="A167" t="s">
        <v>727</v>
      </c>
      <c r="B167" t="s">
        <v>903</v>
      </c>
      <c r="C167" s="8">
        <v>2316.2621999999997</v>
      </c>
      <c r="D167" s="8">
        <f t="shared" si="11"/>
        <v>1536929.1320299993</v>
      </c>
      <c r="E167" s="20">
        <f t="shared" si="8"/>
        <v>1550200.534329999</v>
      </c>
      <c r="F167" s="22">
        <f t="shared" si="9"/>
        <v>0.99143891257543937</v>
      </c>
      <c r="G167" s="13" t="str">
        <f t="shared" si="10"/>
        <v>C</v>
      </c>
    </row>
    <row r="168" spans="1:7" ht="16.5" x14ac:dyDescent="0.3">
      <c r="A168" t="s">
        <v>727</v>
      </c>
      <c r="B168" t="s">
        <v>1341</v>
      </c>
      <c r="C168" s="8">
        <v>2077.46</v>
      </c>
      <c r="D168" s="8">
        <f t="shared" si="11"/>
        <v>1539006.5920299992</v>
      </c>
      <c r="E168" s="20">
        <f t="shared" si="8"/>
        <v>1550200.534329999</v>
      </c>
      <c r="F168" s="22">
        <f t="shared" si="9"/>
        <v>0.99277903596850592</v>
      </c>
      <c r="G168" s="13" t="str">
        <f t="shared" si="10"/>
        <v>C</v>
      </c>
    </row>
    <row r="169" spans="1:7" ht="16.5" x14ac:dyDescent="0.3">
      <c r="A169" t="s">
        <v>727</v>
      </c>
      <c r="B169" t="s">
        <v>858</v>
      </c>
      <c r="C169" s="8">
        <v>2072.9258400000003</v>
      </c>
      <c r="D169" s="8">
        <f t="shared" si="11"/>
        <v>1541079.5178699992</v>
      </c>
      <c r="E169" s="20">
        <f t="shared" si="8"/>
        <v>1550200.534329999</v>
      </c>
      <c r="F169" s="22">
        <f t="shared" si="9"/>
        <v>0.99411623447546937</v>
      </c>
      <c r="G169" s="13" t="str">
        <f t="shared" si="10"/>
        <v>C</v>
      </c>
    </row>
    <row r="170" spans="1:7" ht="16.5" x14ac:dyDescent="0.3">
      <c r="A170" t="s">
        <v>727</v>
      </c>
      <c r="B170" t="s">
        <v>1197</v>
      </c>
      <c r="C170" s="8">
        <v>1808.04592</v>
      </c>
      <c r="D170" s="8">
        <f t="shared" si="11"/>
        <v>1542887.5637899991</v>
      </c>
      <c r="E170" s="20">
        <f t="shared" si="8"/>
        <v>1550200.534329999</v>
      </c>
      <c r="F170" s="22">
        <f t="shared" si="9"/>
        <v>0.99528256481787336</v>
      </c>
      <c r="G170" s="13" t="str">
        <f t="shared" si="10"/>
        <v>C</v>
      </c>
    </row>
    <row r="171" spans="1:7" ht="16.5" x14ac:dyDescent="0.3">
      <c r="A171" t="s">
        <v>727</v>
      </c>
      <c r="B171" t="s">
        <v>1193</v>
      </c>
      <c r="C171" s="8">
        <v>1662.6945600000001</v>
      </c>
      <c r="D171" s="8">
        <f t="shared" si="11"/>
        <v>1544550.2583499991</v>
      </c>
      <c r="E171" s="20">
        <f t="shared" si="8"/>
        <v>1550200.534329999</v>
      </c>
      <c r="F171" s="22">
        <f t="shared" si="9"/>
        <v>0.99635513222007632</v>
      </c>
      <c r="G171" s="13" t="str">
        <f t="shared" si="10"/>
        <v>C</v>
      </c>
    </row>
    <row r="172" spans="1:7" ht="16.5" x14ac:dyDescent="0.3">
      <c r="A172" t="s">
        <v>727</v>
      </c>
      <c r="B172" t="s">
        <v>821</v>
      </c>
      <c r="C172" s="8">
        <v>1654.8966000000003</v>
      </c>
      <c r="D172" s="8">
        <f t="shared" si="11"/>
        <v>1546205.1549499992</v>
      </c>
      <c r="E172" s="20">
        <f t="shared" si="8"/>
        <v>1550200.534329999</v>
      </c>
      <c r="F172" s="22">
        <f t="shared" si="9"/>
        <v>0.99742266933114776</v>
      </c>
      <c r="G172" s="13" t="str">
        <f t="shared" si="10"/>
        <v>C</v>
      </c>
    </row>
    <row r="173" spans="1:7" ht="16.5" x14ac:dyDescent="0.3">
      <c r="A173" t="s">
        <v>727</v>
      </c>
      <c r="B173" t="s">
        <v>1252</v>
      </c>
      <c r="C173" s="8">
        <v>855.72881999999993</v>
      </c>
      <c r="D173" s="8">
        <f t="shared" si="11"/>
        <v>1547060.8837699993</v>
      </c>
      <c r="E173" s="20">
        <f t="shared" si="8"/>
        <v>1550200.534329999</v>
      </c>
      <c r="F173" s="22">
        <f t="shared" si="9"/>
        <v>0.99797468102321563</v>
      </c>
      <c r="G173" s="13" t="str">
        <f t="shared" si="10"/>
        <v>C</v>
      </c>
    </row>
    <row r="174" spans="1:7" ht="16.5" x14ac:dyDescent="0.3">
      <c r="A174" t="s">
        <v>727</v>
      </c>
      <c r="B174" t="s">
        <v>861</v>
      </c>
      <c r="C174" s="8">
        <v>853.32276999999988</v>
      </c>
      <c r="D174" s="8">
        <f t="shared" si="11"/>
        <v>1547914.2065399992</v>
      </c>
      <c r="E174" s="20">
        <f t="shared" si="8"/>
        <v>1550200.534329999</v>
      </c>
      <c r="F174" s="22">
        <f t="shared" si="9"/>
        <v>0.99852514062576558</v>
      </c>
      <c r="G174" s="13" t="str">
        <f t="shared" si="10"/>
        <v>C</v>
      </c>
    </row>
    <row r="175" spans="1:7" ht="16.5" x14ac:dyDescent="0.3">
      <c r="A175" t="s">
        <v>727</v>
      </c>
      <c r="B175" t="s">
        <v>1057</v>
      </c>
      <c r="C175" s="8">
        <v>703.2428000000001</v>
      </c>
      <c r="D175" s="8">
        <f t="shared" si="11"/>
        <v>1548617.4493399991</v>
      </c>
      <c r="E175" s="20">
        <f t="shared" si="8"/>
        <v>1550200.534329999</v>
      </c>
      <c r="F175" s="22">
        <f t="shared" si="9"/>
        <v>0.99897878696662679</v>
      </c>
      <c r="G175" s="13" t="str">
        <f t="shared" si="10"/>
        <v>C</v>
      </c>
    </row>
    <row r="176" spans="1:7" ht="16.5" x14ac:dyDescent="0.3">
      <c r="A176" t="s">
        <v>727</v>
      </c>
      <c r="B176" t="s">
        <v>964</v>
      </c>
      <c r="C176" s="8">
        <v>667.15008</v>
      </c>
      <c r="D176" s="8">
        <f t="shared" si="11"/>
        <v>1549284.5994199992</v>
      </c>
      <c r="E176" s="20">
        <f t="shared" si="8"/>
        <v>1550200.534329999</v>
      </c>
      <c r="F176" s="22">
        <f t="shared" si="9"/>
        <v>0.999409150693916</v>
      </c>
      <c r="G176" s="13" t="str">
        <f t="shared" si="10"/>
        <v>C</v>
      </c>
    </row>
    <row r="177" spans="1:7" ht="16.5" x14ac:dyDescent="0.3">
      <c r="A177" t="s">
        <v>727</v>
      </c>
      <c r="B177" t="s">
        <v>1307</v>
      </c>
      <c r="C177" s="8">
        <v>496.98660000000001</v>
      </c>
      <c r="D177" s="8">
        <f t="shared" si="11"/>
        <v>1549781.5860199991</v>
      </c>
      <c r="E177" s="20">
        <f t="shared" si="8"/>
        <v>1550200.534329999</v>
      </c>
      <c r="F177" s="22">
        <f t="shared" si="9"/>
        <v>0.9997297457324249</v>
      </c>
      <c r="G177" s="13" t="str">
        <f t="shared" si="10"/>
        <v>C</v>
      </c>
    </row>
    <row r="178" spans="1:7" ht="16.5" x14ac:dyDescent="0.3">
      <c r="A178" t="s">
        <v>727</v>
      </c>
      <c r="B178" t="s">
        <v>911</v>
      </c>
      <c r="C178" s="8">
        <v>321.93290999999999</v>
      </c>
      <c r="D178" s="8">
        <f t="shared" si="11"/>
        <v>1550103.5189299991</v>
      </c>
      <c r="E178" s="20">
        <f t="shared" si="8"/>
        <v>1550200.534329999</v>
      </c>
      <c r="F178" s="22">
        <f t="shared" si="9"/>
        <v>0.99993741751608811</v>
      </c>
      <c r="G178" s="13" t="str">
        <f t="shared" si="10"/>
        <v>C</v>
      </c>
    </row>
    <row r="179" spans="1:7" ht="16.5" x14ac:dyDescent="0.3">
      <c r="A179" t="s">
        <v>727</v>
      </c>
      <c r="B179" t="s">
        <v>906</v>
      </c>
      <c r="C179" s="8">
        <v>97.0154</v>
      </c>
      <c r="D179" s="8">
        <f t="shared" si="11"/>
        <v>1550200.534329999</v>
      </c>
      <c r="E179" s="20">
        <f t="shared" si="8"/>
        <v>1550200.534329999</v>
      </c>
      <c r="F179" s="22">
        <f t="shared" si="9"/>
        <v>1</v>
      </c>
      <c r="G179" s="13" t="str">
        <f t="shared" si="10"/>
        <v>C</v>
      </c>
    </row>
    <row r="180" spans="1:7" ht="16.5" x14ac:dyDescent="0.3">
      <c r="A180" t="s">
        <v>731</v>
      </c>
      <c r="B180" t="s">
        <v>1155</v>
      </c>
      <c r="C180" s="8">
        <v>102122.94203999999</v>
      </c>
      <c r="D180" s="8">
        <f t="shared" si="11"/>
        <v>102122.94203999999</v>
      </c>
      <c r="E180" s="20">
        <f t="shared" si="8"/>
        <v>1711094.3775999995</v>
      </c>
      <c r="F180" s="22">
        <f t="shared" si="9"/>
        <v>5.9682822512244355E-2</v>
      </c>
      <c r="G180" s="13" t="str">
        <f t="shared" si="10"/>
        <v>A</v>
      </c>
    </row>
    <row r="181" spans="1:7" ht="16.5" x14ac:dyDescent="0.3">
      <c r="A181" t="s">
        <v>731</v>
      </c>
      <c r="B181" t="s">
        <v>1096</v>
      </c>
      <c r="C181" s="8">
        <v>82514.711519999997</v>
      </c>
      <c r="D181" s="8">
        <f t="shared" si="11"/>
        <v>184637.65356000001</v>
      </c>
      <c r="E181" s="20">
        <f t="shared" si="8"/>
        <v>1711094.3775999995</v>
      </c>
      <c r="F181" s="22">
        <f t="shared" si="9"/>
        <v>0.1079061774599335</v>
      </c>
      <c r="G181" s="13" t="str">
        <f t="shared" si="10"/>
        <v>A</v>
      </c>
    </row>
    <row r="182" spans="1:7" ht="16.5" x14ac:dyDescent="0.3">
      <c r="A182" t="s">
        <v>731</v>
      </c>
      <c r="B182" t="s">
        <v>851</v>
      </c>
      <c r="C182" s="8">
        <v>65119.329599999997</v>
      </c>
      <c r="D182" s="8">
        <f t="shared" si="11"/>
        <v>249756.98316</v>
      </c>
      <c r="E182" s="20">
        <f t="shared" si="8"/>
        <v>1711094.3775999995</v>
      </c>
      <c r="F182" s="22">
        <f t="shared" si="9"/>
        <v>0.14596330069783292</v>
      </c>
      <c r="G182" s="13" t="str">
        <f t="shared" si="10"/>
        <v>A</v>
      </c>
    </row>
    <row r="183" spans="1:7" ht="16.5" x14ac:dyDescent="0.3">
      <c r="A183" t="s">
        <v>731</v>
      </c>
      <c r="B183" t="s">
        <v>1121</v>
      </c>
      <c r="C183" s="8">
        <v>65066.934229999999</v>
      </c>
      <c r="D183" s="8">
        <f t="shared" si="11"/>
        <v>314823.91739000002</v>
      </c>
      <c r="E183" s="20">
        <f t="shared" si="8"/>
        <v>1711094.3775999995</v>
      </c>
      <c r="F183" s="22">
        <f t="shared" si="9"/>
        <v>0.18398980296550072</v>
      </c>
      <c r="G183" s="13" t="str">
        <f t="shared" si="10"/>
        <v>A</v>
      </c>
    </row>
    <row r="184" spans="1:7" ht="16.5" x14ac:dyDescent="0.3">
      <c r="A184" t="s">
        <v>731</v>
      </c>
      <c r="B184" t="s">
        <v>1254</v>
      </c>
      <c r="C184" s="8">
        <v>64192.976999999999</v>
      </c>
      <c r="D184" s="8">
        <f t="shared" si="11"/>
        <v>379016.89439000003</v>
      </c>
      <c r="E184" s="20">
        <f t="shared" si="8"/>
        <v>1711094.3775999995</v>
      </c>
      <c r="F184" s="22">
        <f t="shared" si="9"/>
        <v>0.2215055460129636</v>
      </c>
      <c r="G184" s="13" t="str">
        <f t="shared" si="10"/>
        <v>A</v>
      </c>
    </row>
    <row r="185" spans="1:7" ht="16.5" x14ac:dyDescent="0.3">
      <c r="A185" t="s">
        <v>731</v>
      </c>
      <c r="B185" t="s">
        <v>1261</v>
      </c>
      <c r="C185" s="8">
        <v>58526.83122</v>
      </c>
      <c r="D185" s="8">
        <f t="shared" si="11"/>
        <v>437543.72561000002</v>
      </c>
      <c r="E185" s="20">
        <f t="shared" si="8"/>
        <v>1711094.3775999995</v>
      </c>
      <c r="F185" s="22">
        <f t="shared" si="9"/>
        <v>0.25570987277960894</v>
      </c>
      <c r="G185" s="13" t="str">
        <f t="shared" si="10"/>
        <v>A</v>
      </c>
    </row>
    <row r="186" spans="1:7" ht="16.5" x14ac:dyDescent="0.3">
      <c r="A186" t="s">
        <v>731</v>
      </c>
      <c r="B186" t="s">
        <v>1164</v>
      </c>
      <c r="C186" s="8">
        <v>58057.65</v>
      </c>
      <c r="D186" s="8">
        <f t="shared" si="11"/>
        <v>495601.37561000005</v>
      </c>
      <c r="E186" s="20">
        <f t="shared" si="8"/>
        <v>1711094.3775999995</v>
      </c>
      <c r="F186" s="22">
        <f t="shared" si="9"/>
        <v>0.28964000004788526</v>
      </c>
      <c r="G186" s="13" t="str">
        <f t="shared" si="10"/>
        <v>A</v>
      </c>
    </row>
    <row r="187" spans="1:7" ht="16.5" x14ac:dyDescent="0.3">
      <c r="A187" t="s">
        <v>731</v>
      </c>
      <c r="B187" t="s">
        <v>1299</v>
      </c>
      <c r="C187" s="8">
        <v>44173.627960000005</v>
      </c>
      <c r="D187" s="8">
        <f t="shared" si="11"/>
        <v>539775.00357000006</v>
      </c>
      <c r="E187" s="20">
        <f t="shared" si="8"/>
        <v>1711094.3775999995</v>
      </c>
      <c r="F187" s="22">
        <f t="shared" si="9"/>
        <v>0.31545600911101973</v>
      </c>
      <c r="G187" s="13" t="str">
        <f t="shared" si="10"/>
        <v>A</v>
      </c>
    </row>
    <row r="188" spans="1:7" ht="16.5" x14ac:dyDescent="0.3">
      <c r="A188" t="s">
        <v>731</v>
      </c>
      <c r="B188" t="s">
        <v>1267</v>
      </c>
      <c r="C188" s="8">
        <v>42433.254400000005</v>
      </c>
      <c r="D188" s="8">
        <f t="shared" si="11"/>
        <v>582208.25797000004</v>
      </c>
      <c r="E188" s="20">
        <f t="shared" si="8"/>
        <v>1711094.3775999995</v>
      </c>
      <c r="F188" s="22">
        <f t="shared" si="9"/>
        <v>0.34025490679632292</v>
      </c>
      <c r="G188" s="13" t="str">
        <f t="shared" si="10"/>
        <v>A</v>
      </c>
    </row>
    <row r="189" spans="1:7" ht="16.5" x14ac:dyDescent="0.3">
      <c r="A189" t="s">
        <v>731</v>
      </c>
      <c r="B189" t="s">
        <v>1211</v>
      </c>
      <c r="C189" s="8">
        <v>41914.215840000004</v>
      </c>
      <c r="D189" s="8">
        <f t="shared" si="11"/>
        <v>624122.47381</v>
      </c>
      <c r="E189" s="20">
        <f t="shared" si="8"/>
        <v>1711094.3775999995</v>
      </c>
      <c r="F189" s="22">
        <f t="shared" si="9"/>
        <v>0.36475046729181665</v>
      </c>
      <c r="G189" s="13" t="str">
        <f t="shared" si="10"/>
        <v>A</v>
      </c>
    </row>
    <row r="190" spans="1:7" ht="16.5" x14ac:dyDescent="0.3">
      <c r="A190" t="s">
        <v>731</v>
      </c>
      <c r="B190" t="s">
        <v>1315</v>
      </c>
      <c r="C190" s="8">
        <v>40563.321749999996</v>
      </c>
      <c r="D190" s="8">
        <f t="shared" si="11"/>
        <v>664685.79556</v>
      </c>
      <c r="E190" s="20">
        <f t="shared" si="8"/>
        <v>1711094.3775999995</v>
      </c>
      <c r="F190" s="22">
        <f t="shared" si="9"/>
        <v>0.38845653650752793</v>
      </c>
      <c r="G190" s="13" t="str">
        <f t="shared" si="10"/>
        <v>A</v>
      </c>
    </row>
    <row r="191" spans="1:7" ht="16.5" x14ac:dyDescent="0.3">
      <c r="A191" t="s">
        <v>731</v>
      </c>
      <c r="B191" t="s">
        <v>998</v>
      </c>
      <c r="C191" s="8">
        <v>40139.874619999995</v>
      </c>
      <c r="D191" s="8">
        <f t="shared" si="11"/>
        <v>704825.67018000002</v>
      </c>
      <c r="E191" s="20">
        <f t="shared" si="8"/>
        <v>1711094.3775999995</v>
      </c>
      <c r="F191" s="22">
        <f t="shared" si="9"/>
        <v>0.41191513420118681</v>
      </c>
      <c r="G191" s="13" t="str">
        <f t="shared" si="10"/>
        <v>A</v>
      </c>
    </row>
    <row r="192" spans="1:7" ht="16.5" x14ac:dyDescent="0.3">
      <c r="A192" t="s">
        <v>731</v>
      </c>
      <c r="B192" t="s">
        <v>753</v>
      </c>
      <c r="C192" s="8">
        <v>39263.702919999996</v>
      </c>
      <c r="D192" s="8">
        <f t="shared" si="11"/>
        <v>744089.37309999997</v>
      </c>
      <c r="E192" s="20">
        <f t="shared" si="8"/>
        <v>1711094.3775999995</v>
      </c>
      <c r="F192" s="22">
        <f t="shared" si="9"/>
        <v>0.43486167849120527</v>
      </c>
      <c r="G192" s="13" t="str">
        <f t="shared" si="10"/>
        <v>A</v>
      </c>
    </row>
    <row r="193" spans="1:7" ht="16.5" x14ac:dyDescent="0.3">
      <c r="A193" t="s">
        <v>731</v>
      </c>
      <c r="B193" t="s">
        <v>1215</v>
      </c>
      <c r="C193" s="8">
        <v>36161.097000000002</v>
      </c>
      <c r="D193" s="8">
        <f t="shared" si="11"/>
        <v>780250.47009999992</v>
      </c>
      <c r="E193" s="20">
        <f t="shared" si="8"/>
        <v>1711094.3775999995</v>
      </c>
      <c r="F193" s="22">
        <f t="shared" si="9"/>
        <v>0.45599499379712072</v>
      </c>
      <c r="G193" s="13" t="str">
        <f t="shared" si="10"/>
        <v>A</v>
      </c>
    </row>
    <row r="194" spans="1:7" ht="16.5" x14ac:dyDescent="0.3">
      <c r="A194" t="s">
        <v>731</v>
      </c>
      <c r="B194" t="s">
        <v>976</v>
      </c>
      <c r="C194" s="8">
        <v>34082.864639999993</v>
      </c>
      <c r="D194" s="8">
        <f t="shared" si="11"/>
        <v>814333.33473999996</v>
      </c>
      <c r="E194" s="20">
        <f t="shared" si="8"/>
        <v>1711094.3775999995</v>
      </c>
      <c r="F194" s="22">
        <f t="shared" si="9"/>
        <v>0.47591374584620699</v>
      </c>
      <c r="G194" s="13" t="str">
        <f t="shared" si="10"/>
        <v>A</v>
      </c>
    </row>
    <row r="195" spans="1:7" ht="16.5" x14ac:dyDescent="0.3">
      <c r="A195" t="s">
        <v>731</v>
      </c>
      <c r="B195" t="s">
        <v>1332</v>
      </c>
      <c r="C195" s="8">
        <v>33938.142760000002</v>
      </c>
      <c r="D195" s="8">
        <f t="shared" si="11"/>
        <v>848271.47749999992</v>
      </c>
      <c r="E195" s="20">
        <f t="shared" ref="E195:E258" si="12">SUMIF(A:A, A195, C:C)</f>
        <v>1711094.3775999995</v>
      </c>
      <c r="F195" s="22">
        <f t="shared" ref="F195:F258" si="13">D195/E195</f>
        <v>0.49574791934609425</v>
      </c>
      <c r="G195" s="13" t="str">
        <f t="shared" ref="G195:G258" si="14">IF(F195&lt;=0.8, "A", IF(F195&lt;=0.95, "B", "C"))</f>
        <v>A</v>
      </c>
    </row>
    <row r="196" spans="1:7" ht="16.5" x14ac:dyDescent="0.3">
      <c r="A196" t="s">
        <v>731</v>
      </c>
      <c r="B196" t="s">
        <v>907</v>
      </c>
      <c r="C196" s="8">
        <v>31556.187599999997</v>
      </c>
      <c r="D196" s="8">
        <f t="shared" ref="D196:D259" si="15">IF(A196=A195, D195+C196, C196)</f>
        <v>879827.66509999987</v>
      </c>
      <c r="E196" s="20">
        <f t="shared" si="12"/>
        <v>1711094.3775999995</v>
      </c>
      <c r="F196" s="22">
        <f t="shared" si="13"/>
        <v>0.51419002751563958</v>
      </c>
      <c r="G196" s="13" t="str">
        <f t="shared" si="14"/>
        <v>A</v>
      </c>
    </row>
    <row r="197" spans="1:7" ht="16.5" x14ac:dyDescent="0.3">
      <c r="A197" t="s">
        <v>731</v>
      </c>
      <c r="B197" t="s">
        <v>1159</v>
      </c>
      <c r="C197" s="8">
        <v>30435.614999999998</v>
      </c>
      <c r="D197" s="8">
        <f t="shared" si="15"/>
        <v>910263.28009999986</v>
      </c>
      <c r="E197" s="20">
        <f t="shared" si="12"/>
        <v>1711094.3775999995</v>
      </c>
      <c r="F197" s="22">
        <f t="shared" si="13"/>
        <v>0.53197724918992806</v>
      </c>
      <c r="G197" s="13" t="str">
        <f t="shared" si="14"/>
        <v>A</v>
      </c>
    </row>
    <row r="198" spans="1:7" ht="16.5" x14ac:dyDescent="0.3">
      <c r="A198" t="s">
        <v>731</v>
      </c>
      <c r="B198" t="s">
        <v>845</v>
      </c>
      <c r="C198" s="8">
        <v>30151.675319999998</v>
      </c>
      <c r="D198" s="8">
        <f t="shared" si="15"/>
        <v>940414.9554199999</v>
      </c>
      <c r="E198" s="20">
        <f t="shared" si="12"/>
        <v>1711094.3775999995</v>
      </c>
      <c r="F198" s="22">
        <f t="shared" si="13"/>
        <v>0.5495985304674057</v>
      </c>
      <c r="G198" s="13" t="str">
        <f t="shared" si="14"/>
        <v>A</v>
      </c>
    </row>
    <row r="199" spans="1:7" ht="16.5" x14ac:dyDescent="0.3">
      <c r="A199" t="s">
        <v>731</v>
      </c>
      <c r="B199" t="s">
        <v>790</v>
      </c>
      <c r="C199" s="8">
        <v>29659.68995</v>
      </c>
      <c r="D199" s="8">
        <f t="shared" si="15"/>
        <v>970074.64536999993</v>
      </c>
      <c r="E199" s="20">
        <f t="shared" si="12"/>
        <v>1711094.3775999995</v>
      </c>
      <c r="F199" s="22">
        <f t="shared" si="13"/>
        <v>0.5669322850155335</v>
      </c>
      <c r="G199" s="13" t="str">
        <f t="shared" si="14"/>
        <v>A</v>
      </c>
    </row>
    <row r="200" spans="1:7" ht="16.5" x14ac:dyDescent="0.3">
      <c r="A200" t="s">
        <v>731</v>
      </c>
      <c r="B200" t="s">
        <v>1063</v>
      </c>
      <c r="C200" s="8">
        <v>27756.432000000001</v>
      </c>
      <c r="D200" s="8">
        <f t="shared" si="15"/>
        <v>997831.07736999996</v>
      </c>
      <c r="E200" s="20">
        <f t="shared" si="12"/>
        <v>1711094.3775999995</v>
      </c>
      <c r="F200" s="22">
        <f t="shared" si="13"/>
        <v>0.58315373507893187</v>
      </c>
      <c r="G200" s="13" t="str">
        <f t="shared" si="14"/>
        <v>A</v>
      </c>
    </row>
    <row r="201" spans="1:7" ht="16.5" x14ac:dyDescent="0.3">
      <c r="A201" t="s">
        <v>731</v>
      </c>
      <c r="B201" t="s">
        <v>798</v>
      </c>
      <c r="C201" s="8">
        <v>26304.275999999998</v>
      </c>
      <c r="D201" s="8">
        <f t="shared" si="15"/>
        <v>1024135.3533699999</v>
      </c>
      <c r="E201" s="20">
        <f t="shared" si="12"/>
        <v>1711094.3775999995</v>
      </c>
      <c r="F201" s="22">
        <f t="shared" si="13"/>
        <v>0.5985265142454993</v>
      </c>
      <c r="G201" s="13" t="str">
        <f t="shared" si="14"/>
        <v>A</v>
      </c>
    </row>
    <row r="202" spans="1:7" ht="16.5" x14ac:dyDescent="0.3">
      <c r="A202" t="s">
        <v>731</v>
      </c>
      <c r="B202" t="s">
        <v>833</v>
      </c>
      <c r="C202" s="8">
        <v>25502.910479999999</v>
      </c>
      <c r="D202" s="8">
        <f t="shared" si="15"/>
        <v>1049638.26385</v>
      </c>
      <c r="E202" s="20">
        <f t="shared" si="12"/>
        <v>1711094.3775999995</v>
      </c>
      <c r="F202" s="22">
        <f t="shared" si="13"/>
        <v>0.6134309583333647</v>
      </c>
      <c r="G202" s="13" t="str">
        <f t="shared" si="14"/>
        <v>A</v>
      </c>
    </row>
    <row r="203" spans="1:7" ht="16.5" x14ac:dyDescent="0.3">
      <c r="A203" t="s">
        <v>731</v>
      </c>
      <c r="B203" t="s">
        <v>926</v>
      </c>
      <c r="C203" s="8">
        <v>24374.594880000001</v>
      </c>
      <c r="D203" s="8">
        <f t="shared" si="15"/>
        <v>1074012.85873</v>
      </c>
      <c r="E203" s="20">
        <f t="shared" si="12"/>
        <v>1711094.3775999995</v>
      </c>
      <c r="F203" s="22">
        <f t="shared" si="13"/>
        <v>0.6276759907518501</v>
      </c>
      <c r="G203" s="13" t="str">
        <f t="shared" si="14"/>
        <v>A</v>
      </c>
    </row>
    <row r="204" spans="1:7" ht="16.5" x14ac:dyDescent="0.3">
      <c r="A204" t="s">
        <v>731</v>
      </c>
      <c r="B204" t="s">
        <v>989</v>
      </c>
      <c r="C204" s="8">
        <v>24161.205600000001</v>
      </c>
      <c r="D204" s="8">
        <f t="shared" si="15"/>
        <v>1098174.06433</v>
      </c>
      <c r="E204" s="20">
        <f t="shared" si="12"/>
        <v>1711094.3775999995</v>
      </c>
      <c r="F204" s="22">
        <f t="shared" si="13"/>
        <v>0.64179631392998404</v>
      </c>
      <c r="G204" s="13" t="str">
        <f t="shared" si="14"/>
        <v>A</v>
      </c>
    </row>
    <row r="205" spans="1:7" ht="16.5" x14ac:dyDescent="0.3">
      <c r="A205" t="s">
        <v>731</v>
      </c>
      <c r="B205" t="s">
        <v>754</v>
      </c>
      <c r="C205" s="8">
        <v>23782.310720000001</v>
      </c>
      <c r="D205" s="8">
        <f t="shared" si="15"/>
        <v>1121956.3750499999</v>
      </c>
      <c r="E205" s="20">
        <f t="shared" si="12"/>
        <v>1711094.3775999995</v>
      </c>
      <c r="F205" s="22">
        <f t="shared" si="13"/>
        <v>0.65569520286991345</v>
      </c>
      <c r="G205" s="13" t="str">
        <f t="shared" si="14"/>
        <v>A</v>
      </c>
    </row>
    <row r="206" spans="1:7" ht="16.5" x14ac:dyDescent="0.3">
      <c r="A206" t="s">
        <v>731</v>
      </c>
      <c r="B206" t="s">
        <v>1118</v>
      </c>
      <c r="C206" s="8">
        <v>22064.910300000003</v>
      </c>
      <c r="D206" s="8">
        <f t="shared" si="15"/>
        <v>1144021.28535</v>
      </c>
      <c r="E206" s="20">
        <f t="shared" si="12"/>
        <v>1711094.3775999995</v>
      </c>
      <c r="F206" s="22">
        <f t="shared" si="13"/>
        <v>0.66859040642434775</v>
      </c>
      <c r="G206" s="13" t="str">
        <f t="shared" si="14"/>
        <v>A</v>
      </c>
    </row>
    <row r="207" spans="1:7" ht="16.5" x14ac:dyDescent="0.3">
      <c r="A207" t="s">
        <v>731</v>
      </c>
      <c r="B207" t="s">
        <v>885</v>
      </c>
      <c r="C207" s="8">
        <v>21572.590500000002</v>
      </c>
      <c r="D207" s="8">
        <f t="shared" si="15"/>
        <v>1165593.87585</v>
      </c>
      <c r="E207" s="20">
        <f t="shared" si="12"/>
        <v>1711094.3775999995</v>
      </c>
      <c r="F207" s="22">
        <f t="shared" si="13"/>
        <v>0.68119788780141699</v>
      </c>
      <c r="G207" s="13" t="str">
        <f t="shared" si="14"/>
        <v>A</v>
      </c>
    </row>
    <row r="208" spans="1:7" ht="16.5" x14ac:dyDescent="0.3">
      <c r="A208" t="s">
        <v>731</v>
      </c>
      <c r="B208" t="s">
        <v>1029</v>
      </c>
      <c r="C208" s="8">
        <v>20455.985130000001</v>
      </c>
      <c r="D208" s="8">
        <f t="shared" si="15"/>
        <v>1186049.8609799999</v>
      </c>
      <c r="E208" s="20">
        <f t="shared" si="12"/>
        <v>1711094.3775999995</v>
      </c>
      <c r="F208" s="22">
        <f t="shared" si="13"/>
        <v>0.69315280121694223</v>
      </c>
      <c r="G208" s="13" t="str">
        <f t="shared" si="14"/>
        <v>A</v>
      </c>
    </row>
    <row r="209" spans="1:7" ht="16.5" x14ac:dyDescent="0.3">
      <c r="A209" t="s">
        <v>731</v>
      </c>
      <c r="B209" t="s">
        <v>757</v>
      </c>
      <c r="C209" s="8">
        <v>20225.2248</v>
      </c>
      <c r="D209" s="8">
        <f t="shared" si="15"/>
        <v>1206275.0857799998</v>
      </c>
      <c r="E209" s="20">
        <f t="shared" si="12"/>
        <v>1711094.3775999995</v>
      </c>
      <c r="F209" s="22">
        <f t="shared" si="13"/>
        <v>0.70497285338049853</v>
      </c>
      <c r="G209" s="13" t="str">
        <f t="shared" si="14"/>
        <v>A</v>
      </c>
    </row>
    <row r="210" spans="1:7" ht="16.5" x14ac:dyDescent="0.3">
      <c r="A210" t="s">
        <v>731</v>
      </c>
      <c r="B210" t="s">
        <v>806</v>
      </c>
      <c r="C210" s="8">
        <v>20171.63305</v>
      </c>
      <c r="D210" s="8">
        <f t="shared" si="15"/>
        <v>1226446.7188299999</v>
      </c>
      <c r="E210" s="20">
        <f t="shared" si="12"/>
        <v>1711094.3775999995</v>
      </c>
      <c r="F210" s="22">
        <f t="shared" si="13"/>
        <v>0.7167615853838688</v>
      </c>
      <c r="G210" s="13" t="str">
        <f t="shared" si="14"/>
        <v>A</v>
      </c>
    </row>
    <row r="211" spans="1:7" ht="16.5" x14ac:dyDescent="0.3">
      <c r="A211" t="s">
        <v>731</v>
      </c>
      <c r="B211" t="s">
        <v>1120</v>
      </c>
      <c r="C211" s="8">
        <v>19773.362699999998</v>
      </c>
      <c r="D211" s="8">
        <f t="shared" si="15"/>
        <v>1246220.0815299999</v>
      </c>
      <c r="E211" s="20">
        <f t="shared" si="12"/>
        <v>1711094.3775999995</v>
      </c>
      <c r="F211" s="22">
        <f t="shared" si="13"/>
        <v>0.72831755971167544</v>
      </c>
      <c r="G211" s="13" t="str">
        <f t="shared" si="14"/>
        <v>A</v>
      </c>
    </row>
    <row r="212" spans="1:7" ht="16.5" x14ac:dyDescent="0.3">
      <c r="A212" t="s">
        <v>731</v>
      </c>
      <c r="B212" t="s">
        <v>1273</v>
      </c>
      <c r="C212" s="8">
        <v>19581.87</v>
      </c>
      <c r="D212" s="8">
        <f t="shared" si="15"/>
        <v>1265801.95153</v>
      </c>
      <c r="E212" s="20">
        <f t="shared" si="12"/>
        <v>1711094.3775999995</v>
      </c>
      <c r="F212" s="22">
        <f t="shared" si="13"/>
        <v>0.73976162162687265</v>
      </c>
      <c r="G212" s="13" t="str">
        <f t="shared" si="14"/>
        <v>A</v>
      </c>
    </row>
    <row r="213" spans="1:7" ht="16.5" x14ac:dyDescent="0.3">
      <c r="A213" t="s">
        <v>731</v>
      </c>
      <c r="B213" t="s">
        <v>924</v>
      </c>
      <c r="C213" s="8">
        <v>19542.975350000001</v>
      </c>
      <c r="D213" s="8">
        <f t="shared" si="15"/>
        <v>1285344.9268799999</v>
      </c>
      <c r="E213" s="20">
        <f t="shared" si="12"/>
        <v>1711094.3775999995</v>
      </c>
      <c r="F213" s="22">
        <f t="shared" si="13"/>
        <v>0.75118295268016677</v>
      </c>
      <c r="G213" s="13" t="str">
        <f t="shared" si="14"/>
        <v>A</v>
      </c>
    </row>
    <row r="214" spans="1:7" ht="16.5" x14ac:dyDescent="0.3">
      <c r="A214" t="s">
        <v>731</v>
      </c>
      <c r="B214" t="s">
        <v>1305</v>
      </c>
      <c r="C214" s="8">
        <v>19139.594240000002</v>
      </c>
      <c r="D214" s="8">
        <f t="shared" si="15"/>
        <v>1304484.5211199999</v>
      </c>
      <c r="E214" s="20">
        <f t="shared" si="12"/>
        <v>1711094.3775999995</v>
      </c>
      <c r="F214" s="22">
        <f t="shared" si="13"/>
        <v>0.76236853922089598</v>
      </c>
      <c r="G214" s="13" t="str">
        <f t="shared" si="14"/>
        <v>A</v>
      </c>
    </row>
    <row r="215" spans="1:7" ht="16.5" x14ac:dyDescent="0.3">
      <c r="A215" t="s">
        <v>731</v>
      </c>
      <c r="B215" t="s">
        <v>1130</v>
      </c>
      <c r="C215" s="8">
        <v>18641.222160000001</v>
      </c>
      <c r="D215" s="8">
        <f t="shared" si="15"/>
        <v>1323125.7432799998</v>
      </c>
      <c r="E215" s="20">
        <f t="shared" si="12"/>
        <v>1711094.3775999995</v>
      </c>
      <c r="F215" s="22">
        <f t="shared" si="13"/>
        <v>0.77326286650291676</v>
      </c>
      <c r="G215" s="13" t="str">
        <f t="shared" si="14"/>
        <v>A</v>
      </c>
    </row>
    <row r="216" spans="1:7" ht="16.5" x14ac:dyDescent="0.3">
      <c r="A216" t="s">
        <v>731</v>
      </c>
      <c r="B216" t="s">
        <v>985</v>
      </c>
      <c r="C216" s="8">
        <v>17453.3436</v>
      </c>
      <c r="D216" s="8">
        <f t="shared" si="15"/>
        <v>1340579.0868799998</v>
      </c>
      <c r="E216" s="20">
        <f t="shared" si="12"/>
        <v>1711094.3775999995</v>
      </c>
      <c r="F216" s="22">
        <f t="shared" si="13"/>
        <v>0.78346297225306261</v>
      </c>
      <c r="G216" s="13" t="str">
        <f t="shared" si="14"/>
        <v>A</v>
      </c>
    </row>
    <row r="217" spans="1:7" ht="16.5" x14ac:dyDescent="0.3">
      <c r="A217" t="s">
        <v>731</v>
      </c>
      <c r="B217" t="s">
        <v>1018</v>
      </c>
      <c r="C217" s="8">
        <v>15505.479600000001</v>
      </c>
      <c r="D217" s="8">
        <f t="shared" si="15"/>
        <v>1356084.5664799998</v>
      </c>
      <c r="E217" s="20">
        <f t="shared" si="12"/>
        <v>1711094.3775999995</v>
      </c>
      <c r="F217" s="22">
        <f t="shared" si="13"/>
        <v>0.79252470479276516</v>
      </c>
      <c r="G217" s="13" t="str">
        <f t="shared" si="14"/>
        <v>A</v>
      </c>
    </row>
    <row r="218" spans="1:7" ht="16.5" x14ac:dyDescent="0.3">
      <c r="A218" t="s">
        <v>731</v>
      </c>
      <c r="B218" t="s">
        <v>958</v>
      </c>
      <c r="C218" s="8">
        <v>15490.527</v>
      </c>
      <c r="D218" s="8">
        <f t="shared" si="15"/>
        <v>1371575.0934799998</v>
      </c>
      <c r="E218" s="20">
        <f t="shared" si="12"/>
        <v>1711094.3775999995</v>
      </c>
      <c r="F218" s="22">
        <f t="shared" si="13"/>
        <v>0.80157769871454232</v>
      </c>
      <c r="G218" s="13" t="str">
        <f t="shared" si="14"/>
        <v>B</v>
      </c>
    </row>
    <row r="219" spans="1:7" ht="16.5" x14ac:dyDescent="0.3">
      <c r="A219" t="s">
        <v>731</v>
      </c>
      <c r="B219" t="s">
        <v>1158</v>
      </c>
      <c r="C219" s="8">
        <v>15366.983199999999</v>
      </c>
      <c r="D219" s="8">
        <f t="shared" si="15"/>
        <v>1386942.0766799997</v>
      </c>
      <c r="E219" s="20">
        <f t="shared" si="12"/>
        <v>1711094.3775999995</v>
      </c>
      <c r="F219" s="22">
        <f t="shared" si="13"/>
        <v>0.81055849100815847</v>
      </c>
      <c r="G219" s="13" t="str">
        <f t="shared" si="14"/>
        <v>B</v>
      </c>
    </row>
    <row r="220" spans="1:7" ht="16.5" x14ac:dyDescent="0.3">
      <c r="A220" t="s">
        <v>731</v>
      </c>
      <c r="B220" t="s">
        <v>1268</v>
      </c>
      <c r="C220" s="8">
        <v>15155.326800000001</v>
      </c>
      <c r="D220" s="8">
        <f t="shared" si="15"/>
        <v>1402097.4034799996</v>
      </c>
      <c r="E220" s="20">
        <f t="shared" si="12"/>
        <v>1711094.3775999995</v>
      </c>
      <c r="F220" s="22">
        <f t="shared" si="13"/>
        <v>0.81941558679340498</v>
      </c>
      <c r="G220" s="13" t="str">
        <f t="shared" si="14"/>
        <v>B</v>
      </c>
    </row>
    <row r="221" spans="1:7" ht="16.5" x14ac:dyDescent="0.3">
      <c r="A221" t="s">
        <v>731</v>
      </c>
      <c r="B221" t="s">
        <v>1327</v>
      </c>
      <c r="C221" s="8">
        <v>14910.609600000002</v>
      </c>
      <c r="D221" s="8">
        <f t="shared" si="15"/>
        <v>1417008.0130799997</v>
      </c>
      <c r="E221" s="20">
        <f t="shared" si="12"/>
        <v>1711094.3775999995</v>
      </c>
      <c r="F221" s="22">
        <f t="shared" si="13"/>
        <v>0.82812966463457804</v>
      </c>
      <c r="G221" s="13" t="str">
        <f t="shared" si="14"/>
        <v>B</v>
      </c>
    </row>
    <row r="222" spans="1:7" ht="16.5" x14ac:dyDescent="0.3">
      <c r="A222" t="s">
        <v>731</v>
      </c>
      <c r="B222" t="s">
        <v>900</v>
      </c>
      <c r="C222" s="8">
        <v>14448.298699999998</v>
      </c>
      <c r="D222" s="8">
        <f t="shared" si="15"/>
        <v>1431456.3117799996</v>
      </c>
      <c r="E222" s="20">
        <f t="shared" si="12"/>
        <v>1711094.3775999995</v>
      </c>
      <c r="F222" s="22">
        <f t="shared" si="13"/>
        <v>0.83657355813872558</v>
      </c>
      <c r="G222" s="13" t="str">
        <f t="shared" si="14"/>
        <v>B</v>
      </c>
    </row>
    <row r="223" spans="1:7" ht="16.5" x14ac:dyDescent="0.3">
      <c r="A223" t="s">
        <v>731</v>
      </c>
      <c r="B223" t="s">
        <v>1276</v>
      </c>
      <c r="C223" s="8">
        <v>14114.068500000001</v>
      </c>
      <c r="D223" s="8">
        <f t="shared" si="15"/>
        <v>1445570.3802799997</v>
      </c>
      <c r="E223" s="20">
        <f t="shared" si="12"/>
        <v>1711094.3775999995</v>
      </c>
      <c r="F223" s="22">
        <f t="shared" si="13"/>
        <v>0.84482212039500304</v>
      </c>
      <c r="G223" s="13" t="str">
        <f t="shared" si="14"/>
        <v>B</v>
      </c>
    </row>
    <row r="224" spans="1:7" ht="16.5" x14ac:dyDescent="0.3">
      <c r="A224" t="s">
        <v>731</v>
      </c>
      <c r="B224" t="s">
        <v>1102</v>
      </c>
      <c r="C224" s="8">
        <v>13784.586000000001</v>
      </c>
      <c r="D224" s="8">
        <f t="shared" si="15"/>
        <v>1459354.9662799996</v>
      </c>
      <c r="E224" s="20">
        <f t="shared" si="12"/>
        <v>1711094.3775999995</v>
      </c>
      <c r="F224" s="22">
        <f t="shared" si="13"/>
        <v>0.85287812606041491</v>
      </c>
      <c r="G224" s="13" t="str">
        <f t="shared" si="14"/>
        <v>B</v>
      </c>
    </row>
    <row r="225" spans="1:7" ht="16.5" x14ac:dyDescent="0.3">
      <c r="A225" t="s">
        <v>731</v>
      </c>
      <c r="B225" t="s">
        <v>836</v>
      </c>
      <c r="C225" s="8">
        <v>13669.81</v>
      </c>
      <c r="D225" s="8">
        <f t="shared" si="15"/>
        <v>1473024.7762799996</v>
      </c>
      <c r="E225" s="20">
        <f t="shared" si="12"/>
        <v>1711094.3775999995</v>
      </c>
      <c r="F225" s="22">
        <f t="shared" si="13"/>
        <v>0.86086705418673692</v>
      </c>
      <c r="G225" s="13" t="str">
        <f t="shared" si="14"/>
        <v>B</v>
      </c>
    </row>
    <row r="226" spans="1:7" ht="16.5" x14ac:dyDescent="0.3">
      <c r="A226" t="s">
        <v>731</v>
      </c>
      <c r="B226" t="s">
        <v>1079</v>
      </c>
      <c r="C226" s="8">
        <v>13637.287999999999</v>
      </c>
      <c r="D226" s="8">
        <f t="shared" si="15"/>
        <v>1486662.0642799996</v>
      </c>
      <c r="E226" s="20">
        <f t="shared" si="12"/>
        <v>1711094.3775999995</v>
      </c>
      <c r="F226" s="22">
        <f t="shared" si="13"/>
        <v>0.86883697576355123</v>
      </c>
      <c r="G226" s="13" t="str">
        <f t="shared" si="14"/>
        <v>B</v>
      </c>
    </row>
    <row r="227" spans="1:7" ht="16.5" x14ac:dyDescent="0.3">
      <c r="A227" t="s">
        <v>731</v>
      </c>
      <c r="B227" t="s">
        <v>767</v>
      </c>
      <c r="C227" s="8">
        <v>13218.5</v>
      </c>
      <c r="D227" s="8">
        <f t="shared" si="15"/>
        <v>1499880.5642799996</v>
      </c>
      <c r="E227" s="20">
        <f t="shared" si="12"/>
        <v>1711094.3775999995</v>
      </c>
      <c r="F227" s="22">
        <f t="shared" si="13"/>
        <v>0.8765621487131231</v>
      </c>
      <c r="G227" s="13" t="str">
        <f t="shared" si="14"/>
        <v>B</v>
      </c>
    </row>
    <row r="228" spans="1:7" ht="16.5" x14ac:dyDescent="0.3">
      <c r="A228" t="s">
        <v>731</v>
      </c>
      <c r="B228" t="s">
        <v>879</v>
      </c>
      <c r="C228" s="8">
        <v>12954.358080000002</v>
      </c>
      <c r="D228" s="8">
        <f t="shared" si="15"/>
        <v>1512834.9223599995</v>
      </c>
      <c r="E228" s="20">
        <f t="shared" si="12"/>
        <v>1711094.3775999995</v>
      </c>
      <c r="F228" s="22">
        <f t="shared" si="13"/>
        <v>0.88413295149851345</v>
      </c>
      <c r="G228" s="13" t="str">
        <f t="shared" si="14"/>
        <v>B</v>
      </c>
    </row>
    <row r="229" spans="1:7" ht="16.5" x14ac:dyDescent="0.3">
      <c r="A229" t="s">
        <v>731</v>
      </c>
      <c r="B229" t="s">
        <v>838</v>
      </c>
      <c r="C229" s="8">
        <v>12335.654849999999</v>
      </c>
      <c r="D229" s="8">
        <f t="shared" si="15"/>
        <v>1525170.5772099996</v>
      </c>
      <c r="E229" s="20">
        <f t="shared" si="12"/>
        <v>1711094.3775999995</v>
      </c>
      <c r="F229" s="22">
        <f t="shared" si="13"/>
        <v>0.89134217093812274</v>
      </c>
      <c r="G229" s="13" t="str">
        <f t="shared" si="14"/>
        <v>B</v>
      </c>
    </row>
    <row r="230" spans="1:7" ht="16.5" x14ac:dyDescent="0.3">
      <c r="A230" t="s">
        <v>731</v>
      </c>
      <c r="B230" t="s">
        <v>1083</v>
      </c>
      <c r="C230" s="8">
        <v>12236.874600000001</v>
      </c>
      <c r="D230" s="8">
        <f t="shared" si="15"/>
        <v>1537407.4518099995</v>
      </c>
      <c r="E230" s="20">
        <f t="shared" si="12"/>
        <v>1711094.3775999995</v>
      </c>
      <c r="F230" s="22">
        <f t="shared" si="13"/>
        <v>0.8984936610956461</v>
      </c>
      <c r="G230" s="13" t="str">
        <f t="shared" si="14"/>
        <v>B</v>
      </c>
    </row>
    <row r="231" spans="1:7" ht="16.5" x14ac:dyDescent="0.3">
      <c r="A231" t="s">
        <v>731</v>
      </c>
      <c r="B231" t="s">
        <v>1017</v>
      </c>
      <c r="C231" s="8">
        <v>11696.156879999999</v>
      </c>
      <c r="D231" s="8">
        <f t="shared" si="15"/>
        <v>1549103.6086899994</v>
      </c>
      <c r="E231" s="20">
        <f t="shared" si="12"/>
        <v>1711094.3775999995</v>
      </c>
      <c r="F231" s="22">
        <f t="shared" si="13"/>
        <v>0.90532914430049716</v>
      </c>
      <c r="G231" s="13" t="str">
        <f t="shared" si="14"/>
        <v>B</v>
      </c>
    </row>
    <row r="232" spans="1:7" ht="16.5" x14ac:dyDescent="0.3">
      <c r="A232" t="s">
        <v>731</v>
      </c>
      <c r="B232" t="s">
        <v>1248</v>
      </c>
      <c r="C232" s="8">
        <v>10859.64</v>
      </c>
      <c r="D232" s="8">
        <f t="shared" si="15"/>
        <v>1559963.2486899993</v>
      </c>
      <c r="E232" s="20">
        <f t="shared" si="12"/>
        <v>1711094.3775999995</v>
      </c>
      <c r="F232" s="22">
        <f t="shared" si="13"/>
        <v>0.91167574922315009</v>
      </c>
      <c r="G232" s="13" t="str">
        <f t="shared" si="14"/>
        <v>B</v>
      </c>
    </row>
    <row r="233" spans="1:7" ht="16.5" x14ac:dyDescent="0.3">
      <c r="A233" t="s">
        <v>731</v>
      </c>
      <c r="B233" t="s">
        <v>1043</v>
      </c>
      <c r="C233" s="8">
        <v>9847.2358600000007</v>
      </c>
      <c r="D233" s="8">
        <f t="shared" si="15"/>
        <v>1569810.4845499992</v>
      </c>
      <c r="E233" s="20">
        <f t="shared" si="12"/>
        <v>1711094.3775999995</v>
      </c>
      <c r="F233" s="22">
        <f t="shared" si="13"/>
        <v>0.91743068360252189</v>
      </c>
      <c r="G233" s="13" t="str">
        <f t="shared" si="14"/>
        <v>B</v>
      </c>
    </row>
    <row r="234" spans="1:7" ht="16.5" x14ac:dyDescent="0.3">
      <c r="A234" t="s">
        <v>731</v>
      </c>
      <c r="B234" t="s">
        <v>980</v>
      </c>
      <c r="C234" s="8">
        <v>9774.3888000000006</v>
      </c>
      <c r="D234" s="8">
        <f t="shared" si="15"/>
        <v>1579584.8733499993</v>
      </c>
      <c r="E234" s="20">
        <f t="shared" si="12"/>
        <v>1711094.3775999995</v>
      </c>
      <c r="F234" s="22">
        <f t="shared" si="13"/>
        <v>0.92314304460841201</v>
      </c>
      <c r="G234" s="13" t="str">
        <f t="shared" si="14"/>
        <v>B</v>
      </c>
    </row>
    <row r="235" spans="1:7" ht="16.5" x14ac:dyDescent="0.3">
      <c r="A235" t="s">
        <v>731</v>
      </c>
      <c r="B235" t="s">
        <v>1179</v>
      </c>
      <c r="C235" s="8">
        <v>9771.4483199999995</v>
      </c>
      <c r="D235" s="8">
        <f t="shared" si="15"/>
        <v>1589356.3216699993</v>
      </c>
      <c r="E235" s="20">
        <f t="shared" si="12"/>
        <v>1711094.3775999995</v>
      </c>
      <c r="F235" s="22">
        <f t="shared" si="13"/>
        <v>0.92885368713515881</v>
      </c>
      <c r="G235" s="13" t="str">
        <f t="shared" si="14"/>
        <v>B</v>
      </c>
    </row>
    <row r="236" spans="1:7" ht="16.5" x14ac:dyDescent="0.3">
      <c r="A236" t="s">
        <v>731</v>
      </c>
      <c r="B236" t="s">
        <v>1013</v>
      </c>
      <c r="C236" s="8">
        <v>8907.6924999999992</v>
      </c>
      <c r="D236" s="8">
        <f t="shared" si="15"/>
        <v>1598264.0141699992</v>
      </c>
      <c r="E236" s="20">
        <f t="shared" si="12"/>
        <v>1711094.3775999995</v>
      </c>
      <c r="F236" s="22">
        <f t="shared" si="13"/>
        <v>0.93405953236299122</v>
      </c>
      <c r="G236" s="13" t="str">
        <f t="shared" si="14"/>
        <v>B</v>
      </c>
    </row>
    <row r="237" spans="1:7" ht="16.5" x14ac:dyDescent="0.3">
      <c r="A237" t="s">
        <v>731</v>
      </c>
      <c r="B237" t="s">
        <v>1009</v>
      </c>
      <c r="C237" s="8">
        <v>8567.3924999999999</v>
      </c>
      <c r="D237" s="8">
        <f t="shared" si="15"/>
        <v>1606831.4066699992</v>
      </c>
      <c r="E237" s="20">
        <f t="shared" si="12"/>
        <v>1711094.3775999995</v>
      </c>
      <c r="F237" s="22">
        <f t="shared" si="13"/>
        <v>0.93906649902254913</v>
      </c>
      <c r="G237" s="13" t="str">
        <f t="shared" si="14"/>
        <v>B</v>
      </c>
    </row>
    <row r="238" spans="1:7" ht="16.5" x14ac:dyDescent="0.3">
      <c r="A238" t="s">
        <v>731</v>
      </c>
      <c r="B238" t="s">
        <v>866</v>
      </c>
      <c r="C238" s="8">
        <v>8336.8896000000004</v>
      </c>
      <c r="D238" s="8">
        <f t="shared" si="15"/>
        <v>1615168.2962699994</v>
      </c>
      <c r="E238" s="20">
        <f t="shared" si="12"/>
        <v>1711094.3775999995</v>
      </c>
      <c r="F238" s="22">
        <f t="shared" si="13"/>
        <v>0.94393875487771328</v>
      </c>
      <c r="G238" s="13" t="str">
        <f t="shared" si="14"/>
        <v>B</v>
      </c>
    </row>
    <row r="239" spans="1:7" ht="16.5" x14ac:dyDescent="0.3">
      <c r="A239" t="s">
        <v>731</v>
      </c>
      <c r="B239" t="s">
        <v>1242</v>
      </c>
      <c r="C239" s="8">
        <v>8297.4286000000011</v>
      </c>
      <c r="D239" s="8">
        <f t="shared" si="15"/>
        <v>1623465.7248699993</v>
      </c>
      <c r="E239" s="20">
        <f t="shared" si="12"/>
        <v>1711094.3775999995</v>
      </c>
      <c r="F239" s="22">
        <f t="shared" si="13"/>
        <v>0.94878794888397144</v>
      </c>
      <c r="G239" s="13" t="str">
        <f t="shared" si="14"/>
        <v>B</v>
      </c>
    </row>
    <row r="240" spans="1:7" ht="16.5" x14ac:dyDescent="0.3">
      <c r="A240" t="s">
        <v>731</v>
      </c>
      <c r="B240" t="s">
        <v>1191</v>
      </c>
      <c r="C240" s="8">
        <v>7643.2649999999994</v>
      </c>
      <c r="D240" s="8">
        <f t="shared" si="15"/>
        <v>1631108.9898699992</v>
      </c>
      <c r="E240" s="20">
        <f t="shared" si="12"/>
        <v>1711094.3775999995</v>
      </c>
      <c r="F240" s="22">
        <f t="shared" si="13"/>
        <v>0.95325483574892655</v>
      </c>
      <c r="G240" s="13" t="str">
        <f t="shared" si="14"/>
        <v>C</v>
      </c>
    </row>
    <row r="241" spans="1:7" ht="16.5" x14ac:dyDescent="0.3">
      <c r="A241" t="s">
        <v>731</v>
      </c>
      <c r="B241" t="s">
        <v>749</v>
      </c>
      <c r="C241" s="8">
        <v>7090.5672000000004</v>
      </c>
      <c r="D241" s="8">
        <f t="shared" si="15"/>
        <v>1638199.5570699992</v>
      </c>
      <c r="E241" s="20">
        <f t="shared" si="12"/>
        <v>1711094.3775999995</v>
      </c>
      <c r="F241" s="22">
        <f t="shared" si="13"/>
        <v>0.95739871424728573</v>
      </c>
      <c r="G241" s="13" t="str">
        <f t="shared" si="14"/>
        <v>C</v>
      </c>
    </row>
    <row r="242" spans="1:7" ht="16.5" x14ac:dyDescent="0.3">
      <c r="A242" t="s">
        <v>731</v>
      </c>
      <c r="B242" t="s">
        <v>1337</v>
      </c>
      <c r="C242" s="8">
        <v>7071.6331400000008</v>
      </c>
      <c r="D242" s="8">
        <f t="shared" si="15"/>
        <v>1645271.1902099992</v>
      </c>
      <c r="E242" s="20">
        <f t="shared" si="12"/>
        <v>1711094.3775999995</v>
      </c>
      <c r="F242" s="22">
        <f t="shared" si="13"/>
        <v>0.96153152727769187</v>
      </c>
      <c r="G242" s="13" t="str">
        <f t="shared" si="14"/>
        <v>C</v>
      </c>
    </row>
    <row r="243" spans="1:7" ht="16.5" x14ac:dyDescent="0.3">
      <c r="A243" t="s">
        <v>731</v>
      </c>
      <c r="B243" t="s">
        <v>805</v>
      </c>
      <c r="C243" s="8">
        <v>6393.0952799999995</v>
      </c>
      <c r="D243" s="8">
        <f t="shared" si="15"/>
        <v>1651664.2854899992</v>
      </c>
      <c r="E243" s="20">
        <f t="shared" si="12"/>
        <v>1711094.3775999995</v>
      </c>
      <c r="F243" s="22">
        <f t="shared" si="13"/>
        <v>0.96526778833008753</v>
      </c>
      <c r="G243" s="13" t="str">
        <f t="shared" si="14"/>
        <v>C</v>
      </c>
    </row>
    <row r="244" spans="1:7" ht="16.5" x14ac:dyDescent="0.3">
      <c r="A244" t="s">
        <v>731</v>
      </c>
      <c r="B244" t="s">
        <v>1038</v>
      </c>
      <c r="C244" s="8">
        <v>5932.7856000000002</v>
      </c>
      <c r="D244" s="8">
        <f t="shared" si="15"/>
        <v>1657597.0710899993</v>
      </c>
      <c r="E244" s="20">
        <f t="shared" si="12"/>
        <v>1711094.3775999995</v>
      </c>
      <c r="F244" s="22">
        <f t="shared" si="13"/>
        <v>0.96873503460105093</v>
      </c>
      <c r="G244" s="13" t="str">
        <f t="shared" si="14"/>
        <v>C</v>
      </c>
    </row>
    <row r="245" spans="1:7" ht="16.5" x14ac:dyDescent="0.3">
      <c r="A245" t="s">
        <v>731</v>
      </c>
      <c r="B245" t="s">
        <v>786</v>
      </c>
      <c r="C245" s="8">
        <v>5785.8</v>
      </c>
      <c r="D245" s="8">
        <f t="shared" si="15"/>
        <v>1663382.8710899993</v>
      </c>
      <c r="E245" s="20">
        <f t="shared" si="12"/>
        <v>1711094.3775999995</v>
      </c>
      <c r="F245" s="22">
        <f t="shared" si="13"/>
        <v>0.97211637935663087</v>
      </c>
      <c r="G245" s="13" t="str">
        <f t="shared" si="14"/>
        <v>C</v>
      </c>
    </row>
    <row r="246" spans="1:7" ht="16.5" x14ac:dyDescent="0.3">
      <c r="A246" t="s">
        <v>731</v>
      </c>
      <c r="B246" t="s">
        <v>1143</v>
      </c>
      <c r="C246" s="8">
        <v>5323.9903199999999</v>
      </c>
      <c r="D246" s="8">
        <f t="shared" si="15"/>
        <v>1668706.8614099994</v>
      </c>
      <c r="E246" s="20">
        <f t="shared" si="12"/>
        <v>1711094.3775999995</v>
      </c>
      <c r="F246" s="22">
        <f t="shared" si="13"/>
        <v>0.97522783269882907</v>
      </c>
      <c r="G246" s="13" t="str">
        <f t="shared" si="14"/>
        <v>C</v>
      </c>
    </row>
    <row r="247" spans="1:7" ht="16.5" x14ac:dyDescent="0.3">
      <c r="A247" t="s">
        <v>731</v>
      </c>
      <c r="B247" t="s">
        <v>1136</v>
      </c>
      <c r="C247" s="8">
        <v>5250.4239000000007</v>
      </c>
      <c r="D247" s="8">
        <f t="shared" si="15"/>
        <v>1673957.2853099995</v>
      </c>
      <c r="E247" s="20">
        <f t="shared" si="12"/>
        <v>1711094.3775999995</v>
      </c>
      <c r="F247" s="22">
        <f t="shared" si="13"/>
        <v>0.97829629225823944</v>
      </c>
      <c r="G247" s="13" t="str">
        <f t="shared" si="14"/>
        <v>C</v>
      </c>
    </row>
    <row r="248" spans="1:7" ht="16.5" x14ac:dyDescent="0.3">
      <c r="A248" t="s">
        <v>731</v>
      </c>
      <c r="B248" t="s">
        <v>1141</v>
      </c>
      <c r="C248" s="8">
        <v>4679.7141600000004</v>
      </c>
      <c r="D248" s="8">
        <f t="shared" si="15"/>
        <v>1678636.9994699995</v>
      </c>
      <c r="E248" s="20">
        <f t="shared" si="12"/>
        <v>1711094.3775999995</v>
      </c>
      <c r="F248" s="22">
        <f t="shared" si="13"/>
        <v>0.98103121688966965</v>
      </c>
      <c r="G248" s="13" t="str">
        <f t="shared" si="14"/>
        <v>C</v>
      </c>
    </row>
    <row r="249" spans="1:7" ht="16.5" x14ac:dyDescent="0.3">
      <c r="A249" t="s">
        <v>731</v>
      </c>
      <c r="B249" t="s">
        <v>1297</v>
      </c>
      <c r="C249" s="8">
        <v>4229.4321199999995</v>
      </c>
      <c r="D249" s="8">
        <f t="shared" si="15"/>
        <v>1682866.4315899995</v>
      </c>
      <c r="E249" s="20">
        <f t="shared" si="12"/>
        <v>1711094.3775999995</v>
      </c>
      <c r="F249" s="22">
        <f t="shared" si="13"/>
        <v>0.98350298710606898</v>
      </c>
      <c r="G249" s="13" t="str">
        <f t="shared" si="14"/>
        <v>C</v>
      </c>
    </row>
    <row r="250" spans="1:7" ht="16.5" x14ac:dyDescent="0.3">
      <c r="A250" t="s">
        <v>731</v>
      </c>
      <c r="B250" t="s">
        <v>739</v>
      </c>
      <c r="C250" s="8">
        <v>4141.7599999999993</v>
      </c>
      <c r="D250" s="8">
        <f t="shared" si="15"/>
        <v>1687008.1915899995</v>
      </c>
      <c r="E250" s="20">
        <f t="shared" si="12"/>
        <v>1711094.3775999995</v>
      </c>
      <c r="F250" s="22">
        <f t="shared" si="13"/>
        <v>0.98592351986815385</v>
      </c>
      <c r="G250" s="13" t="str">
        <f t="shared" si="14"/>
        <v>C</v>
      </c>
    </row>
    <row r="251" spans="1:7" ht="16.5" x14ac:dyDescent="0.3">
      <c r="A251" t="s">
        <v>731</v>
      </c>
      <c r="B251" t="s">
        <v>1104</v>
      </c>
      <c r="C251" s="8">
        <v>4133.25108</v>
      </c>
      <c r="D251" s="8">
        <f t="shared" si="15"/>
        <v>1691141.4426699996</v>
      </c>
      <c r="E251" s="20">
        <f t="shared" si="12"/>
        <v>1711094.3775999995</v>
      </c>
      <c r="F251" s="22">
        <f t="shared" si="13"/>
        <v>0.98833907983615366</v>
      </c>
      <c r="G251" s="13" t="str">
        <f t="shared" si="14"/>
        <v>C</v>
      </c>
    </row>
    <row r="252" spans="1:7" ht="16.5" x14ac:dyDescent="0.3">
      <c r="A252" t="s">
        <v>731</v>
      </c>
      <c r="B252" t="s">
        <v>1241</v>
      </c>
      <c r="C252" s="8">
        <v>3921.1744000000008</v>
      </c>
      <c r="D252" s="8">
        <f t="shared" si="15"/>
        <v>1695062.6170699995</v>
      </c>
      <c r="E252" s="20">
        <f t="shared" si="12"/>
        <v>1711094.3775999995</v>
      </c>
      <c r="F252" s="22">
        <f t="shared" si="13"/>
        <v>0.99063069767519984</v>
      </c>
      <c r="G252" s="13" t="str">
        <f t="shared" si="14"/>
        <v>C</v>
      </c>
    </row>
    <row r="253" spans="1:7" ht="16.5" x14ac:dyDescent="0.3">
      <c r="A253" t="s">
        <v>731</v>
      </c>
      <c r="B253" t="s">
        <v>1316</v>
      </c>
      <c r="C253" s="8">
        <v>3823.6151599999998</v>
      </c>
      <c r="D253" s="8">
        <f t="shared" si="15"/>
        <v>1698886.2322299995</v>
      </c>
      <c r="E253" s="20">
        <f t="shared" si="12"/>
        <v>1711094.3775999995</v>
      </c>
      <c r="F253" s="22">
        <f t="shared" si="13"/>
        <v>0.99286529981641147</v>
      </c>
      <c r="G253" s="13" t="str">
        <f t="shared" si="14"/>
        <v>C</v>
      </c>
    </row>
    <row r="254" spans="1:7" ht="16.5" x14ac:dyDescent="0.3">
      <c r="A254" t="s">
        <v>731</v>
      </c>
      <c r="B254" t="s">
        <v>973</v>
      </c>
      <c r="C254" s="8">
        <v>3823.5108</v>
      </c>
      <c r="D254" s="8">
        <f t="shared" si="15"/>
        <v>1702709.7430299995</v>
      </c>
      <c r="E254" s="20">
        <f t="shared" si="12"/>
        <v>1711094.3775999995</v>
      </c>
      <c r="F254" s="22">
        <f t="shared" si="13"/>
        <v>0.99509984096741622</v>
      </c>
      <c r="G254" s="13" t="str">
        <f t="shared" si="14"/>
        <v>C</v>
      </c>
    </row>
    <row r="255" spans="1:7" ht="16.5" x14ac:dyDescent="0.3">
      <c r="A255" t="s">
        <v>731</v>
      </c>
      <c r="B255" t="s">
        <v>880</v>
      </c>
      <c r="C255" s="8">
        <v>3562.9028999999996</v>
      </c>
      <c r="D255" s="8">
        <f t="shared" si="15"/>
        <v>1706272.6459299996</v>
      </c>
      <c r="E255" s="20">
        <f t="shared" si="12"/>
        <v>1711094.3775999995</v>
      </c>
      <c r="F255" s="22">
        <f t="shared" si="13"/>
        <v>0.997182077310801</v>
      </c>
      <c r="G255" s="13" t="str">
        <f t="shared" si="14"/>
        <v>C</v>
      </c>
    </row>
    <row r="256" spans="1:7" ht="16.5" x14ac:dyDescent="0.3">
      <c r="A256" t="s">
        <v>731</v>
      </c>
      <c r="B256" t="s">
        <v>787</v>
      </c>
      <c r="C256" s="8">
        <v>2518.8755800000004</v>
      </c>
      <c r="D256" s="8">
        <f t="shared" si="15"/>
        <v>1708791.5215099996</v>
      </c>
      <c r="E256" s="20">
        <f t="shared" si="12"/>
        <v>1711094.3775999995</v>
      </c>
      <c r="F256" s="22">
        <f t="shared" si="13"/>
        <v>0.99865416185094946</v>
      </c>
      <c r="G256" s="13" t="str">
        <f t="shared" si="14"/>
        <v>C</v>
      </c>
    </row>
    <row r="257" spans="1:7" ht="16.5" x14ac:dyDescent="0.3">
      <c r="A257" t="s">
        <v>731</v>
      </c>
      <c r="B257" t="s">
        <v>1209</v>
      </c>
      <c r="C257" s="8">
        <v>1009.2969000000002</v>
      </c>
      <c r="D257" s="8">
        <f t="shared" si="15"/>
        <v>1709800.8184099996</v>
      </c>
      <c r="E257" s="20">
        <f t="shared" si="12"/>
        <v>1711094.3775999995</v>
      </c>
      <c r="F257" s="22">
        <f t="shared" si="13"/>
        <v>0.99924401645699157</v>
      </c>
      <c r="G257" s="13" t="str">
        <f t="shared" si="14"/>
        <v>C</v>
      </c>
    </row>
    <row r="258" spans="1:7" ht="16.5" x14ac:dyDescent="0.3">
      <c r="A258" t="s">
        <v>731</v>
      </c>
      <c r="B258" t="s">
        <v>853</v>
      </c>
      <c r="C258" s="8">
        <v>592.92849000000001</v>
      </c>
      <c r="D258" s="8">
        <f t="shared" si="15"/>
        <v>1710393.7468999997</v>
      </c>
      <c r="E258" s="20">
        <f t="shared" si="12"/>
        <v>1711094.3775999995</v>
      </c>
      <c r="F258" s="22">
        <f t="shared" si="13"/>
        <v>0.99959053649572349</v>
      </c>
      <c r="G258" s="13" t="str">
        <f t="shared" si="14"/>
        <v>C</v>
      </c>
    </row>
    <row r="259" spans="1:7" ht="16.5" x14ac:dyDescent="0.3">
      <c r="A259" t="s">
        <v>731</v>
      </c>
      <c r="B259" t="s">
        <v>1122</v>
      </c>
      <c r="C259" s="8">
        <v>434.45248000000004</v>
      </c>
      <c r="D259" s="8">
        <f t="shared" si="15"/>
        <v>1710828.1993799997</v>
      </c>
      <c r="E259" s="20">
        <f t="shared" ref="E259:E322" si="16">SUMIF(A:A, A259, C:C)</f>
        <v>1711094.3775999995</v>
      </c>
      <c r="F259" s="22">
        <f t="shared" ref="F259:F322" si="17">D259/E259</f>
        <v>0.99984443977872617</v>
      </c>
      <c r="G259" s="13" t="str">
        <f t="shared" ref="G259:G322" si="18">IF(F259&lt;=0.8, "A", IF(F259&lt;=0.95, "B", "C"))</f>
        <v>C</v>
      </c>
    </row>
    <row r="260" spans="1:7" ht="16.5" x14ac:dyDescent="0.3">
      <c r="A260" t="s">
        <v>731</v>
      </c>
      <c r="B260" t="s">
        <v>1363</v>
      </c>
      <c r="C260" s="8">
        <v>266.17821999999995</v>
      </c>
      <c r="D260" s="8">
        <f t="shared" ref="D260:D323" si="19">IF(A260=A259, D259+C260, C260)</f>
        <v>1711094.3775999995</v>
      </c>
      <c r="E260" s="20">
        <f t="shared" si="16"/>
        <v>1711094.3775999995</v>
      </c>
      <c r="F260" s="22">
        <f t="shared" si="17"/>
        <v>1</v>
      </c>
      <c r="G260" s="13" t="str">
        <f t="shared" si="18"/>
        <v>C</v>
      </c>
    </row>
    <row r="261" spans="1:7" ht="16.5" x14ac:dyDescent="0.3">
      <c r="A261" t="s">
        <v>732</v>
      </c>
      <c r="B261" t="s">
        <v>909</v>
      </c>
      <c r="C261" s="8">
        <v>92715.25</v>
      </c>
      <c r="D261" s="8">
        <f t="shared" si="19"/>
        <v>92715.25</v>
      </c>
      <c r="E261" s="20">
        <f t="shared" si="16"/>
        <v>1551590.8794699989</v>
      </c>
      <c r="F261" s="22">
        <f t="shared" si="17"/>
        <v>5.9754959394753719E-2</v>
      </c>
      <c r="G261" s="13" t="str">
        <f t="shared" si="18"/>
        <v>A</v>
      </c>
    </row>
    <row r="262" spans="1:7" ht="16.5" x14ac:dyDescent="0.3">
      <c r="A262" t="s">
        <v>732</v>
      </c>
      <c r="B262" t="s">
        <v>874</v>
      </c>
      <c r="C262" s="8">
        <v>87404.929919999995</v>
      </c>
      <c r="D262" s="8">
        <f t="shared" si="19"/>
        <v>180120.17992</v>
      </c>
      <c r="E262" s="20">
        <f t="shared" si="16"/>
        <v>1551590.8794699989</v>
      </c>
      <c r="F262" s="22">
        <f t="shared" si="17"/>
        <v>0.11608741859937102</v>
      </c>
      <c r="G262" s="13" t="str">
        <f t="shared" si="18"/>
        <v>A</v>
      </c>
    </row>
    <row r="263" spans="1:7" ht="16.5" x14ac:dyDescent="0.3">
      <c r="A263" t="s">
        <v>732</v>
      </c>
      <c r="B263" t="s">
        <v>899</v>
      </c>
      <c r="C263" s="8">
        <v>85637.740319999997</v>
      </c>
      <c r="D263" s="8">
        <f t="shared" si="19"/>
        <v>265757.92024000001</v>
      </c>
      <c r="E263" s="20">
        <f t="shared" si="16"/>
        <v>1551590.8794699989</v>
      </c>
      <c r="F263" s="22">
        <f t="shared" si="17"/>
        <v>0.17128092447332449</v>
      </c>
      <c r="G263" s="13" t="str">
        <f t="shared" si="18"/>
        <v>A</v>
      </c>
    </row>
    <row r="264" spans="1:7" ht="16.5" x14ac:dyDescent="0.3">
      <c r="A264" t="s">
        <v>732</v>
      </c>
      <c r="B264" t="s">
        <v>797</v>
      </c>
      <c r="C264" s="8">
        <v>72665.817450000002</v>
      </c>
      <c r="D264" s="8">
        <f t="shared" si="19"/>
        <v>338423.73768999998</v>
      </c>
      <c r="E264" s="20">
        <f t="shared" si="16"/>
        <v>1551590.8794699989</v>
      </c>
      <c r="F264" s="22">
        <f t="shared" si="17"/>
        <v>0.21811402874809413</v>
      </c>
      <c r="G264" s="13" t="str">
        <f t="shared" si="18"/>
        <v>A</v>
      </c>
    </row>
    <row r="265" spans="1:7" ht="16.5" x14ac:dyDescent="0.3">
      <c r="A265" t="s">
        <v>732</v>
      </c>
      <c r="B265" t="s">
        <v>1129</v>
      </c>
      <c r="C265" s="8">
        <v>56176.777799999996</v>
      </c>
      <c r="D265" s="8">
        <f t="shared" si="19"/>
        <v>394600.51548999996</v>
      </c>
      <c r="E265" s="20">
        <f t="shared" si="16"/>
        <v>1551590.8794699989</v>
      </c>
      <c r="F265" s="22">
        <f t="shared" si="17"/>
        <v>0.25431995038846184</v>
      </c>
      <c r="G265" s="13" t="str">
        <f t="shared" si="18"/>
        <v>A</v>
      </c>
    </row>
    <row r="266" spans="1:7" ht="16.5" x14ac:dyDescent="0.3">
      <c r="A266" t="s">
        <v>732</v>
      </c>
      <c r="B266" t="s">
        <v>1181</v>
      </c>
      <c r="C266" s="8">
        <v>45547.183360000003</v>
      </c>
      <c r="D266" s="8">
        <f t="shared" si="19"/>
        <v>440147.69884999999</v>
      </c>
      <c r="E266" s="20">
        <f t="shared" si="16"/>
        <v>1551590.8794699989</v>
      </c>
      <c r="F266" s="22">
        <f t="shared" si="17"/>
        <v>0.28367510061695395</v>
      </c>
      <c r="G266" s="13" t="str">
        <f t="shared" si="18"/>
        <v>A</v>
      </c>
    </row>
    <row r="267" spans="1:7" ht="16.5" x14ac:dyDescent="0.3">
      <c r="A267" t="s">
        <v>732</v>
      </c>
      <c r="B267" t="s">
        <v>774</v>
      </c>
      <c r="C267" s="8">
        <v>41106.800970000004</v>
      </c>
      <c r="D267" s="8">
        <f t="shared" si="19"/>
        <v>481254.49981999997</v>
      </c>
      <c r="E267" s="20">
        <f t="shared" si="16"/>
        <v>1551590.8794699989</v>
      </c>
      <c r="F267" s="22">
        <f t="shared" si="17"/>
        <v>0.31016842531607919</v>
      </c>
      <c r="G267" s="13" t="str">
        <f t="shared" si="18"/>
        <v>A</v>
      </c>
    </row>
    <row r="268" spans="1:7" ht="16.5" x14ac:dyDescent="0.3">
      <c r="A268" t="s">
        <v>732</v>
      </c>
      <c r="B268" t="s">
        <v>1000</v>
      </c>
      <c r="C268" s="8">
        <v>38818.760160000005</v>
      </c>
      <c r="D268" s="8">
        <f t="shared" si="19"/>
        <v>520073.25997999997</v>
      </c>
      <c r="E268" s="20">
        <f t="shared" si="16"/>
        <v>1551590.8794699989</v>
      </c>
      <c r="F268" s="22">
        <f t="shared" si="17"/>
        <v>0.33518710818772635</v>
      </c>
      <c r="G268" s="13" t="str">
        <f t="shared" si="18"/>
        <v>A</v>
      </c>
    </row>
    <row r="269" spans="1:7" ht="16.5" x14ac:dyDescent="0.3">
      <c r="A269" t="s">
        <v>732</v>
      </c>
      <c r="B269" t="s">
        <v>1006</v>
      </c>
      <c r="C269" s="8">
        <v>34632.106319999999</v>
      </c>
      <c r="D269" s="8">
        <f t="shared" si="19"/>
        <v>554705.36629999999</v>
      </c>
      <c r="E269" s="20">
        <f t="shared" si="16"/>
        <v>1551590.8794699989</v>
      </c>
      <c r="F269" s="22">
        <f t="shared" si="17"/>
        <v>0.35750749352785532</v>
      </c>
      <c r="G269" s="13" t="str">
        <f t="shared" si="18"/>
        <v>A</v>
      </c>
    </row>
    <row r="270" spans="1:7" ht="16.5" x14ac:dyDescent="0.3">
      <c r="A270" t="s">
        <v>732</v>
      </c>
      <c r="B270" t="s">
        <v>1106</v>
      </c>
      <c r="C270" s="8">
        <v>32280.32474</v>
      </c>
      <c r="D270" s="8">
        <f t="shared" si="19"/>
        <v>586985.69103999995</v>
      </c>
      <c r="E270" s="20">
        <f t="shared" si="16"/>
        <v>1551590.8794699989</v>
      </c>
      <c r="F270" s="22">
        <f t="shared" si="17"/>
        <v>0.37831215612746177</v>
      </c>
      <c r="G270" s="13" t="str">
        <f t="shared" si="18"/>
        <v>A</v>
      </c>
    </row>
    <row r="271" spans="1:7" ht="16.5" x14ac:dyDescent="0.3">
      <c r="A271" t="s">
        <v>732</v>
      </c>
      <c r="B271" t="s">
        <v>789</v>
      </c>
      <c r="C271" s="8">
        <v>31680.795320000001</v>
      </c>
      <c r="D271" s="8">
        <f t="shared" si="19"/>
        <v>618666.48635999998</v>
      </c>
      <c r="E271" s="20">
        <f t="shared" si="16"/>
        <v>1551590.8794699989</v>
      </c>
      <c r="F271" s="22">
        <f t="shared" si="17"/>
        <v>0.3987304221402278</v>
      </c>
      <c r="G271" s="13" t="str">
        <f t="shared" si="18"/>
        <v>A</v>
      </c>
    </row>
    <row r="272" spans="1:7" ht="16.5" x14ac:dyDescent="0.3">
      <c r="A272" t="s">
        <v>732</v>
      </c>
      <c r="B272" t="s">
        <v>929</v>
      </c>
      <c r="C272" s="8">
        <v>31191.64716</v>
      </c>
      <c r="D272" s="8">
        <f t="shared" si="19"/>
        <v>649858.13352000003</v>
      </c>
      <c r="E272" s="20">
        <f t="shared" si="16"/>
        <v>1551590.8794699989</v>
      </c>
      <c r="F272" s="22">
        <f t="shared" si="17"/>
        <v>0.41883343226532899</v>
      </c>
      <c r="G272" s="13" t="str">
        <f t="shared" si="18"/>
        <v>A</v>
      </c>
    </row>
    <row r="273" spans="1:7" ht="16.5" x14ac:dyDescent="0.3">
      <c r="A273" t="s">
        <v>732</v>
      </c>
      <c r="B273" t="s">
        <v>1044</v>
      </c>
      <c r="C273" s="8">
        <v>30799.273800000003</v>
      </c>
      <c r="D273" s="8">
        <f t="shared" si="19"/>
        <v>680657.40732</v>
      </c>
      <c r="E273" s="20">
        <f t="shared" si="16"/>
        <v>1551590.8794699989</v>
      </c>
      <c r="F273" s="22">
        <f t="shared" si="17"/>
        <v>0.43868355784129304</v>
      </c>
      <c r="G273" s="13" t="str">
        <f t="shared" si="18"/>
        <v>A</v>
      </c>
    </row>
    <row r="274" spans="1:7" ht="16.5" x14ac:dyDescent="0.3">
      <c r="A274" t="s">
        <v>732</v>
      </c>
      <c r="B274" t="s">
        <v>1274</v>
      </c>
      <c r="C274" s="8">
        <v>30652.403519999996</v>
      </c>
      <c r="D274" s="8">
        <f t="shared" si="19"/>
        <v>711309.81084000005</v>
      </c>
      <c r="E274" s="20">
        <f t="shared" si="16"/>
        <v>1551590.8794699989</v>
      </c>
      <c r="F274" s="22">
        <f t="shared" si="17"/>
        <v>0.45843902555225979</v>
      </c>
      <c r="G274" s="13" t="str">
        <f t="shared" si="18"/>
        <v>A</v>
      </c>
    </row>
    <row r="275" spans="1:7" ht="16.5" x14ac:dyDescent="0.3">
      <c r="A275" t="s">
        <v>732</v>
      </c>
      <c r="B275" t="s">
        <v>1007</v>
      </c>
      <c r="C275" s="8">
        <v>29536.716</v>
      </c>
      <c r="D275" s="8">
        <f t="shared" si="19"/>
        <v>740846.52684000006</v>
      </c>
      <c r="E275" s="20">
        <f t="shared" si="16"/>
        <v>1551590.8794699989</v>
      </c>
      <c r="F275" s="22">
        <f t="shared" si="17"/>
        <v>0.47747543288799338</v>
      </c>
      <c r="G275" s="13" t="str">
        <f t="shared" si="18"/>
        <v>A</v>
      </c>
    </row>
    <row r="276" spans="1:7" ht="16.5" x14ac:dyDescent="0.3">
      <c r="A276" t="s">
        <v>732</v>
      </c>
      <c r="B276" t="s">
        <v>922</v>
      </c>
      <c r="C276" s="8">
        <v>28072.190160000002</v>
      </c>
      <c r="D276" s="8">
        <f t="shared" si="19"/>
        <v>768918.71700000006</v>
      </c>
      <c r="E276" s="20">
        <f t="shared" si="16"/>
        <v>1551590.8794699989</v>
      </c>
      <c r="F276" s="22">
        <f t="shared" si="17"/>
        <v>0.49556795362360706</v>
      </c>
      <c r="G276" s="13" t="str">
        <f t="shared" si="18"/>
        <v>A</v>
      </c>
    </row>
    <row r="277" spans="1:7" ht="16.5" x14ac:dyDescent="0.3">
      <c r="A277" t="s">
        <v>732</v>
      </c>
      <c r="B277" t="s">
        <v>869</v>
      </c>
      <c r="C277" s="8">
        <v>27370.540859999997</v>
      </c>
      <c r="D277" s="8">
        <f t="shared" si="19"/>
        <v>796289.25786000001</v>
      </c>
      <c r="E277" s="20">
        <f t="shared" si="16"/>
        <v>1551590.8794699989</v>
      </c>
      <c r="F277" s="22">
        <f t="shared" si="17"/>
        <v>0.51320826153090104</v>
      </c>
      <c r="G277" s="13" t="str">
        <f t="shared" si="18"/>
        <v>A</v>
      </c>
    </row>
    <row r="278" spans="1:7" ht="16.5" x14ac:dyDescent="0.3">
      <c r="A278" t="s">
        <v>732</v>
      </c>
      <c r="B278" t="s">
        <v>918</v>
      </c>
      <c r="C278" s="8">
        <v>26408.63841</v>
      </c>
      <c r="D278" s="8">
        <f t="shared" si="19"/>
        <v>822697.89627000003</v>
      </c>
      <c r="E278" s="20">
        <f t="shared" si="16"/>
        <v>1551590.8794699989</v>
      </c>
      <c r="F278" s="22">
        <f t="shared" si="17"/>
        <v>0.53022862350868016</v>
      </c>
      <c r="G278" s="13" t="str">
        <f t="shared" si="18"/>
        <v>A</v>
      </c>
    </row>
    <row r="279" spans="1:7" ht="16.5" x14ac:dyDescent="0.3">
      <c r="A279" t="s">
        <v>732</v>
      </c>
      <c r="B279" t="s">
        <v>939</v>
      </c>
      <c r="C279" s="8">
        <v>26131.70736</v>
      </c>
      <c r="D279" s="8">
        <f t="shared" si="19"/>
        <v>848829.60363000003</v>
      </c>
      <c r="E279" s="20">
        <f t="shared" si="16"/>
        <v>1551590.8794699989</v>
      </c>
      <c r="F279" s="22">
        <f t="shared" si="17"/>
        <v>0.54707050348217312</v>
      </c>
      <c r="G279" s="13" t="str">
        <f t="shared" si="18"/>
        <v>A</v>
      </c>
    </row>
    <row r="280" spans="1:7" ht="16.5" x14ac:dyDescent="0.3">
      <c r="A280" t="s">
        <v>732</v>
      </c>
      <c r="B280" t="s">
        <v>1073</v>
      </c>
      <c r="C280" s="8">
        <v>26106.613960000002</v>
      </c>
      <c r="D280" s="8">
        <f t="shared" si="19"/>
        <v>874936.21759000001</v>
      </c>
      <c r="E280" s="20">
        <f t="shared" si="16"/>
        <v>1551590.8794699989</v>
      </c>
      <c r="F280" s="22">
        <f t="shared" si="17"/>
        <v>0.56389621076457064</v>
      </c>
      <c r="G280" s="13" t="str">
        <f t="shared" si="18"/>
        <v>A</v>
      </c>
    </row>
    <row r="281" spans="1:7" ht="16.5" x14ac:dyDescent="0.3">
      <c r="A281" t="s">
        <v>732</v>
      </c>
      <c r="B281" t="s">
        <v>938</v>
      </c>
      <c r="C281" s="8">
        <v>25553.782800000001</v>
      </c>
      <c r="D281" s="8">
        <f t="shared" si="19"/>
        <v>900490.00039000006</v>
      </c>
      <c r="E281" s="20">
        <f t="shared" si="16"/>
        <v>1551590.8794699989</v>
      </c>
      <c r="F281" s="22">
        <f t="shared" si="17"/>
        <v>0.58036561847901202</v>
      </c>
      <c r="G281" s="13" t="str">
        <f t="shared" si="18"/>
        <v>A</v>
      </c>
    </row>
    <row r="282" spans="1:7" ht="16.5" x14ac:dyDescent="0.3">
      <c r="A282" t="s">
        <v>732</v>
      </c>
      <c r="B282" t="s">
        <v>1300</v>
      </c>
      <c r="C282" s="8">
        <v>25079.480689999997</v>
      </c>
      <c r="D282" s="8">
        <f t="shared" si="19"/>
        <v>925569.48108000006</v>
      </c>
      <c r="E282" s="20">
        <f t="shared" si="16"/>
        <v>1551590.8794699989</v>
      </c>
      <c r="F282" s="22">
        <f t="shared" si="17"/>
        <v>0.59652933858193424</v>
      </c>
      <c r="G282" s="13" t="str">
        <f t="shared" si="18"/>
        <v>A</v>
      </c>
    </row>
    <row r="283" spans="1:7" ht="16.5" x14ac:dyDescent="0.3">
      <c r="A283" t="s">
        <v>732</v>
      </c>
      <c r="B283" t="s">
        <v>849</v>
      </c>
      <c r="C283" s="8">
        <v>24523.006720000001</v>
      </c>
      <c r="D283" s="8">
        <f t="shared" si="19"/>
        <v>950092.4878</v>
      </c>
      <c r="E283" s="20">
        <f t="shared" si="16"/>
        <v>1551590.8794699989</v>
      </c>
      <c r="F283" s="22">
        <f t="shared" si="17"/>
        <v>0.61233441132661071</v>
      </c>
      <c r="G283" s="13" t="str">
        <f t="shared" si="18"/>
        <v>A</v>
      </c>
    </row>
    <row r="284" spans="1:7" ht="16.5" x14ac:dyDescent="0.3">
      <c r="A284" t="s">
        <v>732</v>
      </c>
      <c r="B284" t="s">
        <v>1187</v>
      </c>
      <c r="C284" s="8">
        <v>23132.398349999996</v>
      </c>
      <c r="D284" s="8">
        <f t="shared" si="19"/>
        <v>973224.88615000003</v>
      </c>
      <c r="E284" s="20">
        <f t="shared" si="16"/>
        <v>1551590.8794699989</v>
      </c>
      <c r="F284" s="22">
        <f t="shared" si="17"/>
        <v>0.627243237265251</v>
      </c>
      <c r="G284" s="13" t="str">
        <f t="shared" si="18"/>
        <v>A</v>
      </c>
    </row>
    <row r="285" spans="1:7" ht="16.5" x14ac:dyDescent="0.3">
      <c r="A285" t="s">
        <v>732</v>
      </c>
      <c r="B285" t="s">
        <v>855</v>
      </c>
      <c r="C285" s="8">
        <v>22983.34563</v>
      </c>
      <c r="D285" s="8">
        <f t="shared" si="19"/>
        <v>996208.23178000003</v>
      </c>
      <c r="E285" s="20">
        <f t="shared" si="16"/>
        <v>1551590.8794699989</v>
      </c>
      <c r="F285" s="22">
        <f t="shared" si="17"/>
        <v>0.64205599875676667</v>
      </c>
      <c r="G285" s="13" t="str">
        <f t="shared" si="18"/>
        <v>A</v>
      </c>
    </row>
    <row r="286" spans="1:7" ht="16.5" x14ac:dyDescent="0.3">
      <c r="A286" t="s">
        <v>732</v>
      </c>
      <c r="B286" t="s">
        <v>894</v>
      </c>
      <c r="C286" s="8">
        <v>22044.871499999997</v>
      </c>
      <c r="D286" s="8">
        <f t="shared" si="19"/>
        <v>1018253.10328</v>
      </c>
      <c r="E286" s="20">
        <f t="shared" si="16"/>
        <v>1551590.8794699989</v>
      </c>
      <c r="F286" s="22">
        <f t="shared" si="17"/>
        <v>0.65626391386614791</v>
      </c>
      <c r="G286" s="13" t="str">
        <f t="shared" si="18"/>
        <v>A</v>
      </c>
    </row>
    <row r="287" spans="1:7" ht="16.5" x14ac:dyDescent="0.3">
      <c r="A287" t="s">
        <v>732</v>
      </c>
      <c r="B287" t="s">
        <v>1233</v>
      </c>
      <c r="C287" s="8">
        <v>20332.775539999999</v>
      </c>
      <c r="D287" s="8">
        <f t="shared" si="19"/>
        <v>1038585.87882</v>
      </c>
      <c r="E287" s="20">
        <f t="shared" si="16"/>
        <v>1551590.8794699989</v>
      </c>
      <c r="F287" s="22">
        <f t="shared" si="17"/>
        <v>0.66936838348441829</v>
      </c>
      <c r="G287" s="13" t="str">
        <f t="shared" si="18"/>
        <v>A</v>
      </c>
    </row>
    <row r="288" spans="1:7" ht="16.5" x14ac:dyDescent="0.3">
      <c r="A288" t="s">
        <v>732</v>
      </c>
      <c r="B288" t="s">
        <v>986</v>
      </c>
      <c r="C288" s="8">
        <v>17689.623</v>
      </c>
      <c r="D288" s="8">
        <f t="shared" si="19"/>
        <v>1056275.5018199999</v>
      </c>
      <c r="E288" s="20">
        <f t="shared" si="16"/>
        <v>1551590.8794699989</v>
      </c>
      <c r="F288" s="22">
        <f t="shared" si="17"/>
        <v>0.68076934183887983</v>
      </c>
      <c r="G288" s="13" t="str">
        <f t="shared" si="18"/>
        <v>A</v>
      </c>
    </row>
    <row r="289" spans="1:7" ht="16.5" x14ac:dyDescent="0.3">
      <c r="A289" t="s">
        <v>732</v>
      </c>
      <c r="B289" t="s">
        <v>1014</v>
      </c>
      <c r="C289" s="8">
        <v>17441.021520000002</v>
      </c>
      <c r="D289" s="8">
        <f t="shared" si="19"/>
        <v>1073716.5233399998</v>
      </c>
      <c r="E289" s="20">
        <f t="shared" si="16"/>
        <v>1551590.8794699989</v>
      </c>
      <c r="F289" s="22">
        <f t="shared" si="17"/>
        <v>0.69201007659104441</v>
      </c>
      <c r="G289" s="13" t="str">
        <f t="shared" si="18"/>
        <v>A</v>
      </c>
    </row>
    <row r="290" spans="1:7" ht="16.5" x14ac:dyDescent="0.3">
      <c r="A290" t="s">
        <v>732</v>
      </c>
      <c r="B290" t="s">
        <v>1232</v>
      </c>
      <c r="C290" s="8">
        <v>16574.544740000001</v>
      </c>
      <c r="D290" s="8">
        <f t="shared" si="19"/>
        <v>1090291.0680799999</v>
      </c>
      <c r="E290" s="20">
        <f t="shared" si="16"/>
        <v>1551590.8794699989</v>
      </c>
      <c r="F290" s="22">
        <f t="shared" si="17"/>
        <v>0.7026923672382166</v>
      </c>
      <c r="G290" s="13" t="str">
        <f t="shared" si="18"/>
        <v>A</v>
      </c>
    </row>
    <row r="291" spans="1:7" ht="16.5" x14ac:dyDescent="0.3">
      <c r="A291" t="s">
        <v>732</v>
      </c>
      <c r="B291" t="s">
        <v>1085</v>
      </c>
      <c r="C291" s="8">
        <v>16487.22781</v>
      </c>
      <c r="D291" s="8">
        <f t="shared" si="19"/>
        <v>1106778.29589</v>
      </c>
      <c r="E291" s="20">
        <f t="shared" si="16"/>
        <v>1551590.8794699989</v>
      </c>
      <c r="F291" s="22">
        <f t="shared" si="17"/>
        <v>0.7133183821421144</v>
      </c>
      <c r="G291" s="13" t="str">
        <f t="shared" si="18"/>
        <v>A</v>
      </c>
    </row>
    <row r="292" spans="1:7" ht="16.5" x14ac:dyDescent="0.3">
      <c r="A292" t="s">
        <v>732</v>
      </c>
      <c r="B292" t="s">
        <v>1123</v>
      </c>
      <c r="C292" s="8">
        <v>16142.527829999999</v>
      </c>
      <c r="D292" s="8">
        <f t="shared" si="19"/>
        <v>1122920.82372</v>
      </c>
      <c r="E292" s="20">
        <f t="shared" si="16"/>
        <v>1551590.8794699989</v>
      </c>
      <c r="F292" s="22">
        <f t="shared" si="17"/>
        <v>0.72372223798039703</v>
      </c>
      <c r="G292" s="13" t="str">
        <f t="shared" si="18"/>
        <v>A</v>
      </c>
    </row>
    <row r="293" spans="1:7" ht="16.5" x14ac:dyDescent="0.3">
      <c r="A293" t="s">
        <v>732</v>
      </c>
      <c r="B293" t="s">
        <v>1256</v>
      </c>
      <c r="C293" s="8">
        <v>16121.273400000002</v>
      </c>
      <c r="D293" s="8">
        <f t="shared" si="19"/>
        <v>1139042.09712</v>
      </c>
      <c r="E293" s="20">
        <f t="shared" si="16"/>
        <v>1551590.8794699989</v>
      </c>
      <c r="F293" s="22">
        <f t="shared" si="17"/>
        <v>0.73411239534295303</v>
      </c>
      <c r="G293" s="13" t="str">
        <f t="shared" si="18"/>
        <v>A</v>
      </c>
    </row>
    <row r="294" spans="1:7" ht="16.5" x14ac:dyDescent="0.3">
      <c r="A294" t="s">
        <v>732</v>
      </c>
      <c r="B294" t="s">
        <v>1117</v>
      </c>
      <c r="C294" s="8">
        <v>15257.51748</v>
      </c>
      <c r="D294" s="8">
        <f t="shared" si="19"/>
        <v>1154299.6146</v>
      </c>
      <c r="E294" s="20">
        <f t="shared" si="16"/>
        <v>1551590.8794699989</v>
      </c>
      <c r="F294" s="22">
        <f t="shared" si="17"/>
        <v>0.74394586219422232</v>
      </c>
      <c r="G294" s="13" t="str">
        <f t="shared" si="18"/>
        <v>A</v>
      </c>
    </row>
    <row r="295" spans="1:7" ht="16.5" x14ac:dyDescent="0.3">
      <c r="A295" t="s">
        <v>732</v>
      </c>
      <c r="B295" t="s">
        <v>742</v>
      </c>
      <c r="C295" s="8">
        <v>14714.12934</v>
      </c>
      <c r="D295" s="8">
        <f t="shared" si="19"/>
        <v>1169013.74394</v>
      </c>
      <c r="E295" s="20">
        <f t="shared" si="16"/>
        <v>1551590.8794699989</v>
      </c>
      <c r="F295" s="22">
        <f t="shared" si="17"/>
        <v>0.75342911550196678</v>
      </c>
      <c r="G295" s="13" t="str">
        <f t="shared" si="18"/>
        <v>A</v>
      </c>
    </row>
    <row r="296" spans="1:7" ht="16.5" x14ac:dyDescent="0.3">
      <c r="A296" t="s">
        <v>732</v>
      </c>
      <c r="B296" t="s">
        <v>1306</v>
      </c>
      <c r="C296" s="8">
        <v>14466.95104</v>
      </c>
      <c r="D296" s="8">
        <f t="shared" si="19"/>
        <v>1183480.6949799999</v>
      </c>
      <c r="E296" s="20">
        <f t="shared" si="16"/>
        <v>1551590.8794699989</v>
      </c>
      <c r="F296" s="22">
        <f t="shared" si="17"/>
        <v>0.76275306244662888</v>
      </c>
      <c r="G296" s="13" t="str">
        <f t="shared" si="18"/>
        <v>A</v>
      </c>
    </row>
    <row r="297" spans="1:7" ht="16.5" x14ac:dyDescent="0.3">
      <c r="A297" t="s">
        <v>732</v>
      </c>
      <c r="B297" t="s">
        <v>801</v>
      </c>
      <c r="C297" s="8">
        <v>14287.896349999999</v>
      </c>
      <c r="D297" s="8">
        <f t="shared" si="19"/>
        <v>1197768.59133</v>
      </c>
      <c r="E297" s="20">
        <f t="shared" si="16"/>
        <v>1551590.8794699989</v>
      </c>
      <c r="F297" s="22">
        <f t="shared" si="17"/>
        <v>0.77196160868072417</v>
      </c>
      <c r="G297" s="13" t="str">
        <f t="shared" si="18"/>
        <v>A</v>
      </c>
    </row>
    <row r="298" spans="1:7" ht="16.5" x14ac:dyDescent="0.3">
      <c r="A298" t="s">
        <v>732</v>
      </c>
      <c r="B298" t="s">
        <v>1161</v>
      </c>
      <c r="C298" s="8">
        <v>13450.74</v>
      </c>
      <c r="D298" s="8">
        <f t="shared" si="19"/>
        <v>1211219.33133</v>
      </c>
      <c r="E298" s="20">
        <f t="shared" si="16"/>
        <v>1551590.8794699989</v>
      </c>
      <c r="F298" s="22">
        <f t="shared" si="17"/>
        <v>0.78063060782088067</v>
      </c>
      <c r="G298" s="13" t="str">
        <f t="shared" si="18"/>
        <v>A</v>
      </c>
    </row>
    <row r="299" spans="1:7" ht="16.5" x14ac:dyDescent="0.3">
      <c r="A299" t="s">
        <v>732</v>
      </c>
      <c r="B299" t="s">
        <v>1138</v>
      </c>
      <c r="C299" s="8">
        <v>13437.300239999999</v>
      </c>
      <c r="D299" s="8">
        <f t="shared" si="19"/>
        <v>1224656.63157</v>
      </c>
      <c r="E299" s="20">
        <f t="shared" si="16"/>
        <v>1551590.8794699989</v>
      </c>
      <c r="F299" s="22">
        <f t="shared" si="17"/>
        <v>0.78929094503850461</v>
      </c>
      <c r="G299" s="13" t="str">
        <f t="shared" si="18"/>
        <v>A</v>
      </c>
    </row>
    <row r="300" spans="1:7" ht="16.5" x14ac:dyDescent="0.3">
      <c r="A300" t="s">
        <v>732</v>
      </c>
      <c r="B300" t="s">
        <v>1132</v>
      </c>
      <c r="C300" s="8">
        <v>12972.00222</v>
      </c>
      <c r="D300" s="8">
        <f t="shared" si="19"/>
        <v>1237628.6337899999</v>
      </c>
      <c r="E300" s="20">
        <f t="shared" si="16"/>
        <v>1551590.8794699989</v>
      </c>
      <c r="F300" s="22">
        <f t="shared" si="17"/>
        <v>0.79765139777874694</v>
      </c>
      <c r="G300" s="13" t="str">
        <f t="shared" si="18"/>
        <v>A</v>
      </c>
    </row>
    <row r="301" spans="1:7" ht="16.5" x14ac:dyDescent="0.3">
      <c r="A301" t="s">
        <v>732</v>
      </c>
      <c r="B301" t="s">
        <v>1166</v>
      </c>
      <c r="C301" s="8">
        <v>12967.958640000001</v>
      </c>
      <c r="D301" s="8">
        <f t="shared" si="19"/>
        <v>1250596.59243</v>
      </c>
      <c r="E301" s="20">
        <f t="shared" si="16"/>
        <v>1551590.8794699989</v>
      </c>
      <c r="F301" s="22">
        <f t="shared" si="17"/>
        <v>0.80600924443251809</v>
      </c>
      <c r="G301" s="13" t="str">
        <f t="shared" si="18"/>
        <v>B</v>
      </c>
    </row>
    <row r="302" spans="1:7" ht="16.5" x14ac:dyDescent="0.3">
      <c r="A302" t="s">
        <v>732</v>
      </c>
      <c r="B302" t="s">
        <v>901</v>
      </c>
      <c r="C302" s="8">
        <v>12413.98458</v>
      </c>
      <c r="D302" s="8">
        <f t="shared" si="19"/>
        <v>1263010.5770099999</v>
      </c>
      <c r="E302" s="20">
        <f t="shared" si="16"/>
        <v>1551590.8794699989</v>
      </c>
      <c r="F302" s="22">
        <f t="shared" si="17"/>
        <v>0.81401005491951983</v>
      </c>
      <c r="G302" s="13" t="str">
        <f t="shared" si="18"/>
        <v>B</v>
      </c>
    </row>
    <row r="303" spans="1:7" ht="16.5" x14ac:dyDescent="0.3">
      <c r="A303" t="s">
        <v>732</v>
      </c>
      <c r="B303" t="s">
        <v>897</v>
      </c>
      <c r="C303" s="8">
        <v>12194.714</v>
      </c>
      <c r="D303" s="8">
        <f t="shared" si="19"/>
        <v>1275205.2910099998</v>
      </c>
      <c r="E303" s="20">
        <f t="shared" si="16"/>
        <v>1551590.8794699989</v>
      </c>
      <c r="F303" s="22">
        <f t="shared" si="17"/>
        <v>0.82186954556319103</v>
      </c>
      <c r="G303" s="13" t="str">
        <f t="shared" si="18"/>
        <v>B</v>
      </c>
    </row>
    <row r="304" spans="1:7" ht="16.5" x14ac:dyDescent="0.3">
      <c r="A304" t="s">
        <v>732</v>
      </c>
      <c r="B304" t="s">
        <v>822</v>
      </c>
      <c r="C304" s="8">
        <v>11842.8464</v>
      </c>
      <c r="D304" s="8">
        <f t="shared" si="19"/>
        <v>1287048.1374099997</v>
      </c>
      <c r="E304" s="20">
        <f t="shared" si="16"/>
        <v>1551590.8794699989</v>
      </c>
      <c r="F304" s="22">
        <f t="shared" si="17"/>
        <v>0.82950225761164365</v>
      </c>
      <c r="G304" s="13" t="str">
        <f t="shared" si="18"/>
        <v>B</v>
      </c>
    </row>
    <row r="305" spans="1:7" ht="16.5" x14ac:dyDescent="0.3">
      <c r="A305" t="s">
        <v>732</v>
      </c>
      <c r="B305" t="s">
        <v>983</v>
      </c>
      <c r="C305" s="8">
        <v>11813.604160000001</v>
      </c>
      <c r="D305" s="8">
        <f t="shared" si="19"/>
        <v>1298861.7415699998</v>
      </c>
      <c r="E305" s="20">
        <f t="shared" si="16"/>
        <v>1551590.8794699989</v>
      </c>
      <c r="F305" s="22">
        <f t="shared" si="17"/>
        <v>0.83711612304248162</v>
      </c>
      <c r="G305" s="13" t="str">
        <f t="shared" si="18"/>
        <v>B</v>
      </c>
    </row>
    <row r="306" spans="1:7" ht="16.5" x14ac:dyDescent="0.3">
      <c r="A306" t="s">
        <v>732</v>
      </c>
      <c r="B306" t="s">
        <v>1281</v>
      </c>
      <c r="C306" s="8">
        <v>10937.519999999999</v>
      </c>
      <c r="D306" s="8">
        <f t="shared" si="19"/>
        <v>1309799.2615699999</v>
      </c>
      <c r="E306" s="20">
        <f t="shared" si="16"/>
        <v>1551590.8794699989</v>
      </c>
      <c r="F306" s="22">
        <f t="shared" si="17"/>
        <v>0.84416535241390978</v>
      </c>
      <c r="G306" s="13" t="str">
        <f t="shared" si="18"/>
        <v>B</v>
      </c>
    </row>
    <row r="307" spans="1:7" ht="16.5" x14ac:dyDescent="0.3">
      <c r="A307" t="s">
        <v>732</v>
      </c>
      <c r="B307" t="s">
        <v>1290</v>
      </c>
      <c r="C307" s="8">
        <v>10519.776450000001</v>
      </c>
      <c r="D307" s="8">
        <f t="shared" si="19"/>
        <v>1320319.0380199999</v>
      </c>
      <c r="E307" s="20">
        <f t="shared" si="16"/>
        <v>1551590.8794699989</v>
      </c>
      <c r="F307" s="22">
        <f t="shared" si="17"/>
        <v>0.85094534615400796</v>
      </c>
      <c r="G307" s="13" t="str">
        <f t="shared" si="18"/>
        <v>B</v>
      </c>
    </row>
    <row r="308" spans="1:7" ht="16.5" x14ac:dyDescent="0.3">
      <c r="A308" t="s">
        <v>732</v>
      </c>
      <c r="B308" t="s">
        <v>1152</v>
      </c>
      <c r="C308" s="8">
        <v>9509.2865999999995</v>
      </c>
      <c r="D308" s="8">
        <f t="shared" si="19"/>
        <v>1329828.3246199999</v>
      </c>
      <c r="E308" s="20">
        <f t="shared" si="16"/>
        <v>1551590.8794699989</v>
      </c>
      <c r="F308" s="22">
        <f t="shared" si="17"/>
        <v>0.85707407939536873</v>
      </c>
      <c r="G308" s="13" t="str">
        <f t="shared" si="18"/>
        <v>B</v>
      </c>
    </row>
    <row r="309" spans="1:7" ht="16.5" x14ac:dyDescent="0.3">
      <c r="A309" t="s">
        <v>732</v>
      </c>
      <c r="B309" t="s">
        <v>1344</v>
      </c>
      <c r="C309" s="8">
        <v>9256.14</v>
      </c>
      <c r="D309" s="8">
        <f t="shared" si="19"/>
        <v>1339084.4646199998</v>
      </c>
      <c r="E309" s="20">
        <f t="shared" si="16"/>
        <v>1551590.8794699989</v>
      </c>
      <c r="F309" s="22">
        <f t="shared" si="17"/>
        <v>0.86303965970553509</v>
      </c>
      <c r="G309" s="13" t="str">
        <f t="shared" si="18"/>
        <v>B</v>
      </c>
    </row>
    <row r="310" spans="1:7" ht="16.5" x14ac:dyDescent="0.3">
      <c r="A310" t="s">
        <v>732</v>
      </c>
      <c r="B310" t="s">
        <v>1243</v>
      </c>
      <c r="C310" s="8">
        <v>9232.2830599999998</v>
      </c>
      <c r="D310" s="8">
        <f t="shared" si="19"/>
        <v>1348316.7476799998</v>
      </c>
      <c r="E310" s="20">
        <f t="shared" si="16"/>
        <v>1551590.8794699989</v>
      </c>
      <c r="F310" s="22">
        <f t="shared" si="17"/>
        <v>0.86898986422281976</v>
      </c>
      <c r="G310" s="13" t="str">
        <f t="shared" si="18"/>
        <v>B</v>
      </c>
    </row>
    <row r="311" spans="1:7" ht="16.5" x14ac:dyDescent="0.3">
      <c r="A311" t="s">
        <v>732</v>
      </c>
      <c r="B311" t="s">
        <v>925</v>
      </c>
      <c r="C311" s="8">
        <v>8763.2849999999999</v>
      </c>
      <c r="D311" s="8">
        <f t="shared" si="19"/>
        <v>1357080.0326799997</v>
      </c>
      <c r="E311" s="20">
        <f t="shared" si="16"/>
        <v>1551590.8794699989</v>
      </c>
      <c r="F311" s="22">
        <f t="shared" si="17"/>
        <v>0.87463779958771004</v>
      </c>
      <c r="G311" s="13" t="str">
        <f t="shared" si="18"/>
        <v>B</v>
      </c>
    </row>
    <row r="312" spans="1:7" ht="16.5" x14ac:dyDescent="0.3">
      <c r="A312" t="s">
        <v>732</v>
      </c>
      <c r="B312" t="s">
        <v>917</v>
      </c>
      <c r="C312" s="8">
        <v>8698.8768300000011</v>
      </c>
      <c r="D312" s="8">
        <f t="shared" si="19"/>
        <v>1365778.9095099997</v>
      </c>
      <c r="E312" s="20">
        <f t="shared" si="16"/>
        <v>1551590.8794699989</v>
      </c>
      <c r="F312" s="22">
        <f t="shared" si="17"/>
        <v>0.88024422390039447</v>
      </c>
      <c r="G312" s="13" t="str">
        <f t="shared" si="18"/>
        <v>B</v>
      </c>
    </row>
    <row r="313" spans="1:7" ht="16.5" x14ac:dyDescent="0.3">
      <c r="A313" t="s">
        <v>732</v>
      </c>
      <c r="B313" t="s">
        <v>802</v>
      </c>
      <c r="C313" s="8">
        <v>8671.7354400000004</v>
      </c>
      <c r="D313" s="8">
        <f t="shared" si="19"/>
        <v>1374450.6449499996</v>
      </c>
      <c r="E313" s="20">
        <f t="shared" si="16"/>
        <v>1551590.8794699989</v>
      </c>
      <c r="F313" s="22">
        <f t="shared" si="17"/>
        <v>0.88583315559285336</v>
      </c>
      <c r="G313" s="13" t="str">
        <f t="shared" si="18"/>
        <v>B</v>
      </c>
    </row>
    <row r="314" spans="1:7" ht="16.5" x14ac:dyDescent="0.3">
      <c r="A314" t="s">
        <v>732</v>
      </c>
      <c r="B314" t="s">
        <v>923</v>
      </c>
      <c r="C314" s="8">
        <v>8590.7094000000016</v>
      </c>
      <c r="D314" s="8">
        <f t="shared" si="19"/>
        <v>1383041.3543499997</v>
      </c>
      <c r="E314" s="20">
        <f t="shared" si="16"/>
        <v>1551590.8794699989</v>
      </c>
      <c r="F314" s="22">
        <f t="shared" si="17"/>
        <v>0.89136986601933799</v>
      </c>
      <c r="G314" s="13" t="str">
        <f t="shared" si="18"/>
        <v>B</v>
      </c>
    </row>
    <row r="315" spans="1:7" ht="16.5" x14ac:dyDescent="0.3">
      <c r="A315" t="s">
        <v>732</v>
      </c>
      <c r="B315" t="s">
        <v>1295</v>
      </c>
      <c r="C315" s="8">
        <v>8520.2954399999999</v>
      </c>
      <c r="D315" s="8">
        <f t="shared" si="19"/>
        <v>1391561.6497899997</v>
      </c>
      <c r="E315" s="20">
        <f t="shared" si="16"/>
        <v>1551590.8794699989</v>
      </c>
      <c r="F315" s="22">
        <f t="shared" si="17"/>
        <v>0.89686119466320735</v>
      </c>
      <c r="G315" s="13" t="str">
        <f t="shared" si="18"/>
        <v>B</v>
      </c>
    </row>
    <row r="316" spans="1:7" ht="16.5" x14ac:dyDescent="0.3">
      <c r="A316" t="s">
        <v>732</v>
      </c>
      <c r="B316" t="s">
        <v>1206</v>
      </c>
      <c r="C316" s="8">
        <v>8330.2513199999994</v>
      </c>
      <c r="D316" s="8">
        <f t="shared" si="19"/>
        <v>1399891.9011099997</v>
      </c>
      <c r="E316" s="20">
        <f t="shared" si="16"/>
        <v>1551590.8794699989</v>
      </c>
      <c r="F316" s="22">
        <f t="shared" si="17"/>
        <v>0.90223003991115402</v>
      </c>
      <c r="G316" s="13" t="str">
        <f t="shared" si="18"/>
        <v>B</v>
      </c>
    </row>
    <row r="317" spans="1:7" ht="16.5" x14ac:dyDescent="0.3">
      <c r="A317" t="s">
        <v>732</v>
      </c>
      <c r="B317" t="s">
        <v>1190</v>
      </c>
      <c r="C317" s="8">
        <v>7854.6931199999999</v>
      </c>
      <c r="D317" s="8">
        <f t="shared" si="19"/>
        <v>1407746.5942299997</v>
      </c>
      <c r="E317" s="20">
        <f t="shared" si="16"/>
        <v>1551590.8794699989</v>
      </c>
      <c r="F317" s="22">
        <f t="shared" si="17"/>
        <v>0.90729238799783718</v>
      </c>
      <c r="G317" s="13" t="str">
        <f t="shared" si="18"/>
        <v>B</v>
      </c>
    </row>
    <row r="318" spans="1:7" ht="16.5" x14ac:dyDescent="0.3">
      <c r="A318" t="s">
        <v>732</v>
      </c>
      <c r="B318" t="s">
        <v>950</v>
      </c>
      <c r="C318" s="8">
        <v>7738.9596900000006</v>
      </c>
      <c r="D318" s="8">
        <f t="shared" si="19"/>
        <v>1415485.5539199996</v>
      </c>
      <c r="E318" s="20">
        <f t="shared" si="16"/>
        <v>1551590.8794699989</v>
      </c>
      <c r="F318" s="22">
        <f t="shared" si="17"/>
        <v>0.91228014591288986</v>
      </c>
      <c r="G318" s="13" t="str">
        <f t="shared" si="18"/>
        <v>B</v>
      </c>
    </row>
    <row r="319" spans="1:7" ht="16.5" x14ac:dyDescent="0.3">
      <c r="A319" t="s">
        <v>732</v>
      </c>
      <c r="B319" t="s">
        <v>864</v>
      </c>
      <c r="C319" s="8">
        <v>7703.8640800000003</v>
      </c>
      <c r="D319" s="8">
        <f t="shared" si="19"/>
        <v>1423189.4179999996</v>
      </c>
      <c r="E319" s="20">
        <f t="shared" si="16"/>
        <v>1551590.8794699989</v>
      </c>
      <c r="F319" s="22">
        <f t="shared" si="17"/>
        <v>0.91724528471457667</v>
      </c>
      <c r="G319" s="13" t="str">
        <f t="shared" si="18"/>
        <v>B</v>
      </c>
    </row>
    <row r="320" spans="1:7" ht="16.5" x14ac:dyDescent="0.3">
      <c r="A320" t="s">
        <v>732</v>
      </c>
      <c r="B320" t="s">
        <v>1097</v>
      </c>
      <c r="C320" s="8">
        <v>7327.9533600000004</v>
      </c>
      <c r="D320" s="8">
        <f t="shared" si="19"/>
        <v>1430517.3713599995</v>
      </c>
      <c r="E320" s="20">
        <f t="shared" si="16"/>
        <v>1551590.8794699989</v>
      </c>
      <c r="F320" s="22">
        <f t="shared" si="17"/>
        <v>0.92196814913519187</v>
      </c>
      <c r="G320" s="13" t="str">
        <f t="shared" si="18"/>
        <v>B</v>
      </c>
    </row>
    <row r="321" spans="1:7" ht="16.5" x14ac:dyDescent="0.3">
      <c r="A321" t="s">
        <v>732</v>
      </c>
      <c r="B321" t="s">
        <v>1005</v>
      </c>
      <c r="C321" s="8">
        <v>7120.6486400000003</v>
      </c>
      <c r="D321" s="8">
        <f t="shared" si="19"/>
        <v>1437638.0199999996</v>
      </c>
      <c r="E321" s="20">
        <f t="shared" si="16"/>
        <v>1551590.8794699989</v>
      </c>
      <c r="F321" s="22">
        <f t="shared" si="17"/>
        <v>0.9265574057067647</v>
      </c>
      <c r="G321" s="13" t="str">
        <f t="shared" si="18"/>
        <v>B</v>
      </c>
    </row>
    <row r="322" spans="1:7" ht="16.5" x14ac:dyDescent="0.3">
      <c r="A322" t="s">
        <v>732</v>
      </c>
      <c r="B322" t="s">
        <v>912</v>
      </c>
      <c r="C322" s="8">
        <v>7098.5495999999994</v>
      </c>
      <c r="D322" s="8">
        <f t="shared" si="19"/>
        <v>1444736.5695999996</v>
      </c>
      <c r="E322" s="20">
        <f t="shared" si="16"/>
        <v>1551590.8794699989</v>
      </c>
      <c r="F322" s="22">
        <f t="shared" si="17"/>
        <v>0.93113241945164105</v>
      </c>
      <c r="G322" s="13" t="str">
        <f t="shared" si="18"/>
        <v>B</v>
      </c>
    </row>
    <row r="323" spans="1:7" ht="16.5" x14ac:dyDescent="0.3">
      <c r="A323" t="s">
        <v>732</v>
      </c>
      <c r="B323" t="s">
        <v>902</v>
      </c>
      <c r="C323" s="8">
        <v>6824.2884000000004</v>
      </c>
      <c r="D323" s="8">
        <f t="shared" si="19"/>
        <v>1451560.8579999995</v>
      </c>
      <c r="E323" s="20">
        <f t="shared" ref="E323:E386" si="20">SUMIF(A:A, A323, C:C)</f>
        <v>1551590.8794699989</v>
      </c>
      <c r="F323" s="22">
        <f t="shared" ref="F323:F386" si="21">D323/E323</f>
        <v>0.93553067191000239</v>
      </c>
      <c r="G323" s="13" t="str">
        <f t="shared" ref="G323:G386" si="22">IF(F323&lt;=0.8, "A", IF(F323&lt;=0.95, "B", "C"))</f>
        <v>B</v>
      </c>
    </row>
    <row r="324" spans="1:7" ht="16.5" x14ac:dyDescent="0.3">
      <c r="A324" t="s">
        <v>732</v>
      </c>
      <c r="B324" t="s">
        <v>1062</v>
      </c>
      <c r="C324" s="8">
        <v>6667.9199999999983</v>
      </c>
      <c r="D324" s="8">
        <f t="shared" ref="D324:D387" si="23">IF(A324=A323, D323+C324, C324)</f>
        <v>1458228.7779999995</v>
      </c>
      <c r="E324" s="20">
        <f t="shared" si="20"/>
        <v>1551590.8794699989</v>
      </c>
      <c r="F324" s="22">
        <f t="shared" si="21"/>
        <v>0.9398281449669964</v>
      </c>
      <c r="G324" s="13" t="str">
        <f t="shared" si="22"/>
        <v>B</v>
      </c>
    </row>
    <row r="325" spans="1:7" ht="16.5" x14ac:dyDescent="0.3">
      <c r="A325" t="s">
        <v>732</v>
      </c>
      <c r="B325" t="s">
        <v>988</v>
      </c>
      <c r="C325" s="8">
        <v>6468.2751599999992</v>
      </c>
      <c r="D325" s="8">
        <f t="shared" si="23"/>
        <v>1464697.0531599994</v>
      </c>
      <c r="E325" s="20">
        <f t="shared" si="20"/>
        <v>1551590.8794699989</v>
      </c>
      <c r="F325" s="22">
        <f t="shared" si="21"/>
        <v>0.9439969469660191</v>
      </c>
      <c r="G325" s="13" t="str">
        <f t="shared" si="22"/>
        <v>B</v>
      </c>
    </row>
    <row r="326" spans="1:7" ht="16.5" x14ac:dyDescent="0.3">
      <c r="A326" t="s">
        <v>732</v>
      </c>
      <c r="B326" t="s">
        <v>1331</v>
      </c>
      <c r="C326" s="8">
        <v>5962.1422499999999</v>
      </c>
      <c r="D326" s="8">
        <f t="shared" si="23"/>
        <v>1470659.1954099995</v>
      </c>
      <c r="E326" s="20">
        <f t="shared" si="20"/>
        <v>1551590.8794699989</v>
      </c>
      <c r="F326" s="22">
        <f t="shared" si="21"/>
        <v>0.94783954640952484</v>
      </c>
      <c r="G326" s="13" t="str">
        <f t="shared" si="22"/>
        <v>B</v>
      </c>
    </row>
    <row r="327" spans="1:7" ht="16.5" x14ac:dyDescent="0.3">
      <c r="A327" t="s">
        <v>732</v>
      </c>
      <c r="B327" t="s">
        <v>852</v>
      </c>
      <c r="C327" s="8">
        <v>5769.2758000000003</v>
      </c>
      <c r="D327" s="8">
        <f t="shared" si="23"/>
        <v>1476428.4712099994</v>
      </c>
      <c r="E327" s="20">
        <f t="shared" si="20"/>
        <v>1551590.8794699989</v>
      </c>
      <c r="F327" s="22">
        <f t="shared" si="21"/>
        <v>0.95155784346600836</v>
      </c>
      <c r="G327" s="13" t="str">
        <f t="shared" si="22"/>
        <v>C</v>
      </c>
    </row>
    <row r="328" spans="1:7" ht="16.5" x14ac:dyDescent="0.3">
      <c r="A328" t="s">
        <v>732</v>
      </c>
      <c r="B328" t="s">
        <v>1325</v>
      </c>
      <c r="C328" s="8">
        <v>5725.6496000000006</v>
      </c>
      <c r="D328" s="8">
        <f t="shared" si="23"/>
        <v>1482154.1208099993</v>
      </c>
      <c r="E328" s="20">
        <f t="shared" si="20"/>
        <v>1551590.8794699989</v>
      </c>
      <c r="F328" s="22">
        <f t="shared" si="21"/>
        <v>0.95524802344564042</v>
      </c>
      <c r="G328" s="13" t="str">
        <f t="shared" si="22"/>
        <v>C</v>
      </c>
    </row>
    <row r="329" spans="1:7" ht="16.5" x14ac:dyDescent="0.3">
      <c r="A329" t="s">
        <v>732</v>
      </c>
      <c r="B329" t="s">
        <v>1180</v>
      </c>
      <c r="C329" s="8">
        <v>5565.3272500000003</v>
      </c>
      <c r="D329" s="8">
        <f t="shared" si="23"/>
        <v>1487719.4480599994</v>
      </c>
      <c r="E329" s="20">
        <f t="shared" si="20"/>
        <v>1551590.8794699989</v>
      </c>
      <c r="F329" s="22">
        <f t="shared" si="21"/>
        <v>0.95883487570395032</v>
      </c>
      <c r="G329" s="13" t="str">
        <f t="shared" si="22"/>
        <v>C</v>
      </c>
    </row>
    <row r="330" spans="1:7" ht="16.5" x14ac:dyDescent="0.3">
      <c r="A330" t="s">
        <v>732</v>
      </c>
      <c r="B330" t="s">
        <v>967</v>
      </c>
      <c r="C330" s="8">
        <v>5280.8577599999999</v>
      </c>
      <c r="D330" s="8">
        <f t="shared" si="23"/>
        <v>1493000.3058199994</v>
      </c>
      <c r="E330" s="20">
        <f t="shared" si="20"/>
        <v>1551590.8794699989</v>
      </c>
      <c r="F330" s="22">
        <f t="shared" si="21"/>
        <v>0.9622383874349576</v>
      </c>
      <c r="G330" s="13" t="str">
        <f t="shared" si="22"/>
        <v>C</v>
      </c>
    </row>
    <row r="331" spans="1:7" ht="16.5" x14ac:dyDescent="0.3">
      <c r="A331" t="s">
        <v>732</v>
      </c>
      <c r="B331" t="s">
        <v>1359</v>
      </c>
      <c r="C331" s="8">
        <v>5096.4790800000001</v>
      </c>
      <c r="D331" s="8">
        <f t="shared" si="23"/>
        <v>1498096.7848999994</v>
      </c>
      <c r="E331" s="20">
        <f t="shared" si="20"/>
        <v>1551590.8794699989</v>
      </c>
      <c r="F331" s="22">
        <f t="shared" si="21"/>
        <v>0.96552306714494718</v>
      </c>
      <c r="G331" s="13" t="str">
        <f t="shared" si="22"/>
        <v>C</v>
      </c>
    </row>
    <row r="332" spans="1:7" ht="16.5" x14ac:dyDescent="0.3">
      <c r="A332" t="s">
        <v>732</v>
      </c>
      <c r="B332" t="s">
        <v>1048</v>
      </c>
      <c r="C332" s="8">
        <v>5032.4433599999993</v>
      </c>
      <c r="D332" s="8">
        <f t="shared" si="23"/>
        <v>1503129.2282599993</v>
      </c>
      <c r="E332" s="20">
        <f t="shared" si="20"/>
        <v>1551590.8794699989</v>
      </c>
      <c r="F332" s="22">
        <f t="shared" si="21"/>
        <v>0.96876647584667852</v>
      </c>
      <c r="G332" s="13" t="str">
        <f t="shared" si="22"/>
        <v>C</v>
      </c>
    </row>
    <row r="333" spans="1:7" ht="16.5" x14ac:dyDescent="0.3">
      <c r="A333" t="s">
        <v>732</v>
      </c>
      <c r="B333" t="s">
        <v>813</v>
      </c>
      <c r="C333" s="8">
        <v>4877.1379800000004</v>
      </c>
      <c r="D333" s="8">
        <f t="shared" si="23"/>
        <v>1508006.3662399994</v>
      </c>
      <c r="E333" s="20">
        <f t="shared" si="20"/>
        <v>1551590.8794699989</v>
      </c>
      <c r="F333" s="22">
        <f t="shared" si="21"/>
        <v>0.97190979026321211</v>
      </c>
      <c r="G333" s="13" t="str">
        <f t="shared" si="22"/>
        <v>C</v>
      </c>
    </row>
    <row r="334" spans="1:7" ht="16.5" x14ac:dyDescent="0.3">
      <c r="A334" t="s">
        <v>732</v>
      </c>
      <c r="B334" t="s">
        <v>920</v>
      </c>
      <c r="C334" s="8">
        <v>4831.9464600000001</v>
      </c>
      <c r="D334" s="8">
        <f t="shared" si="23"/>
        <v>1512838.3126999994</v>
      </c>
      <c r="E334" s="20">
        <f t="shared" si="20"/>
        <v>1551590.8794699989</v>
      </c>
      <c r="F334" s="22">
        <f t="shared" si="21"/>
        <v>0.97502397875447888</v>
      </c>
      <c r="G334" s="13" t="str">
        <f t="shared" si="22"/>
        <v>C</v>
      </c>
    </row>
    <row r="335" spans="1:7" ht="16.5" x14ac:dyDescent="0.3">
      <c r="A335" t="s">
        <v>732</v>
      </c>
      <c r="B335" t="s">
        <v>1278</v>
      </c>
      <c r="C335" s="8">
        <v>4826.5396199999996</v>
      </c>
      <c r="D335" s="8">
        <f t="shared" si="23"/>
        <v>1517664.8523199994</v>
      </c>
      <c r="E335" s="20">
        <f t="shared" si="20"/>
        <v>1551590.8794699989</v>
      </c>
      <c r="F335" s="22">
        <f t="shared" si="21"/>
        <v>0.97813468253848712</v>
      </c>
      <c r="G335" s="13" t="str">
        <f t="shared" si="22"/>
        <v>C</v>
      </c>
    </row>
    <row r="336" spans="1:7" ht="16.5" x14ac:dyDescent="0.3">
      <c r="A336" t="s">
        <v>732</v>
      </c>
      <c r="B336" t="s">
        <v>1228</v>
      </c>
      <c r="C336" s="8">
        <v>4682.9519799999998</v>
      </c>
      <c r="D336" s="8">
        <f t="shared" si="23"/>
        <v>1522347.8042999993</v>
      </c>
      <c r="E336" s="20">
        <f t="shared" si="20"/>
        <v>1551590.8794699989</v>
      </c>
      <c r="F336" s="22">
        <f t="shared" si="21"/>
        <v>0.98115284411829706</v>
      </c>
      <c r="G336" s="13" t="str">
        <f t="shared" si="22"/>
        <v>C</v>
      </c>
    </row>
    <row r="337" spans="1:7" ht="16.5" x14ac:dyDescent="0.3">
      <c r="A337" t="s">
        <v>732</v>
      </c>
      <c r="B337" t="s">
        <v>992</v>
      </c>
      <c r="C337" s="8">
        <v>4375.3620000000001</v>
      </c>
      <c r="D337" s="8">
        <f t="shared" si="23"/>
        <v>1526723.1662999992</v>
      </c>
      <c r="E337" s="20">
        <f t="shared" si="20"/>
        <v>1551590.8794699989</v>
      </c>
      <c r="F337" s="22">
        <f t="shared" si="21"/>
        <v>0.98397276401979494</v>
      </c>
      <c r="G337" s="13" t="str">
        <f t="shared" si="22"/>
        <v>C</v>
      </c>
    </row>
    <row r="338" spans="1:7" ht="16.5" x14ac:dyDescent="0.3">
      <c r="A338" t="s">
        <v>732</v>
      </c>
      <c r="B338" t="s">
        <v>1031</v>
      </c>
      <c r="C338" s="8">
        <v>3190.8713200000002</v>
      </c>
      <c r="D338" s="8">
        <f t="shared" si="23"/>
        <v>1529914.0376199991</v>
      </c>
      <c r="E338" s="20">
        <f t="shared" si="20"/>
        <v>1551590.8794699989</v>
      </c>
      <c r="F338" s="22">
        <f t="shared" si="21"/>
        <v>0.98602927992371014</v>
      </c>
      <c r="G338" s="13" t="str">
        <f t="shared" si="22"/>
        <v>C</v>
      </c>
    </row>
    <row r="339" spans="1:7" ht="16.5" x14ac:dyDescent="0.3">
      <c r="A339" t="s">
        <v>732</v>
      </c>
      <c r="B339" t="s">
        <v>1052</v>
      </c>
      <c r="C339" s="8">
        <v>2915.4540999999999</v>
      </c>
      <c r="D339" s="8">
        <f t="shared" si="23"/>
        <v>1532829.4917199991</v>
      </c>
      <c r="E339" s="20">
        <f t="shared" si="20"/>
        <v>1551590.8794699989</v>
      </c>
      <c r="F339" s="22">
        <f t="shared" si="21"/>
        <v>0.98790828948646026</v>
      </c>
      <c r="G339" s="13" t="str">
        <f t="shared" si="22"/>
        <v>C</v>
      </c>
    </row>
    <row r="340" spans="1:7" ht="16.5" x14ac:dyDescent="0.3">
      <c r="A340" t="s">
        <v>732</v>
      </c>
      <c r="B340" t="s">
        <v>740</v>
      </c>
      <c r="C340" s="8">
        <v>2886.4496399999998</v>
      </c>
      <c r="D340" s="8">
        <f t="shared" si="23"/>
        <v>1535715.9413599991</v>
      </c>
      <c r="E340" s="20">
        <f t="shared" si="20"/>
        <v>1551590.8794699989</v>
      </c>
      <c r="F340" s="22">
        <f t="shared" si="21"/>
        <v>0.98976860568075631</v>
      </c>
      <c r="G340" s="13" t="str">
        <f t="shared" si="22"/>
        <v>C</v>
      </c>
    </row>
    <row r="341" spans="1:7" ht="16.5" x14ac:dyDescent="0.3">
      <c r="A341" t="s">
        <v>732</v>
      </c>
      <c r="B341" t="s">
        <v>1165</v>
      </c>
      <c r="C341" s="8">
        <v>2627.6239999999998</v>
      </c>
      <c r="D341" s="8">
        <f t="shared" si="23"/>
        <v>1538343.5653599992</v>
      </c>
      <c r="E341" s="20">
        <f t="shared" si="20"/>
        <v>1551590.8794699989</v>
      </c>
      <c r="F341" s="22">
        <f t="shared" si="21"/>
        <v>0.99146210880375585</v>
      </c>
      <c r="G341" s="13" t="str">
        <f t="shared" si="22"/>
        <v>C</v>
      </c>
    </row>
    <row r="342" spans="1:7" ht="16.5" x14ac:dyDescent="0.3">
      <c r="A342" t="s">
        <v>732</v>
      </c>
      <c r="B342" t="s">
        <v>951</v>
      </c>
      <c r="C342" s="8">
        <v>2231.6467200000002</v>
      </c>
      <c r="D342" s="8">
        <f t="shared" si="23"/>
        <v>1540575.2120799993</v>
      </c>
      <c r="E342" s="20">
        <f t="shared" si="20"/>
        <v>1551590.8794699989</v>
      </c>
      <c r="F342" s="22">
        <f t="shared" si="21"/>
        <v>0.99290040465192575</v>
      </c>
      <c r="G342" s="13" t="str">
        <f t="shared" si="22"/>
        <v>C</v>
      </c>
    </row>
    <row r="343" spans="1:7" ht="16.5" x14ac:dyDescent="0.3">
      <c r="A343" t="s">
        <v>732</v>
      </c>
      <c r="B343" t="s">
        <v>1283</v>
      </c>
      <c r="C343" s="8">
        <v>1846.8040799999999</v>
      </c>
      <c r="D343" s="8">
        <f t="shared" si="23"/>
        <v>1542422.0161599992</v>
      </c>
      <c r="E343" s="20">
        <f t="shared" si="20"/>
        <v>1551590.8794699989</v>
      </c>
      <c r="F343" s="22">
        <f t="shared" si="21"/>
        <v>0.99409066949843661</v>
      </c>
      <c r="G343" s="13" t="str">
        <f t="shared" si="22"/>
        <v>C</v>
      </c>
    </row>
    <row r="344" spans="1:7" ht="16.5" x14ac:dyDescent="0.3">
      <c r="A344" t="s">
        <v>732</v>
      </c>
      <c r="B344" t="s">
        <v>1314</v>
      </c>
      <c r="C344" s="8">
        <v>1801.4076000000002</v>
      </c>
      <c r="D344" s="8">
        <f t="shared" si="23"/>
        <v>1544223.4237599992</v>
      </c>
      <c r="E344" s="20">
        <f t="shared" si="20"/>
        <v>1551590.8794699989</v>
      </c>
      <c r="F344" s="22">
        <f t="shared" si="21"/>
        <v>0.99525167632300326</v>
      </c>
      <c r="G344" s="13" t="str">
        <f t="shared" si="22"/>
        <v>C</v>
      </c>
    </row>
    <row r="345" spans="1:7" ht="16.5" x14ac:dyDescent="0.3">
      <c r="A345" t="s">
        <v>732</v>
      </c>
      <c r="B345" t="s">
        <v>945</v>
      </c>
      <c r="C345" s="8">
        <v>1774.8072</v>
      </c>
      <c r="D345" s="8">
        <f t="shared" si="23"/>
        <v>1545998.2309599991</v>
      </c>
      <c r="E345" s="20">
        <f t="shared" si="20"/>
        <v>1551590.8794699989</v>
      </c>
      <c r="F345" s="22">
        <f t="shared" si="21"/>
        <v>0.99639553919528701</v>
      </c>
      <c r="G345" s="13" t="str">
        <f t="shared" si="22"/>
        <v>C</v>
      </c>
    </row>
    <row r="346" spans="1:7" ht="16.5" x14ac:dyDescent="0.3">
      <c r="A346" t="s">
        <v>732</v>
      </c>
      <c r="B346" t="s">
        <v>1039</v>
      </c>
      <c r="C346" s="8">
        <v>1641.7107199999998</v>
      </c>
      <c r="D346" s="8">
        <f t="shared" si="23"/>
        <v>1547639.9416799992</v>
      </c>
      <c r="E346" s="20">
        <f t="shared" si="20"/>
        <v>1551590.8794699989</v>
      </c>
      <c r="F346" s="22">
        <f t="shared" si="21"/>
        <v>0.99745362141381677</v>
      </c>
      <c r="G346" s="13" t="str">
        <f t="shared" si="22"/>
        <v>C</v>
      </c>
    </row>
    <row r="347" spans="1:7" ht="16.5" x14ac:dyDescent="0.3">
      <c r="A347" t="s">
        <v>732</v>
      </c>
      <c r="B347" t="s">
        <v>1349</v>
      </c>
      <c r="C347" s="8">
        <v>846.34703999999988</v>
      </c>
      <c r="D347" s="8">
        <f t="shared" si="23"/>
        <v>1548486.2887199991</v>
      </c>
      <c r="E347" s="20">
        <f t="shared" si="20"/>
        <v>1551590.8794699989</v>
      </c>
      <c r="F347" s="22">
        <f t="shared" si="21"/>
        <v>0.99799909190555425</v>
      </c>
      <c r="G347" s="13" t="str">
        <f t="shared" si="22"/>
        <v>C</v>
      </c>
    </row>
    <row r="348" spans="1:7" ht="16.5" x14ac:dyDescent="0.3">
      <c r="A348" t="s">
        <v>732</v>
      </c>
      <c r="B348" t="s">
        <v>823</v>
      </c>
      <c r="C348" s="8">
        <v>624.43503999999996</v>
      </c>
      <c r="D348" s="8">
        <f t="shared" si="23"/>
        <v>1549110.723759999</v>
      </c>
      <c r="E348" s="20">
        <f t="shared" si="20"/>
        <v>1551590.8794699989</v>
      </c>
      <c r="F348" s="22">
        <f t="shared" si="21"/>
        <v>0.99840154015931892</v>
      </c>
      <c r="G348" s="13" t="str">
        <f t="shared" si="22"/>
        <v>C</v>
      </c>
    </row>
    <row r="349" spans="1:7" ht="16.5" x14ac:dyDescent="0.3">
      <c r="A349" t="s">
        <v>732</v>
      </c>
      <c r="B349" t="s">
        <v>981</v>
      </c>
      <c r="C349" s="8">
        <v>607.30668000000003</v>
      </c>
      <c r="D349" s="8">
        <f t="shared" si="23"/>
        <v>1549718.030439999</v>
      </c>
      <c r="E349" s="20">
        <f t="shared" si="20"/>
        <v>1551590.8794699989</v>
      </c>
      <c r="F349" s="22">
        <f t="shared" si="21"/>
        <v>0.99879294918861627</v>
      </c>
      <c r="G349" s="13" t="str">
        <f t="shared" si="22"/>
        <v>C</v>
      </c>
    </row>
    <row r="350" spans="1:7" ht="16.5" x14ac:dyDescent="0.3">
      <c r="A350" t="s">
        <v>732</v>
      </c>
      <c r="B350" t="s">
        <v>785</v>
      </c>
      <c r="C350" s="8">
        <v>599.53200000000004</v>
      </c>
      <c r="D350" s="8">
        <f t="shared" si="23"/>
        <v>1550317.5624399988</v>
      </c>
      <c r="E350" s="20">
        <f t="shared" si="20"/>
        <v>1551590.8794699989</v>
      </c>
      <c r="F350" s="22">
        <f t="shared" si="21"/>
        <v>0.99917934743826609</v>
      </c>
      <c r="G350" s="13" t="str">
        <f t="shared" si="22"/>
        <v>C</v>
      </c>
    </row>
    <row r="351" spans="1:7" ht="16.5" x14ac:dyDescent="0.3">
      <c r="A351" t="s">
        <v>732</v>
      </c>
      <c r="B351" t="s">
        <v>1265</v>
      </c>
      <c r="C351" s="8">
        <v>534.57695999999999</v>
      </c>
      <c r="D351" s="8">
        <f t="shared" si="23"/>
        <v>1550852.1393999988</v>
      </c>
      <c r="E351" s="20">
        <f t="shared" si="20"/>
        <v>1551590.8794699989</v>
      </c>
      <c r="F351" s="22">
        <f t="shared" si="21"/>
        <v>0.99952388217810839</v>
      </c>
      <c r="G351" s="13" t="str">
        <f t="shared" si="22"/>
        <v>C</v>
      </c>
    </row>
    <row r="352" spans="1:7" ht="16.5" x14ac:dyDescent="0.3">
      <c r="A352" t="s">
        <v>732</v>
      </c>
      <c r="B352" t="s">
        <v>817</v>
      </c>
      <c r="C352" s="8">
        <v>524.81174999999996</v>
      </c>
      <c r="D352" s="8">
        <f t="shared" si="23"/>
        <v>1551376.9511499989</v>
      </c>
      <c r="E352" s="20">
        <f t="shared" si="20"/>
        <v>1551590.8794699989</v>
      </c>
      <c r="F352" s="22">
        <f t="shared" si="21"/>
        <v>0.99986212324213131</v>
      </c>
      <c r="G352" s="13" t="str">
        <f t="shared" si="22"/>
        <v>C</v>
      </c>
    </row>
    <row r="353" spans="1:7" ht="16.5" x14ac:dyDescent="0.3">
      <c r="A353" t="s">
        <v>732</v>
      </c>
      <c r="B353" t="s">
        <v>830</v>
      </c>
      <c r="C353" s="8">
        <v>147.00756000000001</v>
      </c>
      <c r="D353" s="8">
        <f t="shared" si="23"/>
        <v>1551523.958709999</v>
      </c>
      <c r="E353" s="20">
        <f t="shared" si="20"/>
        <v>1551590.8794699989</v>
      </c>
      <c r="F353" s="22">
        <f t="shared" si="21"/>
        <v>0.99995686958406027</v>
      </c>
      <c r="G353" s="13" t="str">
        <f t="shared" si="22"/>
        <v>C</v>
      </c>
    </row>
    <row r="354" spans="1:7" ht="16.5" x14ac:dyDescent="0.3">
      <c r="A354" t="s">
        <v>732</v>
      </c>
      <c r="B354" t="s">
        <v>1032</v>
      </c>
      <c r="C354" s="8">
        <v>66.920760000000001</v>
      </c>
      <c r="D354" s="8">
        <f t="shared" si="23"/>
        <v>1551590.8794699989</v>
      </c>
      <c r="E354" s="20">
        <f t="shared" si="20"/>
        <v>1551590.8794699989</v>
      </c>
      <c r="F354" s="22">
        <f t="shared" si="21"/>
        <v>1</v>
      </c>
      <c r="G354" s="13" t="str">
        <f t="shared" si="22"/>
        <v>C</v>
      </c>
    </row>
    <row r="355" spans="1:7" ht="16.5" x14ac:dyDescent="0.3">
      <c r="A355" t="s">
        <v>729</v>
      </c>
      <c r="B355" t="s">
        <v>781</v>
      </c>
      <c r="C355" s="8">
        <v>109244</v>
      </c>
      <c r="D355" s="8">
        <f t="shared" si="23"/>
        <v>109244</v>
      </c>
      <c r="E355" s="20">
        <f t="shared" si="20"/>
        <v>1774683.0831999998</v>
      </c>
      <c r="F355" s="22">
        <f t="shared" si="21"/>
        <v>6.1556906150825486E-2</v>
      </c>
      <c r="G355" s="13" t="str">
        <f t="shared" si="22"/>
        <v>A</v>
      </c>
    </row>
    <row r="356" spans="1:7" ht="16.5" x14ac:dyDescent="0.3">
      <c r="A356" t="s">
        <v>729</v>
      </c>
      <c r="B356" t="s">
        <v>1345</v>
      </c>
      <c r="C356" s="8">
        <v>82141.339799999987</v>
      </c>
      <c r="D356" s="8">
        <f t="shared" si="23"/>
        <v>191385.33979999999</v>
      </c>
      <c r="E356" s="20">
        <f t="shared" si="20"/>
        <v>1774683.0831999998</v>
      </c>
      <c r="F356" s="22">
        <f t="shared" si="21"/>
        <v>0.10784198125949658</v>
      </c>
      <c r="G356" s="13" t="str">
        <f t="shared" si="22"/>
        <v>A</v>
      </c>
    </row>
    <row r="357" spans="1:7" ht="16.5" x14ac:dyDescent="0.3">
      <c r="A357" t="s">
        <v>729</v>
      </c>
      <c r="B357" t="s">
        <v>1010</v>
      </c>
      <c r="C357" s="8">
        <v>79548.755999999994</v>
      </c>
      <c r="D357" s="8">
        <f t="shared" si="23"/>
        <v>270934.09580000001</v>
      </c>
      <c r="E357" s="20">
        <f t="shared" si="20"/>
        <v>1774683.0831999998</v>
      </c>
      <c r="F357" s="22">
        <f t="shared" si="21"/>
        <v>0.15266618494580353</v>
      </c>
      <c r="G357" s="13" t="str">
        <f t="shared" si="22"/>
        <v>A</v>
      </c>
    </row>
    <row r="358" spans="1:7" ht="16.5" x14ac:dyDescent="0.3">
      <c r="A358" t="s">
        <v>729</v>
      </c>
      <c r="B358" t="s">
        <v>957</v>
      </c>
      <c r="C358" s="8">
        <v>66988.771199999988</v>
      </c>
      <c r="D358" s="8">
        <f t="shared" si="23"/>
        <v>337922.86699999997</v>
      </c>
      <c r="E358" s="20">
        <f t="shared" si="20"/>
        <v>1774683.0831999998</v>
      </c>
      <c r="F358" s="22">
        <f t="shared" si="21"/>
        <v>0.19041307724119294</v>
      </c>
      <c r="G358" s="13" t="str">
        <f t="shared" si="22"/>
        <v>A</v>
      </c>
    </row>
    <row r="359" spans="1:7" ht="16.5" x14ac:dyDescent="0.3">
      <c r="A359" t="s">
        <v>729</v>
      </c>
      <c r="B359" t="s">
        <v>814</v>
      </c>
      <c r="C359" s="8">
        <v>60292.805299999993</v>
      </c>
      <c r="D359" s="8">
        <f t="shared" si="23"/>
        <v>398215.67229999998</v>
      </c>
      <c r="E359" s="20">
        <f t="shared" si="20"/>
        <v>1774683.0831999998</v>
      </c>
      <c r="F359" s="22">
        <f t="shared" si="21"/>
        <v>0.22438692072387476</v>
      </c>
      <c r="G359" s="13" t="str">
        <f t="shared" si="22"/>
        <v>A</v>
      </c>
    </row>
    <row r="360" spans="1:7" ht="16.5" x14ac:dyDescent="0.3">
      <c r="A360" t="s">
        <v>729</v>
      </c>
      <c r="B360" t="s">
        <v>1324</v>
      </c>
      <c r="C360" s="8">
        <v>51768.181920000003</v>
      </c>
      <c r="D360" s="8">
        <f t="shared" si="23"/>
        <v>449983.85421999998</v>
      </c>
      <c r="E360" s="20">
        <f t="shared" si="20"/>
        <v>1774683.0831999998</v>
      </c>
      <c r="F360" s="22">
        <f t="shared" si="21"/>
        <v>0.2535573018527999</v>
      </c>
      <c r="G360" s="13" t="str">
        <f t="shared" si="22"/>
        <v>A</v>
      </c>
    </row>
    <row r="361" spans="1:7" ht="16.5" x14ac:dyDescent="0.3">
      <c r="A361" t="s">
        <v>729</v>
      </c>
      <c r="B361" t="s">
        <v>1356</v>
      </c>
      <c r="C361" s="8">
        <v>50090.397499999999</v>
      </c>
      <c r="D361" s="8">
        <f t="shared" si="23"/>
        <v>500074.25172</v>
      </c>
      <c r="E361" s="20">
        <f t="shared" si="20"/>
        <v>1774683.0831999998</v>
      </c>
      <c r="F361" s="22">
        <f t="shared" si="21"/>
        <v>0.28178228352653067</v>
      </c>
      <c r="G361" s="13" t="str">
        <f t="shared" si="22"/>
        <v>A</v>
      </c>
    </row>
    <row r="362" spans="1:7" ht="16.5" x14ac:dyDescent="0.3">
      <c r="A362" t="s">
        <v>729</v>
      </c>
      <c r="B362" t="s">
        <v>1091</v>
      </c>
      <c r="C362" s="8">
        <v>49336.511399999996</v>
      </c>
      <c r="D362" s="8">
        <f t="shared" si="23"/>
        <v>549410.76312000002</v>
      </c>
      <c r="E362" s="20">
        <f t="shared" si="20"/>
        <v>1774683.0831999998</v>
      </c>
      <c r="F362" s="22">
        <f t="shared" si="21"/>
        <v>0.30958246479102974</v>
      </c>
      <c r="G362" s="13" t="str">
        <f t="shared" si="22"/>
        <v>A</v>
      </c>
    </row>
    <row r="363" spans="1:7" ht="16.5" x14ac:dyDescent="0.3">
      <c r="A363" t="s">
        <v>729</v>
      </c>
      <c r="B363" t="s">
        <v>937</v>
      </c>
      <c r="C363" s="8">
        <v>47962.717579999997</v>
      </c>
      <c r="D363" s="8">
        <f t="shared" si="23"/>
        <v>597373.48069999996</v>
      </c>
      <c r="E363" s="20">
        <f t="shared" si="20"/>
        <v>1774683.0831999998</v>
      </c>
      <c r="F363" s="22">
        <f t="shared" si="21"/>
        <v>0.33660853949362762</v>
      </c>
      <c r="G363" s="13" t="str">
        <f t="shared" si="22"/>
        <v>A</v>
      </c>
    </row>
    <row r="364" spans="1:7" ht="16.5" x14ac:dyDescent="0.3">
      <c r="A364" t="s">
        <v>729</v>
      </c>
      <c r="B364" t="s">
        <v>1116</v>
      </c>
      <c r="C364" s="8">
        <v>47693.373</v>
      </c>
      <c r="D364" s="8">
        <f t="shared" si="23"/>
        <v>645066.85369999998</v>
      </c>
      <c r="E364" s="20">
        <f t="shared" si="20"/>
        <v>1774683.0831999998</v>
      </c>
      <c r="F364" s="22">
        <f t="shared" si="21"/>
        <v>0.36348284367305456</v>
      </c>
      <c r="G364" s="13" t="str">
        <f t="shared" si="22"/>
        <v>A</v>
      </c>
    </row>
    <row r="365" spans="1:7" ht="16.5" x14ac:dyDescent="0.3">
      <c r="A365" t="s">
        <v>729</v>
      </c>
      <c r="B365" t="s">
        <v>1110</v>
      </c>
      <c r="C365" s="8">
        <v>43553.493060000001</v>
      </c>
      <c r="D365" s="8">
        <f t="shared" si="23"/>
        <v>688620.34675999999</v>
      </c>
      <c r="E365" s="20">
        <f t="shared" si="20"/>
        <v>1774683.0831999998</v>
      </c>
      <c r="F365" s="22">
        <f t="shared" si="21"/>
        <v>0.38802440462683735</v>
      </c>
      <c r="G365" s="13" t="str">
        <f t="shared" si="22"/>
        <v>A</v>
      </c>
    </row>
    <row r="366" spans="1:7" ht="16.5" x14ac:dyDescent="0.3">
      <c r="A366" t="s">
        <v>729</v>
      </c>
      <c r="B366" t="s">
        <v>1213</v>
      </c>
      <c r="C366" s="8">
        <v>40488.792960000006</v>
      </c>
      <c r="D366" s="8">
        <f t="shared" si="23"/>
        <v>729109.13971999998</v>
      </c>
      <c r="E366" s="20">
        <f t="shared" si="20"/>
        <v>1774683.0831999998</v>
      </c>
      <c r="F366" s="22">
        <f t="shared" si="21"/>
        <v>0.41083906564619699</v>
      </c>
      <c r="G366" s="13" t="str">
        <f t="shared" si="22"/>
        <v>A</v>
      </c>
    </row>
    <row r="367" spans="1:7" ht="16.5" x14ac:dyDescent="0.3">
      <c r="A367" t="s">
        <v>729</v>
      </c>
      <c r="B367" t="s">
        <v>1036</v>
      </c>
      <c r="C367" s="8">
        <v>39686.4182</v>
      </c>
      <c r="D367" s="8">
        <f t="shared" si="23"/>
        <v>768795.55791999993</v>
      </c>
      <c r="E367" s="20">
        <f t="shared" si="20"/>
        <v>1774683.0831999998</v>
      </c>
      <c r="F367" s="22">
        <f t="shared" si="21"/>
        <v>0.43320160382312028</v>
      </c>
      <c r="G367" s="13" t="str">
        <f t="shared" si="22"/>
        <v>A</v>
      </c>
    </row>
    <row r="368" spans="1:7" ht="16.5" x14ac:dyDescent="0.3">
      <c r="A368" t="s">
        <v>729</v>
      </c>
      <c r="B368" t="s">
        <v>1056</v>
      </c>
      <c r="C368" s="8">
        <v>39546.774539999999</v>
      </c>
      <c r="D368" s="8">
        <f t="shared" si="23"/>
        <v>808342.33245999995</v>
      </c>
      <c r="E368" s="20">
        <f t="shared" si="20"/>
        <v>1774683.0831999998</v>
      </c>
      <c r="F368" s="22">
        <f t="shared" si="21"/>
        <v>0.45548545546647495</v>
      </c>
      <c r="G368" s="13" t="str">
        <f t="shared" si="22"/>
        <v>A</v>
      </c>
    </row>
    <row r="369" spans="1:7" ht="16.5" x14ac:dyDescent="0.3">
      <c r="A369" t="s">
        <v>729</v>
      </c>
      <c r="B369" t="s">
        <v>854</v>
      </c>
      <c r="C369" s="8">
        <v>39516.804389999998</v>
      </c>
      <c r="D369" s="8">
        <f t="shared" si="23"/>
        <v>847859.13684999989</v>
      </c>
      <c r="E369" s="20">
        <f t="shared" si="20"/>
        <v>1774683.0831999998</v>
      </c>
      <c r="F369" s="22">
        <f t="shared" si="21"/>
        <v>0.477752419503088</v>
      </c>
      <c r="G369" s="13" t="str">
        <f t="shared" si="22"/>
        <v>A</v>
      </c>
    </row>
    <row r="370" spans="1:7" ht="16.5" x14ac:dyDescent="0.3">
      <c r="A370" t="s">
        <v>729</v>
      </c>
      <c r="B370" t="s">
        <v>782</v>
      </c>
      <c r="C370" s="8">
        <v>35621.302319999995</v>
      </c>
      <c r="D370" s="8">
        <f t="shared" si="23"/>
        <v>883480.43916999991</v>
      </c>
      <c r="E370" s="20">
        <f t="shared" si="20"/>
        <v>1774683.0831999998</v>
      </c>
      <c r="F370" s="22">
        <f t="shared" si="21"/>
        <v>0.49782434257330166</v>
      </c>
      <c r="G370" s="13" t="str">
        <f t="shared" si="22"/>
        <v>A</v>
      </c>
    </row>
    <row r="371" spans="1:7" ht="16.5" x14ac:dyDescent="0.3">
      <c r="A371" t="s">
        <v>729</v>
      </c>
      <c r="B371" t="s">
        <v>1087</v>
      </c>
      <c r="C371" s="8">
        <v>34816.968000000001</v>
      </c>
      <c r="D371" s="8">
        <f t="shared" si="23"/>
        <v>918297.4071699999</v>
      </c>
      <c r="E371" s="20">
        <f t="shared" si="20"/>
        <v>1774683.0831999998</v>
      </c>
      <c r="F371" s="22">
        <f t="shared" si="21"/>
        <v>0.51744303862646979</v>
      </c>
      <c r="G371" s="13" t="str">
        <f t="shared" si="22"/>
        <v>A</v>
      </c>
    </row>
    <row r="372" spans="1:7" ht="16.5" x14ac:dyDescent="0.3">
      <c r="A372" t="s">
        <v>729</v>
      </c>
      <c r="B372" t="s">
        <v>1301</v>
      </c>
      <c r="C372" s="8">
        <v>34307.159999999996</v>
      </c>
      <c r="D372" s="8">
        <f t="shared" si="23"/>
        <v>952604.56716999994</v>
      </c>
      <c r="E372" s="20">
        <f t="shared" si="20"/>
        <v>1774683.0831999998</v>
      </c>
      <c r="F372" s="22">
        <f t="shared" si="21"/>
        <v>0.53677446761498493</v>
      </c>
      <c r="G372" s="13" t="str">
        <f t="shared" si="22"/>
        <v>A</v>
      </c>
    </row>
    <row r="373" spans="1:7" ht="16.5" x14ac:dyDescent="0.3">
      <c r="A373" t="s">
        <v>729</v>
      </c>
      <c r="B373" t="s">
        <v>1113</v>
      </c>
      <c r="C373" s="8">
        <v>33200.038079999998</v>
      </c>
      <c r="D373" s="8">
        <f t="shared" si="23"/>
        <v>985804.60524999991</v>
      </c>
      <c r="E373" s="20">
        <f t="shared" si="20"/>
        <v>1774683.0831999998</v>
      </c>
      <c r="F373" s="22">
        <f t="shared" si="21"/>
        <v>0.55548205456066979</v>
      </c>
      <c r="G373" s="13" t="str">
        <f t="shared" si="22"/>
        <v>A</v>
      </c>
    </row>
    <row r="374" spans="1:7" ht="16.5" x14ac:dyDescent="0.3">
      <c r="A374" t="s">
        <v>729</v>
      </c>
      <c r="B374" t="s">
        <v>1357</v>
      </c>
      <c r="C374" s="8">
        <v>32704.386400000003</v>
      </c>
      <c r="D374" s="8">
        <f t="shared" si="23"/>
        <v>1018508.9916499999</v>
      </c>
      <c r="E374" s="20">
        <f t="shared" si="20"/>
        <v>1774683.0831999998</v>
      </c>
      <c r="F374" s="22">
        <f t="shared" si="21"/>
        <v>0.57391035125746892</v>
      </c>
      <c r="G374" s="13" t="str">
        <f t="shared" si="22"/>
        <v>A</v>
      </c>
    </row>
    <row r="375" spans="1:7" ht="16.5" x14ac:dyDescent="0.3">
      <c r="A375" t="s">
        <v>729</v>
      </c>
      <c r="B375" t="s">
        <v>779</v>
      </c>
      <c r="C375" s="8">
        <v>32506.559399999998</v>
      </c>
      <c r="D375" s="8">
        <f t="shared" si="23"/>
        <v>1051015.5510499999</v>
      </c>
      <c r="E375" s="20">
        <f t="shared" si="20"/>
        <v>1774683.0831999998</v>
      </c>
      <c r="F375" s="22">
        <f t="shared" si="21"/>
        <v>0.59222717622059773</v>
      </c>
      <c r="G375" s="13" t="str">
        <f t="shared" si="22"/>
        <v>A</v>
      </c>
    </row>
    <row r="376" spans="1:7" ht="16.5" x14ac:dyDescent="0.3">
      <c r="A376" t="s">
        <v>729</v>
      </c>
      <c r="B376" t="s">
        <v>1147</v>
      </c>
      <c r="C376" s="8">
        <v>31513.423040000001</v>
      </c>
      <c r="D376" s="8">
        <f t="shared" si="23"/>
        <v>1082528.9740899999</v>
      </c>
      <c r="E376" s="20">
        <f t="shared" si="20"/>
        <v>1774683.0831999998</v>
      </c>
      <c r="F376" s="22">
        <f t="shared" si="21"/>
        <v>0.60998438782548714</v>
      </c>
      <c r="G376" s="13" t="str">
        <f t="shared" si="22"/>
        <v>A</v>
      </c>
    </row>
    <row r="377" spans="1:7" ht="16.5" x14ac:dyDescent="0.3">
      <c r="A377" t="s">
        <v>729</v>
      </c>
      <c r="B377" t="s">
        <v>1229</v>
      </c>
      <c r="C377" s="8">
        <v>30692.47896</v>
      </c>
      <c r="D377" s="8">
        <f t="shared" si="23"/>
        <v>1113221.4530499999</v>
      </c>
      <c r="E377" s="20">
        <f t="shared" si="20"/>
        <v>1774683.0831999998</v>
      </c>
      <c r="F377" s="22">
        <f t="shared" si="21"/>
        <v>0.62727901313101331</v>
      </c>
      <c r="G377" s="13" t="str">
        <f t="shared" si="22"/>
        <v>A</v>
      </c>
    </row>
    <row r="378" spans="1:7" ht="16.5" x14ac:dyDescent="0.3">
      <c r="A378" t="s">
        <v>729</v>
      </c>
      <c r="B378" t="s">
        <v>960</v>
      </c>
      <c r="C378" s="8">
        <v>30479.418970000002</v>
      </c>
      <c r="D378" s="8">
        <f t="shared" si="23"/>
        <v>1143700.8720199999</v>
      </c>
      <c r="E378" s="20">
        <f t="shared" si="20"/>
        <v>1774683.0831999998</v>
      </c>
      <c r="F378" s="22">
        <f t="shared" si="21"/>
        <v>0.64445358320413393</v>
      </c>
      <c r="G378" s="13" t="str">
        <f t="shared" si="22"/>
        <v>A</v>
      </c>
    </row>
    <row r="379" spans="1:7" ht="16.5" x14ac:dyDescent="0.3">
      <c r="A379" t="s">
        <v>729</v>
      </c>
      <c r="B379" t="s">
        <v>1354</v>
      </c>
      <c r="C379" s="8">
        <v>30229.994880000002</v>
      </c>
      <c r="D379" s="8">
        <f t="shared" si="23"/>
        <v>1173930.8668999998</v>
      </c>
      <c r="E379" s="20">
        <f t="shared" si="20"/>
        <v>1774683.0831999998</v>
      </c>
      <c r="F379" s="22">
        <f t="shared" si="21"/>
        <v>0.66148760756948199</v>
      </c>
      <c r="G379" s="13" t="str">
        <f t="shared" si="22"/>
        <v>A</v>
      </c>
    </row>
    <row r="380" spans="1:7" ht="16.5" x14ac:dyDescent="0.3">
      <c r="A380" t="s">
        <v>729</v>
      </c>
      <c r="B380" t="s">
        <v>1282</v>
      </c>
      <c r="C380" s="8">
        <v>29673.454499999993</v>
      </c>
      <c r="D380" s="8">
        <f t="shared" si="23"/>
        <v>1203604.3213999998</v>
      </c>
      <c r="E380" s="20">
        <f t="shared" si="20"/>
        <v>1774683.0831999998</v>
      </c>
      <c r="F380" s="22">
        <f t="shared" si="21"/>
        <v>0.67820803206718705</v>
      </c>
      <c r="G380" s="13" t="str">
        <f t="shared" si="22"/>
        <v>A</v>
      </c>
    </row>
    <row r="381" spans="1:7" ht="16.5" x14ac:dyDescent="0.3">
      <c r="A381" t="s">
        <v>729</v>
      </c>
      <c r="B381" t="s">
        <v>878</v>
      </c>
      <c r="C381" s="8">
        <v>25672.127039999999</v>
      </c>
      <c r="D381" s="8">
        <f t="shared" si="23"/>
        <v>1229276.4484399997</v>
      </c>
      <c r="E381" s="20">
        <f t="shared" si="20"/>
        <v>1774683.0831999998</v>
      </c>
      <c r="F381" s="22">
        <f t="shared" si="21"/>
        <v>0.69267378501374099</v>
      </c>
      <c r="G381" s="13" t="str">
        <f t="shared" si="22"/>
        <v>A</v>
      </c>
    </row>
    <row r="382" spans="1:7" ht="16.5" x14ac:dyDescent="0.3">
      <c r="A382" t="s">
        <v>729</v>
      </c>
      <c r="B382" t="s">
        <v>1230</v>
      </c>
      <c r="C382" s="8">
        <v>25249.613219999999</v>
      </c>
      <c r="D382" s="8">
        <f t="shared" si="23"/>
        <v>1254526.0616599997</v>
      </c>
      <c r="E382" s="20">
        <f t="shared" si="20"/>
        <v>1774683.0831999998</v>
      </c>
      <c r="F382" s="22">
        <f t="shared" si="21"/>
        <v>0.70690145949772343</v>
      </c>
      <c r="G382" s="13" t="str">
        <f t="shared" si="22"/>
        <v>A</v>
      </c>
    </row>
    <row r="383" spans="1:7" ht="16.5" x14ac:dyDescent="0.3">
      <c r="A383" t="s">
        <v>729</v>
      </c>
      <c r="B383" t="s">
        <v>1217</v>
      </c>
      <c r="C383" s="8">
        <v>21908.731650000002</v>
      </c>
      <c r="D383" s="8">
        <f t="shared" si="23"/>
        <v>1276434.7933099996</v>
      </c>
      <c r="E383" s="20">
        <f t="shared" si="20"/>
        <v>1774683.0831999998</v>
      </c>
      <c r="F383" s="22">
        <f t="shared" si="21"/>
        <v>0.71924661106726206</v>
      </c>
      <c r="G383" s="13" t="str">
        <f t="shared" si="22"/>
        <v>A</v>
      </c>
    </row>
    <row r="384" spans="1:7" ht="16.5" x14ac:dyDescent="0.3">
      <c r="A384" t="s">
        <v>729</v>
      </c>
      <c r="B384" t="s">
        <v>818</v>
      </c>
      <c r="C384" s="8">
        <v>21062.61248</v>
      </c>
      <c r="D384" s="8">
        <f t="shared" si="23"/>
        <v>1297497.4057899995</v>
      </c>
      <c r="E384" s="20">
        <f t="shared" si="20"/>
        <v>1774683.0831999998</v>
      </c>
      <c r="F384" s="22">
        <f t="shared" si="21"/>
        <v>0.73111499065536356</v>
      </c>
      <c r="G384" s="13" t="str">
        <f t="shared" si="22"/>
        <v>A</v>
      </c>
    </row>
    <row r="385" spans="1:7" ht="16.5" x14ac:dyDescent="0.3">
      <c r="A385" t="s">
        <v>729</v>
      </c>
      <c r="B385" t="s">
        <v>763</v>
      </c>
      <c r="C385" s="8">
        <v>20084.133720000002</v>
      </c>
      <c r="D385" s="8">
        <f t="shared" si="23"/>
        <v>1317581.5395099996</v>
      </c>
      <c r="E385" s="20">
        <f t="shared" si="20"/>
        <v>1774683.0831999998</v>
      </c>
      <c r="F385" s="22">
        <f t="shared" si="21"/>
        <v>0.74243201616269272</v>
      </c>
      <c r="G385" s="13" t="str">
        <f t="shared" si="22"/>
        <v>A</v>
      </c>
    </row>
    <row r="386" spans="1:7" ht="16.5" x14ac:dyDescent="0.3">
      <c r="A386" t="s">
        <v>729</v>
      </c>
      <c r="B386" t="s">
        <v>1021</v>
      </c>
      <c r="C386" s="8">
        <v>20028.787380000002</v>
      </c>
      <c r="D386" s="8">
        <f t="shared" si="23"/>
        <v>1337610.3268899997</v>
      </c>
      <c r="E386" s="20">
        <f t="shared" si="20"/>
        <v>1774683.0831999998</v>
      </c>
      <c r="F386" s="22">
        <f t="shared" si="21"/>
        <v>0.75371785506519995</v>
      </c>
      <c r="G386" s="13" t="str">
        <f t="shared" si="22"/>
        <v>A</v>
      </c>
    </row>
    <row r="387" spans="1:7" ht="16.5" x14ac:dyDescent="0.3">
      <c r="A387" t="s">
        <v>729</v>
      </c>
      <c r="B387" t="s">
        <v>755</v>
      </c>
      <c r="C387" s="8">
        <v>19903.585040000002</v>
      </c>
      <c r="D387" s="8">
        <f t="shared" si="23"/>
        <v>1357513.9119299997</v>
      </c>
      <c r="E387" s="20">
        <f t="shared" ref="E387:E450" si="24">SUMIF(A:A, A387, C:C)</f>
        <v>1774683.0831999998</v>
      </c>
      <c r="F387" s="22">
        <f t="shared" ref="F387:F450" si="25">D387/E387</f>
        <v>0.76493314484195896</v>
      </c>
      <c r="G387" s="13" t="str">
        <f t="shared" ref="G387:G450" si="26">IF(F387&lt;=0.8, "A", IF(F387&lt;=0.95, "B", "C"))</f>
        <v>A</v>
      </c>
    </row>
    <row r="388" spans="1:7" ht="16.5" x14ac:dyDescent="0.3">
      <c r="A388" t="s">
        <v>729</v>
      </c>
      <c r="B388" t="s">
        <v>1284</v>
      </c>
      <c r="C388" s="8">
        <v>18830.12472</v>
      </c>
      <c r="D388" s="8">
        <f t="shared" ref="D388:D451" si="27">IF(A388=A387, D387+C388, C388)</f>
        <v>1376344.0366499997</v>
      </c>
      <c r="E388" s="20">
        <f t="shared" si="24"/>
        <v>1774683.0831999998</v>
      </c>
      <c r="F388" s="22">
        <f t="shared" si="25"/>
        <v>0.77554356024415383</v>
      </c>
      <c r="G388" s="13" t="str">
        <f t="shared" si="26"/>
        <v>A</v>
      </c>
    </row>
    <row r="389" spans="1:7" ht="16.5" x14ac:dyDescent="0.3">
      <c r="A389" t="s">
        <v>729</v>
      </c>
      <c r="B389" t="s">
        <v>1346</v>
      </c>
      <c r="C389" s="8">
        <v>18500.693520000001</v>
      </c>
      <c r="D389" s="8">
        <f t="shared" si="27"/>
        <v>1394844.7301699996</v>
      </c>
      <c r="E389" s="20">
        <f t="shared" si="24"/>
        <v>1774683.0831999998</v>
      </c>
      <c r="F389" s="22">
        <f t="shared" si="25"/>
        <v>0.78596834746117095</v>
      </c>
      <c r="G389" s="13" t="str">
        <f t="shared" si="26"/>
        <v>A</v>
      </c>
    </row>
    <row r="390" spans="1:7" ht="16.5" x14ac:dyDescent="0.3">
      <c r="A390" t="s">
        <v>729</v>
      </c>
      <c r="B390" t="s">
        <v>1133</v>
      </c>
      <c r="C390" s="8">
        <v>17731.623</v>
      </c>
      <c r="D390" s="8">
        <f t="shared" si="27"/>
        <v>1412576.3531699996</v>
      </c>
      <c r="E390" s="20">
        <f t="shared" si="24"/>
        <v>1774683.0831999998</v>
      </c>
      <c r="F390" s="22">
        <f t="shared" si="25"/>
        <v>0.79595977813848795</v>
      </c>
      <c r="G390" s="13" t="str">
        <f t="shared" si="26"/>
        <v>A</v>
      </c>
    </row>
    <row r="391" spans="1:7" ht="16.5" x14ac:dyDescent="0.3">
      <c r="A391" t="s">
        <v>729</v>
      </c>
      <c r="B391" t="s">
        <v>1051</v>
      </c>
      <c r="C391" s="8">
        <v>16306.59375</v>
      </c>
      <c r="D391" s="8">
        <f t="shared" si="27"/>
        <v>1428882.9469199996</v>
      </c>
      <c r="E391" s="20">
        <f t="shared" si="24"/>
        <v>1774683.0831999998</v>
      </c>
      <c r="F391" s="22">
        <f t="shared" si="25"/>
        <v>0.8051482320683</v>
      </c>
      <c r="G391" s="13" t="str">
        <f t="shared" si="26"/>
        <v>B</v>
      </c>
    </row>
    <row r="392" spans="1:7" ht="16.5" x14ac:dyDescent="0.3">
      <c r="A392" t="s">
        <v>729</v>
      </c>
      <c r="B392" t="s">
        <v>863</v>
      </c>
      <c r="C392" s="8">
        <v>16071.44868</v>
      </c>
      <c r="D392" s="8">
        <f t="shared" si="27"/>
        <v>1444954.3955999995</v>
      </c>
      <c r="E392" s="20">
        <f t="shared" si="24"/>
        <v>1774683.0831999998</v>
      </c>
      <c r="F392" s="22">
        <f t="shared" si="25"/>
        <v>0.81420418624521185</v>
      </c>
      <c r="G392" s="13" t="str">
        <f t="shared" si="26"/>
        <v>B</v>
      </c>
    </row>
    <row r="393" spans="1:7" ht="16.5" x14ac:dyDescent="0.3">
      <c r="A393" t="s">
        <v>729</v>
      </c>
      <c r="B393" t="s">
        <v>1240</v>
      </c>
      <c r="C393" s="8">
        <v>15323.926799999999</v>
      </c>
      <c r="D393" s="8">
        <f t="shared" si="27"/>
        <v>1460278.3223999995</v>
      </c>
      <c r="E393" s="20">
        <f t="shared" si="24"/>
        <v>1774683.0831999998</v>
      </c>
      <c r="F393" s="22">
        <f t="shared" si="25"/>
        <v>0.82283892612923037</v>
      </c>
      <c r="G393" s="13" t="str">
        <f t="shared" si="26"/>
        <v>B</v>
      </c>
    </row>
    <row r="394" spans="1:7" ht="16.5" x14ac:dyDescent="0.3">
      <c r="A394" t="s">
        <v>729</v>
      </c>
      <c r="B394" t="s">
        <v>949</v>
      </c>
      <c r="C394" s="8">
        <v>15253.069799999999</v>
      </c>
      <c r="D394" s="8">
        <f t="shared" si="27"/>
        <v>1475531.3921999994</v>
      </c>
      <c r="E394" s="20">
        <f t="shared" si="24"/>
        <v>1774683.0831999998</v>
      </c>
      <c r="F394" s="22">
        <f t="shared" si="25"/>
        <v>0.83143373944795351</v>
      </c>
      <c r="G394" s="13" t="str">
        <f t="shared" si="26"/>
        <v>B</v>
      </c>
    </row>
    <row r="395" spans="1:7" ht="16.5" x14ac:dyDescent="0.3">
      <c r="A395" t="s">
        <v>729</v>
      </c>
      <c r="B395" t="s">
        <v>1200</v>
      </c>
      <c r="C395" s="8">
        <v>14261.92439</v>
      </c>
      <c r="D395" s="8">
        <f t="shared" si="27"/>
        <v>1489793.3165899995</v>
      </c>
      <c r="E395" s="20">
        <f t="shared" si="24"/>
        <v>1774683.0831999998</v>
      </c>
      <c r="F395" s="22">
        <f t="shared" si="25"/>
        <v>0.83947006127071178</v>
      </c>
      <c r="G395" s="13" t="str">
        <f t="shared" si="26"/>
        <v>B</v>
      </c>
    </row>
    <row r="396" spans="1:7" ht="16.5" x14ac:dyDescent="0.3">
      <c r="A396" t="s">
        <v>729</v>
      </c>
      <c r="B396" t="s">
        <v>1309</v>
      </c>
      <c r="C396" s="8">
        <v>13882.6016</v>
      </c>
      <c r="D396" s="8">
        <f t="shared" si="27"/>
        <v>1503675.9181899994</v>
      </c>
      <c r="E396" s="20">
        <f t="shared" si="24"/>
        <v>1774683.0831999998</v>
      </c>
      <c r="F396" s="22">
        <f t="shared" si="25"/>
        <v>0.84729264195084519</v>
      </c>
      <c r="G396" s="13" t="str">
        <f t="shared" si="26"/>
        <v>B</v>
      </c>
    </row>
    <row r="397" spans="1:7" ht="16.5" x14ac:dyDescent="0.3">
      <c r="A397" t="s">
        <v>729</v>
      </c>
      <c r="B397" t="s">
        <v>1015</v>
      </c>
      <c r="C397" s="8">
        <v>13360.438</v>
      </c>
      <c r="D397" s="8">
        <f t="shared" si="27"/>
        <v>1517036.3561899995</v>
      </c>
      <c r="E397" s="20">
        <f t="shared" si="24"/>
        <v>1774683.0831999998</v>
      </c>
      <c r="F397" s="22">
        <f t="shared" si="25"/>
        <v>0.85482099342186357</v>
      </c>
      <c r="G397" s="13" t="str">
        <f t="shared" si="26"/>
        <v>B</v>
      </c>
    </row>
    <row r="398" spans="1:7" ht="16.5" x14ac:dyDescent="0.3">
      <c r="A398" t="s">
        <v>729</v>
      </c>
      <c r="B398" t="s">
        <v>1114</v>
      </c>
      <c r="C398" s="8">
        <v>12881.097599999999</v>
      </c>
      <c r="D398" s="8">
        <f t="shared" si="27"/>
        <v>1529917.4537899995</v>
      </c>
      <c r="E398" s="20">
        <f t="shared" si="24"/>
        <v>1774683.0831999998</v>
      </c>
      <c r="F398" s="22">
        <f t="shared" si="25"/>
        <v>0.86207924573853834</v>
      </c>
      <c r="G398" s="13" t="str">
        <f t="shared" si="26"/>
        <v>B</v>
      </c>
    </row>
    <row r="399" spans="1:7" ht="16.5" x14ac:dyDescent="0.3">
      <c r="A399" t="s">
        <v>729</v>
      </c>
      <c r="B399" t="s">
        <v>1308</v>
      </c>
      <c r="C399" s="8">
        <v>12091.190399999999</v>
      </c>
      <c r="D399" s="8">
        <f t="shared" si="27"/>
        <v>1542008.6441899994</v>
      </c>
      <c r="E399" s="20">
        <f t="shared" si="24"/>
        <v>1774683.0831999998</v>
      </c>
      <c r="F399" s="22">
        <f t="shared" si="25"/>
        <v>0.8688924004445594</v>
      </c>
      <c r="G399" s="13" t="str">
        <f t="shared" si="26"/>
        <v>B</v>
      </c>
    </row>
    <row r="400" spans="1:7" ht="16.5" x14ac:dyDescent="0.3">
      <c r="A400" t="s">
        <v>729</v>
      </c>
      <c r="B400" t="s">
        <v>857</v>
      </c>
      <c r="C400" s="8">
        <v>10817.3416</v>
      </c>
      <c r="D400" s="8">
        <f t="shared" si="27"/>
        <v>1552825.9857899994</v>
      </c>
      <c r="E400" s="20">
        <f t="shared" si="24"/>
        <v>1774683.0831999998</v>
      </c>
      <c r="F400" s="22">
        <f t="shared" si="25"/>
        <v>0.87498776569732029</v>
      </c>
      <c r="G400" s="13" t="str">
        <f t="shared" si="26"/>
        <v>B</v>
      </c>
    </row>
    <row r="401" spans="1:7" ht="16.5" x14ac:dyDescent="0.3">
      <c r="A401" t="s">
        <v>729</v>
      </c>
      <c r="B401" t="s">
        <v>1277</v>
      </c>
      <c r="C401" s="8">
        <v>10792.637119999999</v>
      </c>
      <c r="D401" s="8">
        <f t="shared" si="27"/>
        <v>1563618.6229099995</v>
      </c>
      <c r="E401" s="20">
        <f t="shared" si="24"/>
        <v>1774683.0831999998</v>
      </c>
      <c r="F401" s="22">
        <f t="shared" si="25"/>
        <v>0.88106921044774833</v>
      </c>
      <c r="G401" s="13" t="str">
        <f t="shared" si="26"/>
        <v>B</v>
      </c>
    </row>
    <row r="402" spans="1:7" ht="16.5" x14ac:dyDescent="0.3">
      <c r="A402" t="s">
        <v>729</v>
      </c>
      <c r="B402" t="s">
        <v>1348</v>
      </c>
      <c r="C402" s="8">
        <v>10786.32144</v>
      </c>
      <c r="D402" s="8">
        <f t="shared" si="27"/>
        <v>1574404.9443499995</v>
      </c>
      <c r="E402" s="20">
        <f t="shared" si="24"/>
        <v>1774683.0831999998</v>
      </c>
      <c r="F402" s="22">
        <f t="shared" si="25"/>
        <v>0.88714709643320033</v>
      </c>
      <c r="G402" s="13" t="str">
        <f t="shared" si="26"/>
        <v>B</v>
      </c>
    </row>
    <row r="403" spans="1:7" ht="16.5" x14ac:dyDescent="0.3">
      <c r="A403" t="s">
        <v>729</v>
      </c>
      <c r="B403" t="s">
        <v>775</v>
      </c>
      <c r="C403" s="8">
        <v>10558.74</v>
      </c>
      <c r="D403" s="8">
        <f t="shared" si="27"/>
        <v>1584963.6843499995</v>
      </c>
      <c r="E403" s="20">
        <f t="shared" si="24"/>
        <v>1774683.0831999998</v>
      </c>
      <c r="F403" s="22">
        <f t="shared" si="25"/>
        <v>0.89309674462670263</v>
      </c>
      <c r="G403" s="13" t="str">
        <f t="shared" si="26"/>
        <v>B</v>
      </c>
    </row>
    <row r="404" spans="1:7" ht="16.5" x14ac:dyDescent="0.3">
      <c r="A404" t="s">
        <v>729</v>
      </c>
      <c r="B404" t="s">
        <v>1237</v>
      </c>
      <c r="C404" s="8">
        <v>10189.8891</v>
      </c>
      <c r="D404" s="8">
        <f t="shared" si="27"/>
        <v>1595153.5734499996</v>
      </c>
      <c r="E404" s="20">
        <f t="shared" si="24"/>
        <v>1774683.0831999998</v>
      </c>
      <c r="F404" s="22">
        <f t="shared" si="25"/>
        <v>0.89883855238745858</v>
      </c>
      <c r="G404" s="13" t="str">
        <f t="shared" si="26"/>
        <v>B</v>
      </c>
    </row>
    <row r="405" spans="1:7" ht="16.5" x14ac:dyDescent="0.3">
      <c r="A405" t="s">
        <v>729</v>
      </c>
      <c r="B405" t="s">
        <v>1296</v>
      </c>
      <c r="C405" s="8">
        <v>10166.535600000001</v>
      </c>
      <c r="D405" s="8">
        <f t="shared" si="27"/>
        <v>1605320.1090499996</v>
      </c>
      <c r="E405" s="20">
        <f t="shared" si="24"/>
        <v>1774683.0831999998</v>
      </c>
      <c r="F405" s="22">
        <f t="shared" si="25"/>
        <v>0.90456720089729192</v>
      </c>
      <c r="G405" s="13" t="str">
        <f t="shared" si="26"/>
        <v>B</v>
      </c>
    </row>
    <row r="406" spans="1:7" ht="16.5" x14ac:dyDescent="0.3">
      <c r="A406" t="s">
        <v>729</v>
      </c>
      <c r="B406" t="s">
        <v>1251</v>
      </c>
      <c r="C406" s="8">
        <v>9807.7842799999999</v>
      </c>
      <c r="D406" s="8">
        <f t="shared" si="27"/>
        <v>1615127.8933299996</v>
      </c>
      <c r="E406" s="20">
        <f t="shared" si="24"/>
        <v>1774683.0831999998</v>
      </c>
      <c r="F406" s="22">
        <f t="shared" si="25"/>
        <v>0.91009369989468769</v>
      </c>
      <c r="G406" s="13" t="str">
        <f t="shared" si="26"/>
        <v>B</v>
      </c>
    </row>
    <row r="407" spans="1:7" ht="16.5" x14ac:dyDescent="0.3">
      <c r="A407" t="s">
        <v>729</v>
      </c>
      <c r="B407" t="s">
        <v>766</v>
      </c>
      <c r="C407" s="8">
        <v>9647.3852800000004</v>
      </c>
      <c r="D407" s="8">
        <f t="shared" si="27"/>
        <v>1624775.2786099997</v>
      </c>
      <c r="E407" s="20">
        <f t="shared" si="24"/>
        <v>1774683.0831999998</v>
      </c>
      <c r="F407" s="22">
        <f t="shared" si="25"/>
        <v>0.9155298171210966</v>
      </c>
      <c r="G407" s="13" t="str">
        <f t="shared" si="26"/>
        <v>B</v>
      </c>
    </row>
    <row r="408" spans="1:7" ht="16.5" x14ac:dyDescent="0.3">
      <c r="A408" t="s">
        <v>729</v>
      </c>
      <c r="B408" t="s">
        <v>807</v>
      </c>
      <c r="C408" s="8">
        <v>9373.460219999999</v>
      </c>
      <c r="D408" s="8">
        <f t="shared" si="27"/>
        <v>1634148.7388299997</v>
      </c>
      <c r="E408" s="20">
        <f t="shared" si="24"/>
        <v>1774683.0831999998</v>
      </c>
      <c r="F408" s="22">
        <f t="shared" si="25"/>
        <v>0.92081158281139575</v>
      </c>
      <c r="G408" s="13" t="str">
        <f t="shared" si="26"/>
        <v>B</v>
      </c>
    </row>
    <row r="409" spans="1:7" ht="16.5" x14ac:dyDescent="0.3">
      <c r="A409" t="s">
        <v>729</v>
      </c>
      <c r="B409" t="s">
        <v>1263</v>
      </c>
      <c r="C409" s="8">
        <v>9262.0686600000008</v>
      </c>
      <c r="D409" s="8">
        <f t="shared" si="27"/>
        <v>1643410.8074899998</v>
      </c>
      <c r="E409" s="20">
        <f t="shared" si="24"/>
        <v>1774683.0831999998</v>
      </c>
      <c r="F409" s="22">
        <f t="shared" si="25"/>
        <v>0.92603058148652784</v>
      </c>
      <c r="G409" s="13" t="str">
        <f t="shared" si="26"/>
        <v>B</v>
      </c>
    </row>
    <row r="410" spans="1:7" ht="16.5" x14ac:dyDescent="0.3">
      <c r="A410" t="s">
        <v>729</v>
      </c>
      <c r="B410" t="s">
        <v>889</v>
      </c>
      <c r="C410" s="8">
        <v>8909.6646800000017</v>
      </c>
      <c r="D410" s="8">
        <f t="shared" si="27"/>
        <v>1652320.4721699997</v>
      </c>
      <c r="E410" s="20">
        <f t="shared" si="24"/>
        <v>1774683.0831999998</v>
      </c>
      <c r="F410" s="22">
        <f t="shared" si="25"/>
        <v>0.93105100725400325</v>
      </c>
      <c r="G410" s="13" t="str">
        <f t="shared" si="26"/>
        <v>B</v>
      </c>
    </row>
    <row r="411" spans="1:7" ht="16.5" x14ac:dyDescent="0.3">
      <c r="A411" t="s">
        <v>729</v>
      </c>
      <c r="B411" t="s">
        <v>1065</v>
      </c>
      <c r="C411" s="8">
        <v>8764.4065599999994</v>
      </c>
      <c r="D411" s="8">
        <f t="shared" si="27"/>
        <v>1661084.8787299998</v>
      </c>
      <c r="E411" s="20">
        <f t="shared" si="24"/>
        <v>1774683.0831999998</v>
      </c>
      <c r="F411" s="22">
        <f t="shared" si="25"/>
        <v>0.9359895828470024</v>
      </c>
      <c r="G411" s="13" t="str">
        <f t="shared" si="26"/>
        <v>B</v>
      </c>
    </row>
    <row r="412" spans="1:7" ht="16.5" x14ac:dyDescent="0.3">
      <c r="A412" t="s">
        <v>729</v>
      </c>
      <c r="B412" t="s">
        <v>1236</v>
      </c>
      <c r="C412" s="8">
        <v>8637.1874499999994</v>
      </c>
      <c r="D412" s="8">
        <f t="shared" si="27"/>
        <v>1669722.0661799998</v>
      </c>
      <c r="E412" s="20">
        <f t="shared" si="24"/>
        <v>1774683.0831999998</v>
      </c>
      <c r="F412" s="22">
        <f t="shared" si="25"/>
        <v>0.94085647290290242</v>
      </c>
      <c r="G412" s="13" t="str">
        <f t="shared" si="26"/>
        <v>B</v>
      </c>
    </row>
    <row r="413" spans="1:7" ht="16.5" x14ac:dyDescent="0.3">
      <c r="A413" t="s">
        <v>729</v>
      </c>
      <c r="B413" t="s">
        <v>932</v>
      </c>
      <c r="C413" s="8">
        <v>8349.2224200000001</v>
      </c>
      <c r="D413" s="8">
        <f t="shared" si="27"/>
        <v>1678071.2885999999</v>
      </c>
      <c r="E413" s="20">
        <f t="shared" si="24"/>
        <v>1774683.0831999998</v>
      </c>
      <c r="F413" s="22">
        <f t="shared" si="25"/>
        <v>0.9455611001679266</v>
      </c>
      <c r="G413" s="13" t="str">
        <f t="shared" si="26"/>
        <v>B</v>
      </c>
    </row>
    <row r="414" spans="1:7" ht="16.5" x14ac:dyDescent="0.3">
      <c r="A414" t="s">
        <v>729</v>
      </c>
      <c r="B414" t="s">
        <v>824</v>
      </c>
      <c r="C414" s="8">
        <v>8324.8326000000015</v>
      </c>
      <c r="D414" s="8">
        <f t="shared" si="27"/>
        <v>1686396.1211999999</v>
      </c>
      <c r="E414" s="20">
        <f t="shared" si="24"/>
        <v>1774683.0831999998</v>
      </c>
      <c r="F414" s="22">
        <f t="shared" si="25"/>
        <v>0.95025198423551427</v>
      </c>
      <c r="G414" s="13" t="str">
        <f t="shared" si="26"/>
        <v>C</v>
      </c>
    </row>
    <row r="415" spans="1:7" ht="16.5" x14ac:dyDescent="0.3">
      <c r="A415" t="s">
        <v>729</v>
      </c>
      <c r="B415" t="s">
        <v>996</v>
      </c>
      <c r="C415" s="8">
        <v>8186.057600000001</v>
      </c>
      <c r="D415" s="8">
        <f t="shared" si="27"/>
        <v>1694582.1787999999</v>
      </c>
      <c r="E415" s="20">
        <f t="shared" si="24"/>
        <v>1774683.0831999998</v>
      </c>
      <c r="F415" s="22">
        <f t="shared" si="25"/>
        <v>0.95486467124284136</v>
      </c>
      <c r="G415" s="13" t="str">
        <f t="shared" si="26"/>
        <v>C</v>
      </c>
    </row>
    <row r="416" spans="1:7" ht="16.5" x14ac:dyDescent="0.3">
      <c r="A416" t="s">
        <v>729</v>
      </c>
      <c r="B416" t="s">
        <v>1269</v>
      </c>
      <c r="C416" s="8">
        <v>7823.4472399999995</v>
      </c>
      <c r="D416" s="8">
        <f t="shared" si="27"/>
        <v>1702405.6260399998</v>
      </c>
      <c r="E416" s="20">
        <f t="shared" si="24"/>
        <v>1774683.0831999998</v>
      </c>
      <c r="F416" s="22">
        <f t="shared" si="25"/>
        <v>0.95927303424244414</v>
      </c>
      <c r="G416" s="13" t="str">
        <f t="shared" si="26"/>
        <v>C</v>
      </c>
    </row>
    <row r="417" spans="1:7" ht="16.5" x14ac:dyDescent="0.3">
      <c r="A417" t="s">
        <v>729</v>
      </c>
      <c r="B417" t="s">
        <v>1055</v>
      </c>
      <c r="C417" s="8">
        <v>7493.1076000000012</v>
      </c>
      <c r="D417" s="8">
        <f t="shared" si="27"/>
        <v>1709898.7336399998</v>
      </c>
      <c r="E417" s="20">
        <f t="shared" si="24"/>
        <v>1774683.0831999998</v>
      </c>
      <c r="F417" s="22">
        <f t="shared" si="25"/>
        <v>0.96349525716829121</v>
      </c>
      <c r="G417" s="13" t="str">
        <f t="shared" si="26"/>
        <v>C</v>
      </c>
    </row>
    <row r="418" spans="1:7" ht="16.5" x14ac:dyDescent="0.3">
      <c r="A418" t="s">
        <v>729</v>
      </c>
      <c r="B418" t="s">
        <v>890</v>
      </c>
      <c r="C418" s="8">
        <v>7203.8047000000006</v>
      </c>
      <c r="D418" s="8">
        <f t="shared" si="27"/>
        <v>1717102.5383399997</v>
      </c>
      <c r="E418" s="20">
        <f t="shared" si="24"/>
        <v>1774683.0831999998</v>
      </c>
      <c r="F418" s="22">
        <f t="shared" si="25"/>
        <v>0.96755446343908669</v>
      </c>
      <c r="G418" s="13" t="str">
        <f t="shared" si="26"/>
        <v>C</v>
      </c>
    </row>
    <row r="419" spans="1:7" ht="16.5" x14ac:dyDescent="0.3">
      <c r="A419" t="s">
        <v>729</v>
      </c>
      <c r="B419" t="s">
        <v>1112</v>
      </c>
      <c r="C419" s="8">
        <v>6576.298960000001</v>
      </c>
      <c r="D419" s="8">
        <f t="shared" si="27"/>
        <v>1723678.8372999998</v>
      </c>
      <c r="E419" s="20">
        <f t="shared" si="24"/>
        <v>1774683.0831999998</v>
      </c>
      <c r="F419" s="22">
        <f t="shared" si="25"/>
        <v>0.97126008221815452</v>
      </c>
      <c r="G419" s="13" t="str">
        <f t="shared" si="26"/>
        <v>C</v>
      </c>
    </row>
    <row r="420" spans="1:7" ht="16.5" x14ac:dyDescent="0.3">
      <c r="A420" t="s">
        <v>729</v>
      </c>
      <c r="B420" t="s">
        <v>1169</v>
      </c>
      <c r="C420" s="8">
        <v>5546.4642200000008</v>
      </c>
      <c r="D420" s="8">
        <f t="shared" si="27"/>
        <v>1729225.3015199997</v>
      </c>
      <c r="E420" s="20">
        <f t="shared" si="24"/>
        <v>1774683.0831999998</v>
      </c>
      <c r="F420" s="22">
        <f t="shared" si="25"/>
        <v>0.97438540880322511</v>
      </c>
      <c r="G420" s="13" t="str">
        <f t="shared" si="26"/>
        <v>C</v>
      </c>
    </row>
    <row r="421" spans="1:7" ht="16.5" x14ac:dyDescent="0.3">
      <c r="A421" t="s">
        <v>729</v>
      </c>
      <c r="B421" t="s">
        <v>832</v>
      </c>
      <c r="C421" s="8">
        <v>5328.4890400000004</v>
      </c>
      <c r="D421" s="8">
        <f t="shared" si="27"/>
        <v>1734553.7905599996</v>
      </c>
      <c r="E421" s="20">
        <f t="shared" si="24"/>
        <v>1774683.0831999998</v>
      </c>
      <c r="F421" s="22">
        <f t="shared" si="25"/>
        <v>0.97738791054026308</v>
      </c>
      <c r="G421" s="13" t="str">
        <f t="shared" si="26"/>
        <v>C</v>
      </c>
    </row>
    <row r="422" spans="1:7" ht="16.5" x14ac:dyDescent="0.3">
      <c r="A422" t="s">
        <v>729</v>
      </c>
      <c r="B422" t="s">
        <v>1311</v>
      </c>
      <c r="C422" s="8">
        <v>4280.6786400000001</v>
      </c>
      <c r="D422" s="8">
        <f t="shared" si="27"/>
        <v>1738834.4691999997</v>
      </c>
      <c r="E422" s="20">
        <f t="shared" si="24"/>
        <v>1774683.0831999998</v>
      </c>
      <c r="F422" s="22">
        <f t="shared" si="25"/>
        <v>0.97979999114244098</v>
      </c>
      <c r="G422" s="13" t="str">
        <f t="shared" si="26"/>
        <v>C</v>
      </c>
    </row>
    <row r="423" spans="1:7" ht="16.5" x14ac:dyDescent="0.3">
      <c r="A423" t="s">
        <v>729</v>
      </c>
      <c r="B423" t="s">
        <v>928</v>
      </c>
      <c r="C423" s="8">
        <v>3928.3797600000003</v>
      </c>
      <c r="D423" s="8">
        <f t="shared" si="27"/>
        <v>1742762.8489599996</v>
      </c>
      <c r="E423" s="20">
        <f t="shared" si="24"/>
        <v>1774683.0831999998</v>
      </c>
      <c r="F423" s="22">
        <f t="shared" si="25"/>
        <v>0.98201355805880364</v>
      </c>
      <c r="G423" s="13" t="str">
        <f t="shared" si="26"/>
        <v>C</v>
      </c>
    </row>
    <row r="424" spans="1:7" ht="16.5" x14ac:dyDescent="0.3">
      <c r="A424" t="s">
        <v>729</v>
      </c>
      <c r="B424" t="s">
        <v>1041</v>
      </c>
      <c r="C424" s="8">
        <v>3644.3212800000006</v>
      </c>
      <c r="D424" s="8">
        <f t="shared" si="27"/>
        <v>1746407.1702399997</v>
      </c>
      <c r="E424" s="20">
        <f t="shared" si="24"/>
        <v>1774683.0831999998</v>
      </c>
      <c r="F424" s="22">
        <f t="shared" si="25"/>
        <v>0.98406706345055439</v>
      </c>
      <c r="G424" s="13" t="str">
        <f t="shared" si="26"/>
        <v>C</v>
      </c>
    </row>
    <row r="425" spans="1:7" ht="16.5" x14ac:dyDescent="0.3">
      <c r="A425" t="s">
        <v>729</v>
      </c>
      <c r="B425" t="s">
        <v>982</v>
      </c>
      <c r="C425" s="8">
        <v>3592.04</v>
      </c>
      <c r="D425" s="8">
        <f t="shared" si="27"/>
        <v>1749999.2102399997</v>
      </c>
      <c r="E425" s="20">
        <f t="shared" si="24"/>
        <v>1774683.0831999998</v>
      </c>
      <c r="F425" s="22">
        <f t="shared" si="25"/>
        <v>0.98609110934021438</v>
      </c>
      <c r="G425" s="13" t="str">
        <f t="shared" si="26"/>
        <v>C</v>
      </c>
    </row>
    <row r="426" spans="1:7" ht="16.5" x14ac:dyDescent="0.3">
      <c r="A426" t="s">
        <v>729</v>
      </c>
      <c r="B426" t="s">
        <v>1272</v>
      </c>
      <c r="C426" s="8">
        <v>3340.6370000000002</v>
      </c>
      <c r="D426" s="8">
        <f t="shared" si="27"/>
        <v>1753339.8472399998</v>
      </c>
      <c r="E426" s="20">
        <f t="shared" si="24"/>
        <v>1774683.0831999998</v>
      </c>
      <c r="F426" s="22">
        <f t="shared" si="25"/>
        <v>0.98797349444413751</v>
      </c>
      <c r="G426" s="13" t="str">
        <f t="shared" si="26"/>
        <v>C</v>
      </c>
    </row>
    <row r="427" spans="1:7" ht="16.5" x14ac:dyDescent="0.3">
      <c r="A427" t="s">
        <v>729</v>
      </c>
      <c r="B427" t="s">
        <v>1078</v>
      </c>
      <c r="C427" s="8">
        <v>3175.1547799999998</v>
      </c>
      <c r="D427" s="8">
        <f t="shared" si="27"/>
        <v>1756515.0020199998</v>
      </c>
      <c r="E427" s="20">
        <f t="shared" si="24"/>
        <v>1774683.0831999998</v>
      </c>
      <c r="F427" s="22">
        <f t="shared" si="25"/>
        <v>0.98976263347975324</v>
      </c>
      <c r="G427" s="13" t="str">
        <f t="shared" si="26"/>
        <v>C</v>
      </c>
    </row>
    <row r="428" spans="1:7" ht="16.5" x14ac:dyDescent="0.3">
      <c r="A428" t="s">
        <v>729</v>
      </c>
      <c r="B428" t="s">
        <v>1172</v>
      </c>
      <c r="C428" s="8">
        <v>2795.6384399999997</v>
      </c>
      <c r="D428" s="8">
        <f t="shared" si="27"/>
        <v>1759310.6404599997</v>
      </c>
      <c r="E428" s="20">
        <f t="shared" si="24"/>
        <v>1774683.0831999998</v>
      </c>
      <c r="F428" s="22">
        <f t="shared" si="25"/>
        <v>0.99133792231101825</v>
      </c>
      <c r="G428" s="13" t="str">
        <f t="shared" si="26"/>
        <v>C</v>
      </c>
    </row>
    <row r="429" spans="1:7" ht="16.5" x14ac:dyDescent="0.3">
      <c r="A429" t="s">
        <v>729</v>
      </c>
      <c r="B429" t="s">
        <v>991</v>
      </c>
      <c r="C429" s="8">
        <v>2394.1605599999998</v>
      </c>
      <c r="D429" s="8">
        <f t="shared" si="27"/>
        <v>1761704.8010199997</v>
      </c>
      <c r="E429" s="20">
        <f t="shared" si="24"/>
        <v>1774683.0831999998</v>
      </c>
      <c r="F429" s="22">
        <f t="shared" si="25"/>
        <v>0.99268698602986716</v>
      </c>
      <c r="G429" s="13" t="str">
        <f t="shared" si="26"/>
        <v>C</v>
      </c>
    </row>
    <row r="430" spans="1:7" ht="16.5" x14ac:dyDescent="0.3">
      <c r="A430" t="s">
        <v>729</v>
      </c>
      <c r="B430" t="s">
        <v>1353</v>
      </c>
      <c r="C430" s="8">
        <v>2355.2113199999999</v>
      </c>
      <c r="D430" s="8">
        <f t="shared" si="27"/>
        <v>1764060.0123399997</v>
      </c>
      <c r="E430" s="20">
        <f t="shared" si="24"/>
        <v>1774683.0831999998</v>
      </c>
      <c r="F430" s="22">
        <f t="shared" si="25"/>
        <v>0.99401410259636602</v>
      </c>
      <c r="G430" s="13" t="str">
        <f t="shared" si="26"/>
        <v>C</v>
      </c>
    </row>
    <row r="431" spans="1:7" ht="16.5" x14ac:dyDescent="0.3">
      <c r="A431" t="s">
        <v>729</v>
      </c>
      <c r="B431" t="s">
        <v>1167</v>
      </c>
      <c r="C431" s="8">
        <v>1950.0031200000001</v>
      </c>
      <c r="D431" s="8">
        <f t="shared" si="27"/>
        <v>1766010.0154599997</v>
      </c>
      <c r="E431" s="20">
        <f t="shared" si="24"/>
        <v>1774683.0831999998</v>
      </c>
      <c r="F431" s="22">
        <f t="shared" si="25"/>
        <v>0.99511289208642184</v>
      </c>
      <c r="G431" s="13" t="str">
        <f t="shared" si="26"/>
        <v>C</v>
      </c>
    </row>
    <row r="432" spans="1:7" ht="16.5" x14ac:dyDescent="0.3">
      <c r="A432" t="s">
        <v>729</v>
      </c>
      <c r="B432" t="s">
        <v>1196</v>
      </c>
      <c r="C432" s="8">
        <v>1886.9915999999998</v>
      </c>
      <c r="D432" s="8">
        <f t="shared" si="27"/>
        <v>1767897.0070599997</v>
      </c>
      <c r="E432" s="20">
        <f t="shared" si="24"/>
        <v>1774683.0831999998</v>
      </c>
      <c r="F432" s="22">
        <f t="shared" si="25"/>
        <v>0.99617617578922102</v>
      </c>
      <c r="G432" s="13" t="str">
        <f t="shared" si="26"/>
        <v>C</v>
      </c>
    </row>
    <row r="433" spans="1:7" ht="16.5" x14ac:dyDescent="0.3">
      <c r="A433" t="s">
        <v>729</v>
      </c>
      <c r="B433" t="s">
        <v>842</v>
      </c>
      <c r="C433" s="8">
        <v>1660.3999999999999</v>
      </c>
      <c r="D433" s="8">
        <f t="shared" si="27"/>
        <v>1769557.4070599996</v>
      </c>
      <c r="E433" s="20">
        <f t="shared" si="24"/>
        <v>1774683.0831999998</v>
      </c>
      <c r="F433" s="22">
        <f t="shared" si="25"/>
        <v>0.99711177945599294</v>
      </c>
      <c r="G433" s="13" t="str">
        <f t="shared" si="26"/>
        <v>C</v>
      </c>
    </row>
    <row r="434" spans="1:7" ht="16.5" x14ac:dyDescent="0.3">
      <c r="A434" t="s">
        <v>729</v>
      </c>
      <c r="B434" t="s">
        <v>848</v>
      </c>
      <c r="C434" s="8">
        <v>1499.22</v>
      </c>
      <c r="D434" s="8">
        <f t="shared" si="27"/>
        <v>1771056.6270599996</v>
      </c>
      <c r="E434" s="20">
        <f t="shared" si="24"/>
        <v>1774683.0831999998</v>
      </c>
      <c r="F434" s="22">
        <f t="shared" si="25"/>
        <v>0.99795656127320431</v>
      </c>
      <c r="G434" s="13" t="str">
        <f t="shared" si="26"/>
        <v>C</v>
      </c>
    </row>
    <row r="435" spans="1:7" ht="16.5" x14ac:dyDescent="0.3">
      <c r="A435" t="s">
        <v>729</v>
      </c>
      <c r="B435" t="s">
        <v>1075</v>
      </c>
      <c r="C435" s="8">
        <v>1115.1975999999997</v>
      </c>
      <c r="D435" s="8">
        <f t="shared" si="27"/>
        <v>1772171.8246599997</v>
      </c>
      <c r="E435" s="20">
        <f t="shared" si="24"/>
        <v>1774683.0831999998</v>
      </c>
      <c r="F435" s="22">
        <f t="shared" si="25"/>
        <v>0.99858495380737389</v>
      </c>
      <c r="G435" s="13" t="str">
        <f t="shared" si="26"/>
        <v>C</v>
      </c>
    </row>
    <row r="436" spans="1:7" ht="16.5" x14ac:dyDescent="0.3">
      <c r="A436" t="s">
        <v>729</v>
      </c>
      <c r="B436" t="s">
        <v>1334</v>
      </c>
      <c r="C436" s="8">
        <v>1062.5902000000001</v>
      </c>
      <c r="D436" s="8">
        <f t="shared" si="27"/>
        <v>1773234.4148599997</v>
      </c>
      <c r="E436" s="20">
        <f t="shared" si="24"/>
        <v>1774683.0831999998</v>
      </c>
      <c r="F436" s="22">
        <f t="shared" si="25"/>
        <v>0.9991837030770655</v>
      </c>
      <c r="G436" s="13" t="str">
        <f t="shared" si="26"/>
        <v>C</v>
      </c>
    </row>
    <row r="437" spans="1:7" ht="16.5" x14ac:dyDescent="0.3">
      <c r="A437" t="s">
        <v>729</v>
      </c>
      <c r="B437" t="s">
        <v>1045</v>
      </c>
      <c r="C437" s="8">
        <v>879.05840000000001</v>
      </c>
      <c r="D437" s="8">
        <f t="shared" si="27"/>
        <v>1774113.4732599996</v>
      </c>
      <c r="E437" s="20">
        <f t="shared" si="24"/>
        <v>1774683.0831999998</v>
      </c>
      <c r="F437" s="22">
        <f t="shared" si="25"/>
        <v>0.99967903568507965</v>
      </c>
      <c r="G437" s="13" t="str">
        <f t="shared" si="26"/>
        <v>C</v>
      </c>
    </row>
    <row r="438" spans="1:7" ht="16.5" x14ac:dyDescent="0.3">
      <c r="A438" t="s">
        <v>729</v>
      </c>
      <c r="B438" t="s">
        <v>736</v>
      </c>
      <c r="C438" s="8">
        <v>319.72248000000002</v>
      </c>
      <c r="D438" s="8">
        <f t="shared" si="27"/>
        <v>1774433.1957399996</v>
      </c>
      <c r="E438" s="20">
        <f t="shared" si="24"/>
        <v>1774683.0831999998</v>
      </c>
      <c r="F438" s="22">
        <f t="shared" si="25"/>
        <v>0.99985919319208838</v>
      </c>
      <c r="G438" s="13" t="str">
        <f t="shared" si="26"/>
        <v>C</v>
      </c>
    </row>
    <row r="439" spans="1:7" ht="16.5" x14ac:dyDescent="0.3">
      <c r="A439" t="s">
        <v>729</v>
      </c>
      <c r="B439" t="s">
        <v>788</v>
      </c>
      <c r="C439" s="8">
        <v>215.19839999999996</v>
      </c>
      <c r="D439" s="8">
        <f t="shared" si="27"/>
        <v>1774648.3941399998</v>
      </c>
      <c r="E439" s="20">
        <f t="shared" si="24"/>
        <v>1774683.0831999998</v>
      </c>
      <c r="F439" s="22">
        <f t="shared" si="25"/>
        <v>0.99998045337766028</v>
      </c>
      <c r="G439" s="13" t="str">
        <f t="shared" si="26"/>
        <v>C</v>
      </c>
    </row>
    <row r="440" spans="1:7" ht="16.5" x14ac:dyDescent="0.3">
      <c r="A440" t="s">
        <v>729</v>
      </c>
      <c r="B440" t="s">
        <v>846</v>
      </c>
      <c r="C440" s="8">
        <v>34.689059999999998</v>
      </c>
      <c r="D440" s="8">
        <f t="shared" si="27"/>
        <v>1774683.0831999998</v>
      </c>
      <c r="E440" s="20">
        <f t="shared" si="24"/>
        <v>1774683.0831999998</v>
      </c>
      <c r="F440" s="22">
        <f t="shared" si="25"/>
        <v>1</v>
      </c>
      <c r="G440" s="13" t="str">
        <f t="shared" si="26"/>
        <v>C</v>
      </c>
    </row>
    <row r="441" spans="1:7" ht="16.5" x14ac:dyDescent="0.3">
      <c r="A441" t="s">
        <v>730</v>
      </c>
      <c r="B441" t="s">
        <v>1320</v>
      </c>
      <c r="C441" s="8">
        <v>68665.574250000005</v>
      </c>
      <c r="D441" s="8">
        <f t="shared" si="27"/>
        <v>68665.574250000005</v>
      </c>
      <c r="E441" s="20">
        <f t="shared" si="24"/>
        <v>1399242.2240200001</v>
      </c>
      <c r="F441" s="22">
        <f t="shared" si="25"/>
        <v>4.9073400638757834E-2</v>
      </c>
      <c r="G441" s="13" t="str">
        <f t="shared" si="26"/>
        <v>A</v>
      </c>
    </row>
    <row r="442" spans="1:7" ht="16.5" x14ac:dyDescent="0.3">
      <c r="A442" t="s">
        <v>730</v>
      </c>
      <c r="B442" t="s">
        <v>834</v>
      </c>
      <c r="C442" s="8">
        <v>52780.07</v>
      </c>
      <c r="D442" s="8">
        <f t="shared" si="27"/>
        <v>121445.64425000001</v>
      </c>
      <c r="E442" s="20">
        <f t="shared" si="24"/>
        <v>1399242.2240200001</v>
      </c>
      <c r="F442" s="22">
        <f t="shared" si="25"/>
        <v>8.6793867541453018E-2</v>
      </c>
      <c r="G442" s="13" t="str">
        <f t="shared" si="26"/>
        <v>A</v>
      </c>
    </row>
    <row r="443" spans="1:7" ht="16.5" x14ac:dyDescent="0.3">
      <c r="A443" t="s">
        <v>730</v>
      </c>
      <c r="B443" t="s">
        <v>883</v>
      </c>
      <c r="C443" s="8">
        <v>42495.805439999996</v>
      </c>
      <c r="D443" s="8">
        <f t="shared" si="27"/>
        <v>163941.44969000001</v>
      </c>
      <c r="E443" s="20">
        <f t="shared" si="24"/>
        <v>1399242.2240200001</v>
      </c>
      <c r="F443" s="22">
        <f t="shared" si="25"/>
        <v>0.11716445292724151</v>
      </c>
      <c r="G443" s="13" t="str">
        <f t="shared" si="26"/>
        <v>A</v>
      </c>
    </row>
    <row r="444" spans="1:7" ht="16.5" x14ac:dyDescent="0.3">
      <c r="A444" t="s">
        <v>730</v>
      </c>
      <c r="B444" t="s">
        <v>915</v>
      </c>
      <c r="C444" s="8">
        <v>41352.246200000009</v>
      </c>
      <c r="D444" s="8">
        <f t="shared" si="27"/>
        <v>205293.69589000003</v>
      </c>
      <c r="E444" s="20">
        <f t="shared" si="24"/>
        <v>1399242.2240200001</v>
      </c>
      <c r="F444" s="22">
        <f t="shared" si="25"/>
        <v>0.14671776792169305</v>
      </c>
      <c r="G444" s="13" t="str">
        <f t="shared" si="26"/>
        <v>A</v>
      </c>
    </row>
    <row r="445" spans="1:7" ht="16.5" x14ac:dyDescent="0.3">
      <c r="A445" t="s">
        <v>730</v>
      </c>
      <c r="B445" t="s">
        <v>1162</v>
      </c>
      <c r="C445" s="8">
        <v>41138.261999999995</v>
      </c>
      <c r="D445" s="8">
        <f t="shared" si="27"/>
        <v>246431.95789000002</v>
      </c>
      <c r="E445" s="20">
        <f t="shared" si="24"/>
        <v>1399242.2240200001</v>
      </c>
      <c r="F445" s="22">
        <f t="shared" si="25"/>
        <v>0.17611815428354144</v>
      </c>
      <c r="G445" s="13" t="str">
        <f t="shared" si="26"/>
        <v>A</v>
      </c>
    </row>
    <row r="446" spans="1:7" ht="16.5" x14ac:dyDescent="0.3">
      <c r="A446" t="s">
        <v>730</v>
      </c>
      <c r="B446" t="s">
        <v>1109</v>
      </c>
      <c r="C446" s="8">
        <v>38422.022320000004</v>
      </c>
      <c r="D446" s="8">
        <f t="shared" si="27"/>
        <v>284853.98021000001</v>
      </c>
      <c r="E446" s="20">
        <f t="shared" si="24"/>
        <v>1399242.2240200001</v>
      </c>
      <c r="F446" s="22">
        <f t="shared" si="25"/>
        <v>0.20357731872300078</v>
      </c>
      <c r="G446" s="13" t="str">
        <f t="shared" si="26"/>
        <v>A</v>
      </c>
    </row>
    <row r="447" spans="1:7" ht="16.5" x14ac:dyDescent="0.3">
      <c r="A447" t="s">
        <v>730</v>
      </c>
      <c r="B447" t="s">
        <v>970</v>
      </c>
      <c r="C447" s="8">
        <v>37038.581760000001</v>
      </c>
      <c r="D447" s="8">
        <f t="shared" si="27"/>
        <v>321892.56197000004</v>
      </c>
      <c r="E447" s="20">
        <f t="shared" si="24"/>
        <v>1399242.2240200001</v>
      </c>
      <c r="F447" s="22">
        <f t="shared" si="25"/>
        <v>0.23004777617788574</v>
      </c>
      <c r="G447" s="13" t="str">
        <f t="shared" si="26"/>
        <v>A</v>
      </c>
    </row>
    <row r="448" spans="1:7" ht="16.5" x14ac:dyDescent="0.3">
      <c r="A448" t="s">
        <v>730</v>
      </c>
      <c r="B448" t="s">
        <v>751</v>
      </c>
      <c r="C448" s="8">
        <v>35367.211040000002</v>
      </c>
      <c r="D448" s="8">
        <f t="shared" si="27"/>
        <v>357259.77301000006</v>
      </c>
      <c r="E448" s="20">
        <f t="shared" si="24"/>
        <v>1399242.2240200001</v>
      </c>
      <c r="F448" s="22">
        <f t="shared" si="25"/>
        <v>0.25532375086823678</v>
      </c>
      <c r="G448" s="13" t="str">
        <f t="shared" si="26"/>
        <v>A</v>
      </c>
    </row>
    <row r="449" spans="1:7" ht="16.5" x14ac:dyDescent="0.3">
      <c r="A449" t="s">
        <v>730</v>
      </c>
      <c r="B449" t="s">
        <v>1012</v>
      </c>
      <c r="C449" s="8">
        <v>34840.344000000005</v>
      </c>
      <c r="D449" s="8">
        <f t="shared" si="27"/>
        <v>392100.11701000005</v>
      </c>
      <c r="E449" s="20">
        <f t="shared" si="24"/>
        <v>1399242.2240200001</v>
      </c>
      <c r="F449" s="22">
        <f t="shared" si="25"/>
        <v>0.28022318815072833</v>
      </c>
      <c r="G449" s="13" t="str">
        <f t="shared" si="26"/>
        <v>A</v>
      </c>
    </row>
    <row r="450" spans="1:7" ht="16.5" x14ac:dyDescent="0.3">
      <c r="A450" t="s">
        <v>730</v>
      </c>
      <c r="B450" t="s">
        <v>1239</v>
      </c>
      <c r="C450" s="8">
        <v>34800.431400000001</v>
      </c>
      <c r="D450" s="8">
        <f t="shared" si="27"/>
        <v>426900.54841000005</v>
      </c>
      <c r="E450" s="20">
        <f t="shared" si="24"/>
        <v>1399242.2240200001</v>
      </c>
      <c r="F450" s="22">
        <f t="shared" si="25"/>
        <v>0.30509410099383777</v>
      </c>
      <c r="G450" s="13" t="str">
        <f t="shared" si="26"/>
        <v>A</v>
      </c>
    </row>
    <row r="451" spans="1:7" ht="16.5" x14ac:dyDescent="0.3">
      <c r="A451" t="s">
        <v>730</v>
      </c>
      <c r="B451" t="s">
        <v>1287</v>
      </c>
      <c r="C451" s="8">
        <v>33551.927499999998</v>
      </c>
      <c r="D451" s="8">
        <f t="shared" si="27"/>
        <v>460452.47591000004</v>
      </c>
      <c r="E451" s="20">
        <f t="shared" ref="E451:E514" si="28">SUMIF(A:A, A451, C:C)</f>
        <v>1399242.2240200001</v>
      </c>
      <c r="F451" s="22">
        <f t="shared" ref="F451:F514" si="29">D451/E451</f>
        <v>0.32907274237846224</v>
      </c>
      <c r="G451" s="13" t="str">
        <f t="shared" ref="G451:G514" si="30">IF(F451&lt;=0.8, "A", IF(F451&lt;=0.95, "B", "C"))</f>
        <v>A</v>
      </c>
    </row>
    <row r="452" spans="1:7" ht="16.5" x14ac:dyDescent="0.3">
      <c r="A452" t="s">
        <v>730</v>
      </c>
      <c r="B452" t="s">
        <v>1294</v>
      </c>
      <c r="C452" s="8">
        <v>33071.3145</v>
      </c>
      <c r="D452" s="8">
        <f t="shared" ref="D452:D515" si="31">IF(A452=A451, D451+C452, C452)</f>
        <v>493523.79041000002</v>
      </c>
      <c r="E452" s="20">
        <f t="shared" si="28"/>
        <v>1399242.2240200001</v>
      </c>
      <c r="F452" s="22">
        <f t="shared" si="29"/>
        <v>0.35270790284766723</v>
      </c>
      <c r="G452" s="13" t="str">
        <f t="shared" si="30"/>
        <v>A</v>
      </c>
    </row>
    <row r="453" spans="1:7" ht="16.5" x14ac:dyDescent="0.3">
      <c r="A453" t="s">
        <v>730</v>
      </c>
      <c r="B453" t="s">
        <v>1360</v>
      </c>
      <c r="C453" s="8">
        <v>33017.42</v>
      </c>
      <c r="D453" s="8">
        <f t="shared" si="31"/>
        <v>526541.21041000006</v>
      </c>
      <c r="E453" s="20">
        <f t="shared" si="28"/>
        <v>1399242.2240200001</v>
      </c>
      <c r="F453" s="22">
        <f t="shared" si="29"/>
        <v>0.37630454639744632</v>
      </c>
      <c r="G453" s="13" t="str">
        <f t="shared" si="30"/>
        <v>A</v>
      </c>
    </row>
    <row r="454" spans="1:7" ht="16.5" x14ac:dyDescent="0.3">
      <c r="A454" t="s">
        <v>730</v>
      </c>
      <c r="B454" t="s">
        <v>1108</v>
      </c>
      <c r="C454" s="8">
        <v>31005.24768</v>
      </c>
      <c r="D454" s="8">
        <f t="shared" si="31"/>
        <v>557546.45809000009</v>
      </c>
      <c r="E454" s="20">
        <f t="shared" si="28"/>
        <v>1399242.2240200001</v>
      </c>
      <c r="F454" s="22">
        <f t="shared" si="29"/>
        <v>0.39846314563619889</v>
      </c>
      <c r="G454" s="13" t="str">
        <f t="shared" si="30"/>
        <v>A</v>
      </c>
    </row>
    <row r="455" spans="1:7" ht="16.5" x14ac:dyDescent="0.3">
      <c r="A455" t="s">
        <v>730</v>
      </c>
      <c r="B455" t="s">
        <v>1156</v>
      </c>
      <c r="C455" s="8">
        <v>29627.320319999999</v>
      </c>
      <c r="D455" s="8">
        <f t="shared" si="31"/>
        <v>587173.77841000003</v>
      </c>
      <c r="E455" s="20">
        <f t="shared" si="28"/>
        <v>1399242.2240200001</v>
      </c>
      <c r="F455" s="22">
        <f t="shared" si="29"/>
        <v>0.41963697802304689</v>
      </c>
      <c r="G455" s="13" t="str">
        <f t="shared" si="30"/>
        <v>A</v>
      </c>
    </row>
    <row r="456" spans="1:7" ht="16.5" x14ac:dyDescent="0.3">
      <c r="A456" t="s">
        <v>730</v>
      </c>
      <c r="B456" t="s">
        <v>893</v>
      </c>
      <c r="C456" s="8">
        <v>29263.754519999995</v>
      </c>
      <c r="D456" s="8">
        <f t="shared" si="31"/>
        <v>616437.53292999999</v>
      </c>
      <c r="E456" s="20">
        <f t="shared" si="28"/>
        <v>1399242.2240200001</v>
      </c>
      <c r="F456" s="22">
        <f t="shared" si="29"/>
        <v>0.44055097991467485</v>
      </c>
      <c r="G456" s="13" t="str">
        <f t="shared" si="30"/>
        <v>A</v>
      </c>
    </row>
    <row r="457" spans="1:7" ht="16.5" x14ac:dyDescent="0.3">
      <c r="A457" t="s">
        <v>730</v>
      </c>
      <c r="B457" t="s">
        <v>1339</v>
      </c>
      <c r="C457" s="8">
        <v>29175.036029999999</v>
      </c>
      <c r="D457" s="8">
        <f t="shared" si="31"/>
        <v>645612.56895999995</v>
      </c>
      <c r="E457" s="20">
        <f t="shared" si="28"/>
        <v>1399242.2240200001</v>
      </c>
      <c r="F457" s="22">
        <f t="shared" si="29"/>
        <v>0.46140157713734908</v>
      </c>
      <c r="G457" s="13" t="str">
        <f t="shared" si="30"/>
        <v>A</v>
      </c>
    </row>
    <row r="458" spans="1:7" ht="16.5" x14ac:dyDescent="0.3">
      <c r="A458" t="s">
        <v>730</v>
      </c>
      <c r="B458" t="s">
        <v>1070</v>
      </c>
      <c r="C458" s="8">
        <v>28247.74656</v>
      </c>
      <c r="D458" s="8">
        <f t="shared" si="31"/>
        <v>673860.31551999995</v>
      </c>
      <c r="E458" s="20">
        <f t="shared" si="28"/>
        <v>1399242.2240200001</v>
      </c>
      <c r="F458" s="22">
        <f t="shared" si="29"/>
        <v>0.48158946603541614</v>
      </c>
      <c r="G458" s="13" t="str">
        <f t="shared" si="30"/>
        <v>A</v>
      </c>
    </row>
    <row r="459" spans="1:7" ht="16.5" x14ac:dyDescent="0.3">
      <c r="A459" t="s">
        <v>730</v>
      </c>
      <c r="B459" t="s">
        <v>1168</v>
      </c>
      <c r="C459" s="8">
        <v>27249</v>
      </c>
      <c r="D459" s="8">
        <f t="shared" si="31"/>
        <v>701109.31551999995</v>
      </c>
      <c r="E459" s="20">
        <f t="shared" si="28"/>
        <v>1399242.2240200001</v>
      </c>
      <c r="F459" s="22">
        <f t="shared" si="29"/>
        <v>0.50106357818857428</v>
      </c>
      <c r="G459" s="13" t="str">
        <f t="shared" si="30"/>
        <v>A</v>
      </c>
    </row>
    <row r="460" spans="1:7" ht="16.5" x14ac:dyDescent="0.3">
      <c r="A460" t="s">
        <v>730</v>
      </c>
      <c r="B460" t="s">
        <v>765</v>
      </c>
      <c r="C460" s="8">
        <v>26150.364320000001</v>
      </c>
      <c r="D460" s="8">
        <f t="shared" si="31"/>
        <v>727259.67984</v>
      </c>
      <c r="E460" s="20">
        <f t="shared" si="28"/>
        <v>1399242.2240200001</v>
      </c>
      <c r="F460" s="22">
        <f t="shared" si="29"/>
        <v>0.51975252558530916</v>
      </c>
      <c r="G460" s="13" t="str">
        <f t="shared" si="30"/>
        <v>A</v>
      </c>
    </row>
    <row r="461" spans="1:7" ht="16.5" x14ac:dyDescent="0.3">
      <c r="A461" t="s">
        <v>730</v>
      </c>
      <c r="B461" t="s">
        <v>936</v>
      </c>
      <c r="C461" s="8">
        <v>25299.040000000001</v>
      </c>
      <c r="D461" s="8">
        <f t="shared" si="31"/>
        <v>752558.71984000003</v>
      </c>
      <c r="E461" s="20">
        <f t="shared" si="28"/>
        <v>1399242.2240200001</v>
      </c>
      <c r="F461" s="22">
        <f t="shared" si="29"/>
        <v>0.53783305486444732</v>
      </c>
      <c r="G461" s="13" t="str">
        <f t="shared" si="30"/>
        <v>A</v>
      </c>
    </row>
    <row r="462" spans="1:7" ht="16.5" x14ac:dyDescent="0.3">
      <c r="A462" t="s">
        <v>730</v>
      </c>
      <c r="B462" t="s">
        <v>947</v>
      </c>
      <c r="C462" s="8">
        <v>24223.05</v>
      </c>
      <c r="D462" s="8">
        <f t="shared" si="31"/>
        <v>776781.76984000008</v>
      </c>
      <c r="E462" s="20">
        <f t="shared" si="28"/>
        <v>1399242.2240200001</v>
      </c>
      <c r="F462" s="22">
        <f t="shared" si="29"/>
        <v>0.55514460363289975</v>
      </c>
      <c r="G462" s="13" t="str">
        <f t="shared" si="30"/>
        <v>A</v>
      </c>
    </row>
    <row r="463" spans="1:7" ht="16.5" x14ac:dyDescent="0.3">
      <c r="A463" t="s">
        <v>730</v>
      </c>
      <c r="B463" t="s">
        <v>841</v>
      </c>
      <c r="C463" s="8">
        <v>23687.524440000001</v>
      </c>
      <c r="D463" s="8">
        <f t="shared" si="31"/>
        <v>800469.29428000003</v>
      </c>
      <c r="E463" s="20">
        <f t="shared" si="28"/>
        <v>1399242.2240200001</v>
      </c>
      <c r="F463" s="22">
        <f t="shared" si="29"/>
        <v>0.57207342698697639</v>
      </c>
      <c r="G463" s="13" t="str">
        <f t="shared" si="30"/>
        <v>A</v>
      </c>
    </row>
    <row r="464" spans="1:7" ht="16.5" x14ac:dyDescent="0.3">
      <c r="A464" t="s">
        <v>730</v>
      </c>
      <c r="B464" t="s">
        <v>1317</v>
      </c>
      <c r="C464" s="8">
        <v>22676.312610000001</v>
      </c>
      <c r="D464" s="8">
        <f t="shared" si="31"/>
        <v>823145.60689000005</v>
      </c>
      <c r="E464" s="20">
        <f t="shared" si="28"/>
        <v>1399242.2240200001</v>
      </c>
      <c r="F464" s="22">
        <f t="shared" si="29"/>
        <v>0.58827956500992096</v>
      </c>
      <c r="G464" s="13" t="str">
        <f t="shared" si="30"/>
        <v>A</v>
      </c>
    </row>
    <row r="465" spans="1:7" ht="16.5" x14ac:dyDescent="0.3">
      <c r="A465" t="s">
        <v>730</v>
      </c>
      <c r="B465" t="s">
        <v>1054</v>
      </c>
      <c r="C465" s="8">
        <v>22380.204000000002</v>
      </c>
      <c r="D465" s="8">
        <f t="shared" si="31"/>
        <v>845525.81089000008</v>
      </c>
      <c r="E465" s="20">
        <f t="shared" si="28"/>
        <v>1399242.2240200001</v>
      </c>
      <c r="F465" s="22">
        <f t="shared" si="29"/>
        <v>0.60427408233923807</v>
      </c>
      <c r="G465" s="13" t="str">
        <f t="shared" si="30"/>
        <v>A</v>
      </c>
    </row>
    <row r="466" spans="1:7" ht="16.5" x14ac:dyDescent="0.3">
      <c r="A466" t="s">
        <v>730</v>
      </c>
      <c r="B466" t="s">
        <v>930</v>
      </c>
      <c r="C466" s="8">
        <v>21679.749799999998</v>
      </c>
      <c r="D466" s="8">
        <f t="shared" si="31"/>
        <v>867205.56069000007</v>
      </c>
      <c r="E466" s="20">
        <f t="shared" si="28"/>
        <v>1399242.2240200001</v>
      </c>
      <c r="F466" s="22">
        <f t="shared" si="29"/>
        <v>0.61976800428344181</v>
      </c>
      <c r="G466" s="13" t="str">
        <f t="shared" si="30"/>
        <v>A</v>
      </c>
    </row>
    <row r="467" spans="1:7" ht="16.5" x14ac:dyDescent="0.3">
      <c r="A467" t="s">
        <v>730</v>
      </c>
      <c r="B467" t="s">
        <v>959</v>
      </c>
      <c r="C467" s="8">
        <v>21573.6495</v>
      </c>
      <c r="D467" s="8">
        <f t="shared" si="31"/>
        <v>888779.21019000001</v>
      </c>
      <c r="E467" s="20">
        <f t="shared" si="28"/>
        <v>1399242.2240200001</v>
      </c>
      <c r="F467" s="22">
        <f t="shared" si="29"/>
        <v>0.63518609925631875</v>
      </c>
      <c r="G467" s="13" t="str">
        <f t="shared" si="30"/>
        <v>A</v>
      </c>
    </row>
    <row r="468" spans="1:7" ht="16.5" x14ac:dyDescent="0.3">
      <c r="A468" t="s">
        <v>730</v>
      </c>
      <c r="B468" t="s">
        <v>1140</v>
      </c>
      <c r="C468" s="8">
        <v>21541.017959999997</v>
      </c>
      <c r="D468" s="8">
        <f t="shared" si="31"/>
        <v>910320.22814999998</v>
      </c>
      <c r="E468" s="20">
        <f t="shared" si="28"/>
        <v>1399242.2240200001</v>
      </c>
      <c r="F468" s="22">
        <f t="shared" si="29"/>
        <v>0.65058087336348724</v>
      </c>
      <c r="G468" s="13" t="str">
        <f t="shared" si="30"/>
        <v>A</v>
      </c>
    </row>
    <row r="469" spans="1:7" ht="16.5" x14ac:dyDescent="0.3">
      <c r="A469" t="s">
        <v>730</v>
      </c>
      <c r="B469" t="s">
        <v>1189</v>
      </c>
      <c r="C469" s="8">
        <v>20797.98</v>
      </c>
      <c r="D469" s="8">
        <f t="shared" si="31"/>
        <v>931118.20814999996</v>
      </c>
      <c r="E469" s="20">
        <f t="shared" si="28"/>
        <v>1399242.2240200001</v>
      </c>
      <c r="F469" s="22">
        <f t="shared" si="29"/>
        <v>0.66544461864144766</v>
      </c>
      <c r="G469" s="13" t="str">
        <f t="shared" si="30"/>
        <v>A</v>
      </c>
    </row>
    <row r="470" spans="1:7" ht="16.5" x14ac:dyDescent="0.3">
      <c r="A470" t="s">
        <v>730</v>
      </c>
      <c r="B470" t="s">
        <v>1160</v>
      </c>
      <c r="C470" s="8">
        <v>20038.536</v>
      </c>
      <c r="D470" s="8">
        <f t="shared" si="31"/>
        <v>951156.74414999993</v>
      </c>
      <c r="E470" s="20">
        <f t="shared" si="28"/>
        <v>1399242.2240200001</v>
      </c>
      <c r="F470" s="22">
        <f t="shared" si="29"/>
        <v>0.67976561014385495</v>
      </c>
      <c r="G470" s="13" t="str">
        <f t="shared" si="30"/>
        <v>A</v>
      </c>
    </row>
    <row r="471" spans="1:7" ht="16.5" x14ac:dyDescent="0.3">
      <c r="A471" t="s">
        <v>730</v>
      </c>
      <c r="B471" t="s">
        <v>1100</v>
      </c>
      <c r="C471" s="8">
        <v>19547.329920000004</v>
      </c>
      <c r="D471" s="8">
        <f t="shared" si="31"/>
        <v>970704.07406999997</v>
      </c>
      <c r="E471" s="20">
        <f t="shared" si="28"/>
        <v>1399242.2240200001</v>
      </c>
      <c r="F471" s="22">
        <f t="shared" si="29"/>
        <v>0.69373555014740984</v>
      </c>
      <c r="G471" s="13" t="str">
        <f t="shared" si="30"/>
        <v>A</v>
      </c>
    </row>
    <row r="472" spans="1:7" ht="16.5" x14ac:dyDescent="0.3">
      <c r="A472" t="s">
        <v>730</v>
      </c>
      <c r="B472" t="s">
        <v>825</v>
      </c>
      <c r="C472" s="8">
        <v>19510.808000000001</v>
      </c>
      <c r="D472" s="8">
        <f t="shared" si="31"/>
        <v>990214.88206999993</v>
      </c>
      <c r="E472" s="20">
        <f t="shared" si="28"/>
        <v>1399242.2240200001</v>
      </c>
      <c r="F472" s="22">
        <f t="shared" si="29"/>
        <v>0.70767938893748417</v>
      </c>
      <c r="G472" s="13" t="str">
        <f t="shared" si="30"/>
        <v>A</v>
      </c>
    </row>
    <row r="473" spans="1:7" ht="16.5" x14ac:dyDescent="0.3">
      <c r="A473" t="s">
        <v>730</v>
      </c>
      <c r="B473" t="s">
        <v>1207</v>
      </c>
      <c r="C473" s="8">
        <v>19233.355499999998</v>
      </c>
      <c r="D473" s="8">
        <f t="shared" si="31"/>
        <v>1009448.2375699999</v>
      </c>
      <c r="E473" s="20">
        <f t="shared" si="28"/>
        <v>1399242.2240200001</v>
      </c>
      <c r="F473" s="22">
        <f t="shared" si="29"/>
        <v>0.72142494004352697</v>
      </c>
      <c r="G473" s="13" t="str">
        <f t="shared" si="30"/>
        <v>A</v>
      </c>
    </row>
    <row r="474" spans="1:7" ht="16.5" x14ac:dyDescent="0.3">
      <c r="A474" t="s">
        <v>730</v>
      </c>
      <c r="B474" t="s">
        <v>1105</v>
      </c>
      <c r="C474" s="8">
        <v>16873.45</v>
      </c>
      <c r="D474" s="8">
        <f t="shared" si="31"/>
        <v>1026321.6875699998</v>
      </c>
      <c r="E474" s="20">
        <f t="shared" si="28"/>
        <v>1399242.2240200001</v>
      </c>
      <c r="F474" s="22">
        <f t="shared" si="29"/>
        <v>0.73348393148213775</v>
      </c>
      <c r="G474" s="13" t="str">
        <f t="shared" si="30"/>
        <v>A</v>
      </c>
    </row>
    <row r="475" spans="1:7" ht="16.5" x14ac:dyDescent="0.3">
      <c r="A475" t="s">
        <v>730</v>
      </c>
      <c r="B475" t="s">
        <v>1146</v>
      </c>
      <c r="C475" s="8">
        <v>16134.22069</v>
      </c>
      <c r="D475" s="8">
        <f t="shared" si="31"/>
        <v>1042455.9082599998</v>
      </c>
      <c r="E475" s="20">
        <f t="shared" si="28"/>
        <v>1399242.2240200001</v>
      </c>
      <c r="F475" s="22">
        <f t="shared" si="29"/>
        <v>0.74501461602912544</v>
      </c>
      <c r="G475" s="13" t="str">
        <f t="shared" si="30"/>
        <v>A</v>
      </c>
    </row>
    <row r="476" spans="1:7" ht="16.5" x14ac:dyDescent="0.3">
      <c r="A476" t="s">
        <v>730</v>
      </c>
      <c r="B476" t="s">
        <v>856</v>
      </c>
      <c r="C476" s="8">
        <v>16061.972879999999</v>
      </c>
      <c r="D476" s="8">
        <f t="shared" si="31"/>
        <v>1058517.8811399997</v>
      </c>
      <c r="E476" s="20">
        <f t="shared" si="28"/>
        <v>1399242.2240200001</v>
      </c>
      <c r="F476" s="22">
        <f t="shared" si="29"/>
        <v>0.75649366704993726</v>
      </c>
      <c r="G476" s="13" t="str">
        <f t="shared" si="30"/>
        <v>A</v>
      </c>
    </row>
    <row r="477" spans="1:7" ht="16.5" x14ac:dyDescent="0.3">
      <c r="A477" t="s">
        <v>730</v>
      </c>
      <c r="B477" t="s">
        <v>934</v>
      </c>
      <c r="C477" s="8">
        <v>14963.769179999999</v>
      </c>
      <c r="D477" s="8">
        <f t="shared" si="31"/>
        <v>1073481.6503199998</v>
      </c>
      <c r="E477" s="20">
        <f t="shared" si="28"/>
        <v>1399242.2240200001</v>
      </c>
      <c r="F477" s="22">
        <f t="shared" si="29"/>
        <v>0.76718786203857148</v>
      </c>
      <c r="G477" s="13" t="str">
        <f t="shared" si="30"/>
        <v>A</v>
      </c>
    </row>
    <row r="478" spans="1:7" ht="16.5" x14ac:dyDescent="0.3">
      <c r="A478" t="s">
        <v>730</v>
      </c>
      <c r="B478" t="s">
        <v>1153</v>
      </c>
      <c r="C478" s="8">
        <v>14527.748400000002</v>
      </c>
      <c r="D478" s="8">
        <f t="shared" si="31"/>
        <v>1088009.3987199997</v>
      </c>
      <c r="E478" s="20">
        <f t="shared" si="28"/>
        <v>1399242.2240200001</v>
      </c>
      <c r="F478" s="22">
        <f t="shared" si="29"/>
        <v>0.77757044494709893</v>
      </c>
      <c r="G478" s="13" t="str">
        <f t="shared" si="30"/>
        <v>A</v>
      </c>
    </row>
    <row r="479" spans="1:7" ht="16.5" x14ac:dyDescent="0.3">
      <c r="A479" t="s">
        <v>730</v>
      </c>
      <c r="B479" t="s">
        <v>1362</v>
      </c>
      <c r="C479" s="8">
        <v>12769.38768</v>
      </c>
      <c r="D479" s="8">
        <f t="shared" si="31"/>
        <v>1100778.7863999996</v>
      </c>
      <c r="E479" s="20">
        <f t="shared" si="28"/>
        <v>1399242.2240200001</v>
      </c>
      <c r="F479" s="22">
        <f t="shared" si="29"/>
        <v>0.78669637572648443</v>
      </c>
      <c r="G479" s="13" t="str">
        <f t="shared" si="30"/>
        <v>A</v>
      </c>
    </row>
    <row r="480" spans="1:7" ht="16.5" x14ac:dyDescent="0.3">
      <c r="A480" t="s">
        <v>730</v>
      </c>
      <c r="B480" t="s">
        <v>1174</v>
      </c>
      <c r="C480" s="8">
        <v>12668.50728</v>
      </c>
      <c r="D480" s="8">
        <f t="shared" si="31"/>
        <v>1113447.2936799997</v>
      </c>
      <c r="E480" s="20">
        <f t="shared" si="28"/>
        <v>1399242.2240200001</v>
      </c>
      <c r="F480" s="22">
        <f t="shared" si="29"/>
        <v>0.7957502100537559</v>
      </c>
      <c r="G480" s="13" t="str">
        <f t="shared" si="30"/>
        <v>A</v>
      </c>
    </row>
    <row r="481" spans="1:7" ht="16.5" x14ac:dyDescent="0.3">
      <c r="A481" t="s">
        <v>730</v>
      </c>
      <c r="B481" t="s">
        <v>1182</v>
      </c>
      <c r="C481" s="8">
        <v>12289.2</v>
      </c>
      <c r="D481" s="8">
        <f t="shared" si="31"/>
        <v>1125736.4936799996</v>
      </c>
      <c r="E481" s="20">
        <f t="shared" si="28"/>
        <v>1399242.2240200001</v>
      </c>
      <c r="F481" s="22">
        <f t="shared" si="29"/>
        <v>0.80453296388224838</v>
      </c>
      <c r="G481" s="13" t="str">
        <f t="shared" si="30"/>
        <v>B</v>
      </c>
    </row>
    <row r="482" spans="1:7" ht="16.5" x14ac:dyDescent="0.3">
      <c r="A482" t="s">
        <v>730</v>
      </c>
      <c r="B482" t="s">
        <v>978</v>
      </c>
      <c r="C482" s="8">
        <v>12248.675999999999</v>
      </c>
      <c r="D482" s="8">
        <f t="shared" si="31"/>
        <v>1137985.1696799996</v>
      </c>
      <c r="E482" s="20">
        <f t="shared" si="28"/>
        <v>1399242.2240200001</v>
      </c>
      <c r="F482" s="22">
        <f t="shared" si="29"/>
        <v>0.81328675632056524</v>
      </c>
      <c r="G482" s="13" t="str">
        <f t="shared" si="30"/>
        <v>B</v>
      </c>
    </row>
    <row r="483" spans="1:7" ht="16.5" x14ac:dyDescent="0.3">
      <c r="A483" t="s">
        <v>730</v>
      </c>
      <c r="B483" t="s">
        <v>799</v>
      </c>
      <c r="C483" s="8">
        <v>12153.267360000002</v>
      </c>
      <c r="D483" s="8">
        <f t="shared" si="31"/>
        <v>1150138.4370399995</v>
      </c>
      <c r="E483" s="20">
        <f t="shared" si="28"/>
        <v>1399242.2240200001</v>
      </c>
      <c r="F483" s="22">
        <f t="shared" si="29"/>
        <v>0.8219723628234078</v>
      </c>
      <c r="G483" s="13" t="str">
        <f t="shared" si="30"/>
        <v>B</v>
      </c>
    </row>
    <row r="484" spans="1:7" ht="16.5" x14ac:dyDescent="0.3">
      <c r="A484" t="s">
        <v>730</v>
      </c>
      <c r="B484" t="s">
        <v>1186</v>
      </c>
      <c r="C484" s="8">
        <v>11984.891250000001</v>
      </c>
      <c r="D484" s="8">
        <f t="shared" si="31"/>
        <v>1162123.3282899996</v>
      </c>
      <c r="E484" s="20">
        <f t="shared" si="28"/>
        <v>1399242.2240200001</v>
      </c>
      <c r="F484" s="22">
        <f t="shared" si="29"/>
        <v>0.83053763554335736</v>
      </c>
      <c r="G484" s="13" t="str">
        <f t="shared" si="30"/>
        <v>B</v>
      </c>
    </row>
    <row r="485" spans="1:7" ht="16.5" x14ac:dyDescent="0.3">
      <c r="A485" t="s">
        <v>730</v>
      </c>
      <c r="B485" t="s">
        <v>1266</v>
      </c>
      <c r="C485" s="8">
        <v>11924.0978</v>
      </c>
      <c r="D485" s="8">
        <f t="shared" si="31"/>
        <v>1174047.4260899997</v>
      </c>
      <c r="E485" s="20">
        <f t="shared" si="28"/>
        <v>1399242.2240200001</v>
      </c>
      <c r="F485" s="22">
        <f t="shared" si="29"/>
        <v>0.83905946085373317</v>
      </c>
      <c r="G485" s="13" t="str">
        <f t="shared" si="30"/>
        <v>B</v>
      </c>
    </row>
    <row r="486" spans="1:7" ht="16.5" x14ac:dyDescent="0.3">
      <c r="A486" t="s">
        <v>730</v>
      </c>
      <c r="B486" t="s">
        <v>931</v>
      </c>
      <c r="C486" s="8">
        <v>11326.846439999999</v>
      </c>
      <c r="D486" s="8">
        <f t="shared" si="31"/>
        <v>1185374.2725299997</v>
      </c>
      <c r="E486" s="20">
        <f t="shared" si="28"/>
        <v>1399242.2240200001</v>
      </c>
      <c r="F486" s="22">
        <f t="shared" si="29"/>
        <v>0.84715444701521281</v>
      </c>
      <c r="G486" s="13" t="str">
        <f t="shared" si="30"/>
        <v>B</v>
      </c>
    </row>
    <row r="487" spans="1:7" ht="16.5" x14ac:dyDescent="0.3">
      <c r="A487" t="s">
        <v>730</v>
      </c>
      <c r="B487" t="s">
        <v>1126</v>
      </c>
      <c r="C487" s="8">
        <v>11285.764020000001</v>
      </c>
      <c r="D487" s="8">
        <f t="shared" si="31"/>
        <v>1196660.0365499996</v>
      </c>
      <c r="E487" s="20">
        <f t="shared" si="28"/>
        <v>1399242.2240200001</v>
      </c>
      <c r="F487" s="22">
        <f t="shared" si="29"/>
        <v>0.85522007269907485</v>
      </c>
      <c r="G487" s="13" t="str">
        <f t="shared" si="30"/>
        <v>B</v>
      </c>
    </row>
    <row r="488" spans="1:7" ht="16.5" x14ac:dyDescent="0.3">
      <c r="A488" t="s">
        <v>730</v>
      </c>
      <c r="B488" t="s">
        <v>796</v>
      </c>
      <c r="C488" s="8">
        <v>10947.904</v>
      </c>
      <c r="D488" s="8">
        <f t="shared" si="31"/>
        <v>1207607.9405499997</v>
      </c>
      <c r="E488" s="20">
        <f t="shared" si="28"/>
        <v>1399242.2240200001</v>
      </c>
      <c r="F488" s="22">
        <f t="shared" si="29"/>
        <v>0.86304423910290662</v>
      </c>
      <c r="G488" s="13" t="str">
        <f t="shared" si="30"/>
        <v>B</v>
      </c>
    </row>
    <row r="489" spans="1:7" ht="16.5" x14ac:dyDescent="0.3">
      <c r="A489" t="s">
        <v>730</v>
      </c>
      <c r="B489" t="s">
        <v>745</v>
      </c>
      <c r="C489" s="8">
        <v>10370.549999999999</v>
      </c>
      <c r="D489" s="8">
        <f t="shared" si="31"/>
        <v>1217978.4905499998</v>
      </c>
      <c r="E489" s="20">
        <f t="shared" si="28"/>
        <v>1399242.2240200001</v>
      </c>
      <c r="F489" s="22">
        <f t="shared" si="29"/>
        <v>0.87045578645473365</v>
      </c>
      <c r="G489" s="13" t="str">
        <f t="shared" si="30"/>
        <v>B</v>
      </c>
    </row>
    <row r="490" spans="1:7" ht="16.5" x14ac:dyDescent="0.3">
      <c r="A490" t="s">
        <v>730</v>
      </c>
      <c r="B490" t="s">
        <v>1154</v>
      </c>
      <c r="C490" s="8">
        <v>9984.7160999999978</v>
      </c>
      <c r="D490" s="8">
        <f t="shared" si="31"/>
        <v>1227963.2066499998</v>
      </c>
      <c r="E490" s="20">
        <f t="shared" si="28"/>
        <v>1399242.2240200001</v>
      </c>
      <c r="F490" s="22">
        <f t="shared" si="29"/>
        <v>0.87759158891166222</v>
      </c>
      <c r="G490" s="13" t="str">
        <f t="shared" si="30"/>
        <v>B</v>
      </c>
    </row>
    <row r="491" spans="1:7" ht="16.5" x14ac:dyDescent="0.3">
      <c r="A491" t="s">
        <v>730</v>
      </c>
      <c r="B491" t="s">
        <v>975</v>
      </c>
      <c r="C491" s="8">
        <v>9684.8756000000012</v>
      </c>
      <c r="D491" s="8">
        <f t="shared" si="31"/>
        <v>1237648.0822499997</v>
      </c>
      <c r="E491" s="20">
        <f t="shared" si="28"/>
        <v>1399242.2240200001</v>
      </c>
      <c r="F491" s="22">
        <f t="shared" si="29"/>
        <v>0.88451310359564261</v>
      </c>
      <c r="G491" s="13" t="str">
        <f t="shared" si="30"/>
        <v>B</v>
      </c>
    </row>
    <row r="492" spans="1:7" ht="16.5" x14ac:dyDescent="0.3">
      <c r="A492" t="s">
        <v>730</v>
      </c>
      <c r="B492" t="s">
        <v>1222</v>
      </c>
      <c r="C492" s="8">
        <v>9614.4403999999995</v>
      </c>
      <c r="D492" s="8">
        <f t="shared" si="31"/>
        <v>1247262.5226499997</v>
      </c>
      <c r="E492" s="20">
        <f t="shared" si="28"/>
        <v>1399242.2240200001</v>
      </c>
      <c r="F492" s="22">
        <f t="shared" si="29"/>
        <v>0.89138428017604765</v>
      </c>
      <c r="G492" s="13" t="str">
        <f t="shared" si="30"/>
        <v>B</v>
      </c>
    </row>
    <row r="493" spans="1:7" ht="16.5" x14ac:dyDescent="0.3">
      <c r="A493" t="s">
        <v>730</v>
      </c>
      <c r="B493" t="s">
        <v>1050</v>
      </c>
      <c r="C493" s="8">
        <v>9062.34692</v>
      </c>
      <c r="D493" s="8">
        <f t="shared" si="31"/>
        <v>1256324.8695699996</v>
      </c>
      <c r="E493" s="20">
        <f t="shared" si="28"/>
        <v>1399242.2240200001</v>
      </c>
      <c r="F493" s="22">
        <f t="shared" si="29"/>
        <v>0.89786089070454067</v>
      </c>
      <c r="G493" s="13" t="str">
        <f t="shared" si="30"/>
        <v>B</v>
      </c>
    </row>
    <row r="494" spans="1:7" ht="16.5" x14ac:dyDescent="0.3">
      <c r="A494" t="s">
        <v>730</v>
      </c>
      <c r="B494" t="s">
        <v>1077</v>
      </c>
      <c r="C494" s="8">
        <v>8938.8996600000009</v>
      </c>
      <c r="D494" s="8">
        <f t="shared" si="31"/>
        <v>1265263.7692299997</v>
      </c>
      <c r="E494" s="20">
        <f t="shared" si="28"/>
        <v>1399242.2240200001</v>
      </c>
      <c r="F494" s="22">
        <f t="shared" si="29"/>
        <v>0.90424927686567202</v>
      </c>
      <c r="G494" s="13" t="str">
        <f t="shared" si="30"/>
        <v>B</v>
      </c>
    </row>
    <row r="495" spans="1:7" ht="16.5" x14ac:dyDescent="0.3">
      <c r="A495" t="s">
        <v>730</v>
      </c>
      <c r="B495" t="s">
        <v>875</v>
      </c>
      <c r="C495" s="8">
        <v>8211.6342000000004</v>
      </c>
      <c r="D495" s="8">
        <f t="shared" si="31"/>
        <v>1273475.4034299997</v>
      </c>
      <c r="E495" s="20">
        <f t="shared" si="28"/>
        <v>1399242.2240200001</v>
      </c>
      <c r="F495" s="22">
        <f t="shared" si="29"/>
        <v>0.91011790637029644</v>
      </c>
      <c r="G495" s="13" t="str">
        <f t="shared" si="30"/>
        <v>B</v>
      </c>
    </row>
    <row r="496" spans="1:7" ht="16.5" x14ac:dyDescent="0.3">
      <c r="A496" t="s">
        <v>730</v>
      </c>
      <c r="B496" t="s">
        <v>896</v>
      </c>
      <c r="C496" s="8">
        <v>8154.5511600000009</v>
      </c>
      <c r="D496" s="8">
        <f t="shared" si="31"/>
        <v>1281629.9545899997</v>
      </c>
      <c r="E496" s="20">
        <f t="shared" si="28"/>
        <v>1399242.2240200001</v>
      </c>
      <c r="F496" s="22">
        <f t="shared" si="29"/>
        <v>0.91594574019350117</v>
      </c>
      <c r="G496" s="13" t="str">
        <f t="shared" si="30"/>
        <v>B</v>
      </c>
    </row>
    <row r="497" spans="1:7" ht="16.5" x14ac:dyDescent="0.3">
      <c r="A497" t="s">
        <v>730</v>
      </c>
      <c r="B497" t="s">
        <v>1037</v>
      </c>
      <c r="C497" s="8">
        <v>8093.4784</v>
      </c>
      <c r="D497" s="8">
        <f t="shared" si="31"/>
        <v>1289723.4329899997</v>
      </c>
      <c r="E497" s="20">
        <f t="shared" si="28"/>
        <v>1399242.2240200001</v>
      </c>
      <c r="F497" s="22">
        <f t="shared" si="29"/>
        <v>0.92172992699194378</v>
      </c>
      <c r="G497" s="13" t="str">
        <f t="shared" si="30"/>
        <v>B</v>
      </c>
    </row>
    <row r="498" spans="1:7" ht="16.5" x14ac:dyDescent="0.3">
      <c r="A498" t="s">
        <v>730</v>
      </c>
      <c r="B498" t="s">
        <v>1234</v>
      </c>
      <c r="C498" s="8">
        <v>7428.1108999999988</v>
      </c>
      <c r="D498" s="8">
        <f t="shared" si="31"/>
        <v>1297151.5438899996</v>
      </c>
      <c r="E498" s="20">
        <f t="shared" si="28"/>
        <v>1399242.2240200001</v>
      </c>
      <c r="F498" s="22">
        <f t="shared" si="29"/>
        <v>0.92703859390642485</v>
      </c>
      <c r="G498" s="13" t="str">
        <f t="shared" si="30"/>
        <v>B</v>
      </c>
    </row>
    <row r="499" spans="1:7" ht="16.5" x14ac:dyDescent="0.3">
      <c r="A499" t="s">
        <v>730</v>
      </c>
      <c r="B499" t="s">
        <v>1312</v>
      </c>
      <c r="C499" s="8">
        <v>7173.3342799999991</v>
      </c>
      <c r="D499" s="8">
        <f t="shared" si="31"/>
        <v>1304324.8781699997</v>
      </c>
      <c r="E499" s="20">
        <f t="shared" si="28"/>
        <v>1399242.2240200001</v>
      </c>
      <c r="F499" s="22">
        <f t="shared" si="29"/>
        <v>0.93216517896572304</v>
      </c>
      <c r="G499" s="13" t="str">
        <f t="shared" si="30"/>
        <v>B</v>
      </c>
    </row>
    <row r="500" spans="1:7" ht="16.5" x14ac:dyDescent="0.3">
      <c r="A500" t="s">
        <v>730</v>
      </c>
      <c r="B500" t="s">
        <v>1002</v>
      </c>
      <c r="C500" s="8">
        <v>6946.8</v>
      </c>
      <c r="D500" s="8">
        <f t="shared" si="31"/>
        <v>1311271.6781699997</v>
      </c>
      <c r="E500" s="20">
        <f t="shared" si="28"/>
        <v>1399242.2240200001</v>
      </c>
      <c r="F500" s="22">
        <f t="shared" si="29"/>
        <v>0.9371298661948162</v>
      </c>
      <c r="G500" s="13" t="str">
        <f t="shared" si="30"/>
        <v>B</v>
      </c>
    </row>
    <row r="501" spans="1:7" ht="16.5" x14ac:dyDescent="0.3">
      <c r="A501" t="s">
        <v>730</v>
      </c>
      <c r="B501" t="s">
        <v>972</v>
      </c>
      <c r="C501" s="8">
        <v>6684.1875</v>
      </c>
      <c r="D501" s="8">
        <f t="shared" si="31"/>
        <v>1317955.8656699997</v>
      </c>
      <c r="E501" s="20">
        <f t="shared" si="28"/>
        <v>1399242.2240200001</v>
      </c>
      <c r="F501" s="22">
        <f t="shared" si="29"/>
        <v>0.94190687148043173</v>
      </c>
      <c r="G501" s="13" t="str">
        <f t="shared" si="30"/>
        <v>B</v>
      </c>
    </row>
    <row r="502" spans="1:7" ht="16.5" x14ac:dyDescent="0.3">
      <c r="A502" t="s">
        <v>730</v>
      </c>
      <c r="B502" t="s">
        <v>965</v>
      </c>
      <c r="C502" s="8">
        <v>5814.6927299999998</v>
      </c>
      <c r="D502" s="8">
        <f t="shared" si="31"/>
        <v>1323770.5583999997</v>
      </c>
      <c r="E502" s="20">
        <f t="shared" si="28"/>
        <v>1399242.2240200001</v>
      </c>
      <c r="F502" s="22">
        <f t="shared" si="29"/>
        <v>0.94606247272672239</v>
      </c>
      <c r="G502" s="13" t="str">
        <f t="shared" si="30"/>
        <v>B</v>
      </c>
    </row>
    <row r="503" spans="1:7" ht="16.5" x14ac:dyDescent="0.3">
      <c r="A503" t="s">
        <v>730</v>
      </c>
      <c r="B503" t="s">
        <v>828</v>
      </c>
      <c r="C503" s="8">
        <v>5487.6023999999998</v>
      </c>
      <c r="D503" s="8">
        <f t="shared" si="31"/>
        <v>1329258.1607999997</v>
      </c>
      <c r="E503" s="20">
        <f t="shared" si="28"/>
        <v>1399242.2240200001</v>
      </c>
      <c r="F503" s="22">
        <f t="shared" si="29"/>
        <v>0.94998431149473372</v>
      </c>
      <c r="G503" s="13" t="str">
        <f t="shared" si="30"/>
        <v>B</v>
      </c>
    </row>
    <row r="504" spans="1:7" ht="16.5" x14ac:dyDescent="0.3">
      <c r="A504" t="s">
        <v>730</v>
      </c>
      <c r="B504" t="s">
        <v>737</v>
      </c>
      <c r="C504" s="8">
        <v>5225.2710400000005</v>
      </c>
      <c r="D504" s="8">
        <f t="shared" si="31"/>
        <v>1334483.4318399997</v>
      </c>
      <c r="E504" s="20">
        <f t="shared" si="28"/>
        <v>1399242.2240200001</v>
      </c>
      <c r="F504" s="22">
        <f t="shared" si="29"/>
        <v>0.95371866924230642</v>
      </c>
      <c r="G504" s="13" t="str">
        <f t="shared" si="30"/>
        <v>C</v>
      </c>
    </row>
    <row r="505" spans="1:7" ht="16.5" x14ac:dyDescent="0.3">
      <c r="A505" t="s">
        <v>730</v>
      </c>
      <c r="B505" t="s">
        <v>1246</v>
      </c>
      <c r="C505" s="8">
        <v>5189.8836000000001</v>
      </c>
      <c r="D505" s="8">
        <f t="shared" si="31"/>
        <v>1339673.3154399998</v>
      </c>
      <c r="E505" s="20">
        <f t="shared" si="28"/>
        <v>1399242.2240200001</v>
      </c>
      <c r="F505" s="22">
        <f t="shared" si="29"/>
        <v>0.95742773655810653</v>
      </c>
      <c r="G505" s="13" t="str">
        <f t="shared" si="30"/>
        <v>C</v>
      </c>
    </row>
    <row r="506" spans="1:7" ht="16.5" x14ac:dyDescent="0.3">
      <c r="A506" t="s">
        <v>730</v>
      </c>
      <c r="B506" t="s">
        <v>1219</v>
      </c>
      <c r="C506" s="8">
        <v>5159.7893599999998</v>
      </c>
      <c r="D506" s="8">
        <f t="shared" si="31"/>
        <v>1344833.1047999999</v>
      </c>
      <c r="E506" s="20">
        <f t="shared" si="28"/>
        <v>1399242.2240200001</v>
      </c>
      <c r="F506" s="22">
        <f t="shared" si="29"/>
        <v>0.96111529634684434</v>
      </c>
      <c r="G506" s="13" t="str">
        <f t="shared" si="30"/>
        <v>C</v>
      </c>
    </row>
    <row r="507" spans="1:7" ht="16.5" x14ac:dyDescent="0.3">
      <c r="A507" t="s">
        <v>730</v>
      </c>
      <c r="B507" t="s">
        <v>1216</v>
      </c>
      <c r="C507" s="8">
        <v>5127.0390600000001</v>
      </c>
      <c r="D507" s="8">
        <f t="shared" si="31"/>
        <v>1349960.14386</v>
      </c>
      <c r="E507" s="20">
        <f t="shared" si="28"/>
        <v>1399242.2240200001</v>
      </c>
      <c r="F507" s="22">
        <f t="shared" si="29"/>
        <v>0.96477945039536217</v>
      </c>
      <c r="G507" s="13" t="str">
        <f t="shared" si="30"/>
        <v>C</v>
      </c>
    </row>
    <row r="508" spans="1:7" ht="16.5" x14ac:dyDescent="0.3">
      <c r="A508" t="s">
        <v>730</v>
      </c>
      <c r="B508" t="s">
        <v>1068</v>
      </c>
      <c r="C508" s="8">
        <v>4856.35725</v>
      </c>
      <c r="D508" s="8">
        <f t="shared" si="31"/>
        <v>1354816.5011099998</v>
      </c>
      <c r="E508" s="20">
        <f t="shared" si="28"/>
        <v>1399242.2240200001</v>
      </c>
      <c r="F508" s="22">
        <f t="shared" si="29"/>
        <v>0.96825015558609584</v>
      </c>
      <c r="G508" s="13" t="str">
        <f t="shared" si="30"/>
        <v>C</v>
      </c>
    </row>
    <row r="509" spans="1:7" ht="16.5" x14ac:dyDescent="0.3">
      <c r="A509" t="s">
        <v>730</v>
      </c>
      <c r="B509" t="s">
        <v>1095</v>
      </c>
      <c r="C509" s="8">
        <v>4804.4682400000002</v>
      </c>
      <c r="D509" s="8">
        <f t="shared" si="31"/>
        <v>1359620.9693499999</v>
      </c>
      <c r="E509" s="20">
        <f t="shared" si="28"/>
        <v>1399242.2240200001</v>
      </c>
      <c r="F509" s="22">
        <f t="shared" si="29"/>
        <v>0.97168377712604403</v>
      </c>
      <c r="G509" s="13" t="str">
        <f t="shared" si="30"/>
        <v>C</v>
      </c>
    </row>
    <row r="510" spans="1:7" ht="16.5" x14ac:dyDescent="0.3">
      <c r="A510" t="s">
        <v>730</v>
      </c>
      <c r="B510" t="s">
        <v>871</v>
      </c>
      <c r="C510" s="8">
        <v>4336.2427499999994</v>
      </c>
      <c r="D510" s="8">
        <f t="shared" si="31"/>
        <v>1363957.2120999999</v>
      </c>
      <c r="E510" s="20">
        <f t="shared" si="28"/>
        <v>1399242.2240200001</v>
      </c>
      <c r="F510" s="22">
        <f t="shared" si="29"/>
        <v>0.97478277076385889</v>
      </c>
      <c r="G510" s="13" t="str">
        <f t="shared" si="30"/>
        <v>C</v>
      </c>
    </row>
    <row r="511" spans="1:7" ht="16.5" x14ac:dyDescent="0.3">
      <c r="A511" t="s">
        <v>730</v>
      </c>
      <c r="B511" t="s">
        <v>761</v>
      </c>
      <c r="C511" s="8">
        <v>3980.7075</v>
      </c>
      <c r="D511" s="8">
        <f t="shared" si="31"/>
        <v>1367937.9195999999</v>
      </c>
      <c r="E511" s="20">
        <f t="shared" si="28"/>
        <v>1399242.2240200001</v>
      </c>
      <c r="F511" s="22">
        <f t="shared" si="29"/>
        <v>0.9776276731200525</v>
      </c>
      <c r="G511" s="13" t="str">
        <f t="shared" si="30"/>
        <v>C</v>
      </c>
    </row>
    <row r="512" spans="1:7" ht="16.5" x14ac:dyDescent="0.3">
      <c r="A512" t="s">
        <v>730</v>
      </c>
      <c r="B512" t="s">
        <v>1019</v>
      </c>
      <c r="C512" s="8">
        <v>3978.6474000000003</v>
      </c>
      <c r="D512" s="8">
        <f t="shared" si="31"/>
        <v>1371916.5669999998</v>
      </c>
      <c r="E512" s="20">
        <f t="shared" si="28"/>
        <v>1399242.2240200001</v>
      </c>
      <c r="F512" s="22">
        <f t="shared" si="29"/>
        <v>0.98047110317933794</v>
      </c>
      <c r="G512" s="13" t="str">
        <f t="shared" si="30"/>
        <v>C</v>
      </c>
    </row>
    <row r="513" spans="1:7" ht="16.5" x14ac:dyDescent="0.3">
      <c r="A513" t="s">
        <v>730</v>
      </c>
      <c r="B513" t="s">
        <v>762</v>
      </c>
      <c r="C513" s="8">
        <v>3913.2000000000003</v>
      </c>
      <c r="D513" s="8">
        <f t="shared" si="31"/>
        <v>1375829.7669999998</v>
      </c>
      <c r="E513" s="20">
        <f t="shared" si="28"/>
        <v>1399242.2240200001</v>
      </c>
      <c r="F513" s="22">
        <f t="shared" si="29"/>
        <v>0.98326775977876313</v>
      </c>
      <c r="G513" s="13" t="str">
        <f t="shared" si="30"/>
        <v>C</v>
      </c>
    </row>
    <row r="514" spans="1:7" ht="16.5" x14ac:dyDescent="0.3">
      <c r="A514" t="s">
        <v>730</v>
      </c>
      <c r="B514" t="s">
        <v>1061</v>
      </c>
      <c r="C514" s="8">
        <v>3799.8031499999997</v>
      </c>
      <c r="D514" s="8">
        <f t="shared" si="31"/>
        <v>1379629.5701499998</v>
      </c>
      <c r="E514" s="20">
        <f t="shared" si="28"/>
        <v>1399242.2240200001</v>
      </c>
      <c r="F514" s="22">
        <f t="shared" si="29"/>
        <v>0.98598337476291031</v>
      </c>
      <c r="G514" s="13" t="str">
        <f t="shared" si="30"/>
        <v>C</v>
      </c>
    </row>
    <row r="515" spans="1:7" ht="16.5" x14ac:dyDescent="0.3">
      <c r="A515" t="s">
        <v>730</v>
      </c>
      <c r="B515" t="s">
        <v>867</v>
      </c>
      <c r="C515" s="8">
        <v>3494.4040799999998</v>
      </c>
      <c r="D515" s="8">
        <f t="shared" si="31"/>
        <v>1383123.9742299998</v>
      </c>
      <c r="E515" s="20">
        <f t="shared" ref="E515:E578" si="32">SUMIF(A:A, A515, C:C)</f>
        <v>1399242.2240200001</v>
      </c>
      <c r="F515" s="22">
        <f t="shared" ref="F515:F578" si="33">D515/E515</f>
        <v>0.98848072941674614</v>
      </c>
      <c r="G515" s="13" t="str">
        <f t="shared" ref="G515:G578" si="34">IF(F515&lt;=0.8, "A", IF(F515&lt;=0.95, "B", "C"))</f>
        <v>C</v>
      </c>
    </row>
    <row r="516" spans="1:7" ht="16.5" x14ac:dyDescent="0.3">
      <c r="A516" t="s">
        <v>730</v>
      </c>
      <c r="B516" t="s">
        <v>979</v>
      </c>
      <c r="C516" s="8">
        <v>2909.8689199999999</v>
      </c>
      <c r="D516" s="8">
        <f t="shared" ref="D516:D579" si="35">IF(A516=A515, D515+C516, C516)</f>
        <v>1386033.8431499999</v>
      </c>
      <c r="E516" s="20">
        <f t="shared" si="32"/>
        <v>1399242.2240200001</v>
      </c>
      <c r="F516" s="22">
        <f t="shared" si="33"/>
        <v>0.99056033284069089</v>
      </c>
      <c r="G516" s="13" t="str">
        <f t="shared" si="34"/>
        <v>C</v>
      </c>
    </row>
    <row r="517" spans="1:7" ht="16.5" x14ac:dyDescent="0.3">
      <c r="A517" t="s">
        <v>730</v>
      </c>
      <c r="B517" t="s">
        <v>862</v>
      </c>
      <c r="C517" s="8">
        <v>2642.1686999999997</v>
      </c>
      <c r="D517" s="8">
        <f t="shared" si="35"/>
        <v>1388676.0118499999</v>
      </c>
      <c r="E517" s="20">
        <f t="shared" si="32"/>
        <v>1399242.2240200001</v>
      </c>
      <c r="F517" s="22">
        <f t="shared" si="33"/>
        <v>0.99244861826736219</v>
      </c>
      <c r="G517" s="13" t="str">
        <f t="shared" si="34"/>
        <v>C</v>
      </c>
    </row>
    <row r="518" spans="1:7" ht="16.5" x14ac:dyDescent="0.3">
      <c r="A518" t="s">
        <v>730</v>
      </c>
      <c r="B518" t="s">
        <v>1064</v>
      </c>
      <c r="C518" s="8">
        <v>2537.2908000000002</v>
      </c>
      <c r="D518" s="8">
        <f t="shared" si="35"/>
        <v>1391213.30265</v>
      </c>
      <c r="E518" s="20">
        <f t="shared" si="32"/>
        <v>1399242.2240200001</v>
      </c>
      <c r="F518" s="22">
        <f t="shared" si="33"/>
        <v>0.99426195033842446</v>
      </c>
      <c r="G518" s="13" t="str">
        <f t="shared" si="34"/>
        <v>C</v>
      </c>
    </row>
    <row r="519" spans="1:7" ht="16.5" x14ac:dyDescent="0.3">
      <c r="A519" t="s">
        <v>730</v>
      </c>
      <c r="B519" t="s">
        <v>1081</v>
      </c>
      <c r="C519" s="8">
        <v>2206.8000000000002</v>
      </c>
      <c r="D519" s="8">
        <f t="shared" si="35"/>
        <v>1393420.10265</v>
      </c>
      <c r="E519" s="20">
        <f t="shared" si="32"/>
        <v>1399242.2240200001</v>
      </c>
      <c r="F519" s="22">
        <f t="shared" si="33"/>
        <v>0.99583908970866164</v>
      </c>
      <c r="G519" s="13" t="str">
        <f t="shared" si="34"/>
        <v>C</v>
      </c>
    </row>
    <row r="520" spans="1:7" ht="16.5" x14ac:dyDescent="0.3">
      <c r="A520" t="s">
        <v>730</v>
      </c>
      <c r="B520" t="s">
        <v>1145</v>
      </c>
      <c r="C520" s="8">
        <v>2059.0056</v>
      </c>
      <c r="D520" s="8">
        <f t="shared" si="35"/>
        <v>1395479.10825</v>
      </c>
      <c r="E520" s="20">
        <f t="shared" si="32"/>
        <v>1399242.2240200001</v>
      </c>
      <c r="F520" s="22">
        <f t="shared" si="33"/>
        <v>0.99731060447905251</v>
      </c>
      <c r="G520" s="13" t="str">
        <f t="shared" si="34"/>
        <v>C</v>
      </c>
    </row>
    <row r="521" spans="1:7" ht="16.5" x14ac:dyDescent="0.3">
      <c r="A521" t="s">
        <v>730</v>
      </c>
      <c r="B521" t="s">
        <v>1304</v>
      </c>
      <c r="C521" s="8">
        <v>841.00536</v>
      </c>
      <c r="D521" s="8">
        <f t="shared" si="35"/>
        <v>1396320.1136100001</v>
      </c>
      <c r="E521" s="20">
        <f t="shared" si="32"/>
        <v>1399242.2240200001</v>
      </c>
      <c r="F521" s="22">
        <f t="shared" si="33"/>
        <v>0.99791164791925391</v>
      </c>
      <c r="G521" s="13" t="str">
        <f t="shared" si="34"/>
        <v>C</v>
      </c>
    </row>
    <row r="522" spans="1:7" ht="16.5" x14ac:dyDescent="0.3">
      <c r="A522" t="s">
        <v>730</v>
      </c>
      <c r="B522" t="s">
        <v>1016</v>
      </c>
      <c r="C522" s="8">
        <v>667.74</v>
      </c>
      <c r="D522" s="8">
        <f t="shared" si="35"/>
        <v>1396987.8536100001</v>
      </c>
      <c r="E522" s="20">
        <f t="shared" si="32"/>
        <v>1399242.2240200001</v>
      </c>
      <c r="F522" s="22">
        <f t="shared" si="33"/>
        <v>0.99838886336382615</v>
      </c>
      <c r="G522" s="13" t="str">
        <f t="shared" si="34"/>
        <v>C</v>
      </c>
    </row>
    <row r="523" spans="1:7" ht="16.5" x14ac:dyDescent="0.3">
      <c r="A523" t="s">
        <v>730</v>
      </c>
      <c r="B523" t="s">
        <v>1264</v>
      </c>
      <c r="C523" s="8">
        <v>618.19979999999987</v>
      </c>
      <c r="D523" s="8">
        <f t="shared" si="35"/>
        <v>1397606.0534100002</v>
      </c>
      <c r="E523" s="20">
        <f t="shared" si="32"/>
        <v>1399242.2240200001</v>
      </c>
      <c r="F523" s="22">
        <f t="shared" si="33"/>
        <v>0.99883067378763113</v>
      </c>
      <c r="G523" s="13" t="str">
        <f t="shared" si="34"/>
        <v>C</v>
      </c>
    </row>
    <row r="524" spans="1:7" ht="16.5" x14ac:dyDescent="0.3">
      <c r="A524" t="s">
        <v>730</v>
      </c>
      <c r="B524" t="s">
        <v>997</v>
      </c>
      <c r="C524" s="8">
        <v>560.36831999999993</v>
      </c>
      <c r="D524" s="8">
        <f t="shared" si="35"/>
        <v>1398166.4217300001</v>
      </c>
      <c r="E524" s="20">
        <f t="shared" si="32"/>
        <v>1399242.2240200001</v>
      </c>
      <c r="F524" s="22">
        <f t="shared" si="33"/>
        <v>0.99923115364049742</v>
      </c>
      <c r="G524" s="13" t="str">
        <f t="shared" si="34"/>
        <v>C</v>
      </c>
    </row>
    <row r="525" spans="1:7" ht="16.5" x14ac:dyDescent="0.3">
      <c r="A525" t="s">
        <v>730</v>
      </c>
      <c r="B525" t="s">
        <v>840</v>
      </c>
      <c r="C525" s="8">
        <v>518.65436999999997</v>
      </c>
      <c r="D525" s="8">
        <f t="shared" si="35"/>
        <v>1398685.0760999999</v>
      </c>
      <c r="E525" s="20">
        <f t="shared" si="32"/>
        <v>1399242.2240200001</v>
      </c>
      <c r="F525" s="22">
        <f t="shared" si="33"/>
        <v>0.99960182167859435</v>
      </c>
      <c r="G525" s="13" t="str">
        <f t="shared" si="34"/>
        <v>C</v>
      </c>
    </row>
    <row r="526" spans="1:7" ht="16.5" x14ac:dyDescent="0.3">
      <c r="A526" t="s">
        <v>730</v>
      </c>
      <c r="B526" t="s">
        <v>1318</v>
      </c>
      <c r="C526" s="8">
        <v>370.86</v>
      </c>
      <c r="D526" s="8">
        <f t="shared" si="35"/>
        <v>1399055.9361</v>
      </c>
      <c r="E526" s="20">
        <f t="shared" si="32"/>
        <v>1399242.2240200001</v>
      </c>
      <c r="F526" s="22">
        <f t="shared" si="33"/>
        <v>0.99986686513828549</v>
      </c>
      <c r="G526" s="13" t="str">
        <f t="shared" si="34"/>
        <v>C</v>
      </c>
    </row>
    <row r="527" spans="1:7" ht="16.5" x14ac:dyDescent="0.3">
      <c r="A527" t="s">
        <v>730</v>
      </c>
      <c r="B527" t="s">
        <v>1226</v>
      </c>
      <c r="C527" s="8">
        <v>110.14919999999999</v>
      </c>
      <c r="D527" s="8">
        <f t="shared" si="35"/>
        <v>1399166.0853000002</v>
      </c>
      <c r="E527" s="20">
        <f t="shared" si="32"/>
        <v>1399242.2240200001</v>
      </c>
      <c r="F527" s="22">
        <f t="shared" si="33"/>
        <v>0.99994558574727599</v>
      </c>
      <c r="G527" s="13" t="str">
        <f t="shared" si="34"/>
        <v>C</v>
      </c>
    </row>
    <row r="528" spans="1:7" ht="16.5" x14ac:dyDescent="0.3">
      <c r="A528" t="s">
        <v>730</v>
      </c>
      <c r="B528" t="s">
        <v>1020</v>
      </c>
      <c r="C528" s="8">
        <v>76.138720000000006</v>
      </c>
      <c r="D528" s="8">
        <f t="shared" si="35"/>
        <v>1399242.2240200001</v>
      </c>
      <c r="E528" s="20">
        <f t="shared" si="32"/>
        <v>1399242.2240200001</v>
      </c>
      <c r="F528" s="22">
        <f t="shared" si="33"/>
        <v>1</v>
      </c>
      <c r="G528" s="13" t="str">
        <f t="shared" si="34"/>
        <v>C</v>
      </c>
    </row>
    <row r="529" spans="1:7" ht="16.5" x14ac:dyDescent="0.3">
      <c r="A529" t="s">
        <v>728</v>
      </c>
      <c r="B529" t="s">
        <v>1271</v>
      </c>
      <c r="C529" s="8">
        <v>66260.314239999992</v>
      </c>
      <c r="D529" s="8">
        <f t="shared" si="35"/>
        <v>66260.314239999992</v>
      </c>
      <c r="E529" s="20">
        <f t="shared" si="32"/>
        <v>1616910.1886599986</v>
      </c>
      <c r="F529" s="22">
        <f t="shared" si="33"/>
        <v>4.0979588541595315E-2</v>
      </c>
      <c r="G529" s="13" t="str">
        <f t="shared" si="34"/>
        <v>A</v>
      </c>
    </row>
    <row r="530" spans="1:7" ht="16.5" x14ac:dyDescent="0.3">
      <c r="A530" t="s">
        <v>728</v>
      </c>
      <c r="B530" t="s">
        <v>1157</v>
      </c>
      <c r="C530" s="8">
        <v>58091.634960000003</v>
      </c>
      <c r="D530" s="8">
        <f t="shared" si="35"/>
        <v>124351.9492</v>
      </c>
      <c r="E530" s="20">
        <f t="shared" si="32"/>
        <v>1616910.1886599986</v>
      </c>
      <c r="F530" s="22">
        <f t="shared" si="33"/>
        <v>7.6907146774216131E-2</v>
      </c>
      <c r="G530" s="13" t="str">
        <f t="shared" si="34"/>
        <v>A</v>
      </c>
    </row>
    <row r="531" spans="1:7" ht="16.5" x14ac:dyDescent="0.3">
      <c r="A531" t="s">
        <v>728</v>
      </c>
      <c r="B531" t="s">
        <v>933</v>
      </c>
      <c r="C531" s="8">
        <v>55880.483749999999</v>
      </c>
      <c r="D531" s="8">
        <f t="shared" si="35"/>
        <v>180232.43294999999</v>
      </c>
      <c r="E531" s="20">
        <f t="shared" si="32"/>
        <v>1616910.1886599986</v>
      </c>
      <c r="F531" s="22">
        <f t="shared" si="33"/>
        <v>0.11146718860084998</v>
      </c>
      <c r="G531" s="13" t="str">
        <f t="shared" si="34"/>
        <v>A</v>
      </c>
    </row>
    <row r="532" spans="1:7" ht="16.5" x14ac:dyDescent="0.3">
      <c r="A532" t="s">
        <v>728</v>
      </c>
      <c r="B532" t="s">
        <v>1289</v>
      </c>
      <c r="C532" s="8">
        <v>50545.319219999998</v>
      </c>
      <c r="D532" s="8">
        <f t="shared" si="35"/>
        <v>230777.75216999999</v>
      </c>
      <c r="E532" s="20">
        <f t="shared" si="32"/>
        <v>1616910.1886599986</v>
      </c>
      <c r="F532" s="22">
        <f t="shared" si="33"/>
        <v>0.14272762568294237</v>
      </c>
      <c r="G532" s="13" t="str">
        <f t="shared" si="34"/>
        <v>A</v>
      </c>
    </row>
    <row r="533" spans="1:7" ht="16.5" x14ac:dyDescent="0.3">
      <c r="A533" t="s">
        <v>728</v>
      </c>
      <c r="B533" t="s">
        <v>1090</v>
      </c>
      <c r="C533" s="8">
        <v>43907.94</v>
      </c>
      <c r="D533" s="8">
        <f t="shared" si="35"/>
        <v>274685.69216999999</v>
      </c>
      <c r="E533" s="20">
        <f t="shared" si="32"/>
        <v>1616910.1886599986</v>
      </c>
      <c r="F533" s="22">
        <f t="shared" si="33"/>
        <v>0.16988308571278382</v>
      </c>
      <c r="G533" s="13" t="str">
        <f t="shared" si="34"/>
        <v>A</v>
      </c>
    </row>
    <row r="534" spans="1:7" ht="16.5" x14ac:dyDescent="0.3">
      <c r="A534" t="s">
        <v>728</v>
      </c>
      <c r="B534" t="s">
        <v>829</v>
      </c>
      <c r="C534" s="8">
        <v>43209.006119999991</v>
      </c>
      <c r="D534" s="8">
        <f t="shared" si="35"/>
        <v>317894.69828999997</v>
      </c>
      <c r="E534" s="20">
        <f t="shared" si="32"/>
        <v>1616910.1886599986</v>
      </c>
      <c r="F534" s="22">
        <f t="shared" si="33"/>
        <v>0.19660628062060309</v>
      </c>
      <c r="G534" s="13" t="str">
        <f t="shared" si="34"/>
        <v>A</v>
      </c>
    </row>
    <row r="535" spans="1:7" ht="16.5" x14ac:dyDescent="0.3">
      <c r="A535" t="s">
        <v>728</v>
      </c>
      <c r="B535" t="s">
        <v>1047</v>
      </c>
      <c r="C535" s="8">
        <v>40325.31</v>
      </c>
      <c r="D535" s="8">
        <f t="shared" si="35"/>
        <v>358220.00828999997</v>
      </c>
      <c r="E535" s="20">
        <f t="shared" si="32"/>
        <v>1616910.1886599986</v>
      </c>
      <c r="F535" s="22">
        <f t="shared" si="33"/>
        <v>0.22154601461623044</v>
      </c>
      <c r="G535" s="13" t="str">
        <f t="shared" si="34"/>
        <v>A</v>
      </c>
    </row>
    <row r="536" spans="1:7" ht="16.5" x14ac:dyDescent="0.3">
      <c r="A536" t="s">
        <v>728</v>
      </c>
      <c r="B536" t="s">
        <v>1335</v>
      </c>
      <c r="C536" s="8">
        <v>39810.328000000001</v>
      </c>
      <c r="D536" s="8">
        <f t="shared" si="35"/>
        <v>398030.33628999995</v>
      </c>
      <c r="E536" s="20">
        <f t="shared" si="32"/>
        <v>1616910.1886599986</v>
      </c>
      <c r="F536" s="22">
        <f t="shared" si="33"/>
        <v>0.24616725102082782</v>
      </c>
      <c r="G536" s="13" t="str">
        <f t="shared" si="34"/>
        <v>A</v>
      </c>
    </row>
    <row r="537" spans="1:7" ht="16.5" x14ac:dyDescent="0.3">
      <c r="A537" t="s">
        <v>728</v>
      </c>
      <c r="B537" t="s">
        <v>1071</v>
      </c>
      <c r="C537" s="8">
        <v>38535.955099999999</v>
      </c>
      <c r="D537" s="8">
        <f t="shared" si="35"/>
        <v>436566.29138999997</v>
      </c>
      <c r="E537" s="20">
        <f t="shared" si="32"/>
        <v>1616910.1886599986</v>
      </c>
      <c r="F537" s="22">
        <f t="shared" si="33"/>
        <v>0.27000033424973391</v>
      </c>
      <c r="G537" s="13" t="str">
        <f t="shared" si="34"/>
        <v>A</v>
      </c>
    </row>
    <row r="538" spans="1:7" ht="16.5" x14ac:dyDescent="0.3">
      <c r="A538" t="s">
        <v>728</v>
      </c>
      <c r="B538" t="s">
        <v>1115</v>
      </c>
      <c r="C538" s="8">
        <v>37562.28</v>
      </c>
      <c r="D538" s="8">
        <f t="shared" si="35"/>
        <v>474128.57138999994</v>
      </c>
      <c r="E538" s="20">
        <f t="shared" si="32"/>
        <v>1616910.1886599986</v>
      </c>
      <c r="F538" s="22">
        <f t="shared" si="33"/>
        <v>0.29323123492896669</v>
      </c>
      <c r="G538" s="13" t="str">
        <f t="shared" si="34"/>
        <v>A</v>
      </c>
    </row>
    <row r="539" spans="1:7" ht="16.5" x14ac:dyDescent="0.3">
      <c r="A539" t="s">
        <v>728</v>
      </c>
      <c r="B539" t="s">
        <v>1204</v>
      </c>
      <c r="C539" s="8">
        <v>36549.429260000004</v>
      </c>
      <c r="D539" s="8">
        <f t="shared" si="35"/>
        <v>510678.00064999994</v>
      </c>
      <c r="E539" s="20">
        <f t="shared" si="32"/>
        <v>1616910.1886599986</v>
      </c>
      <c r="F539" s="22">
        <f t="shared" si="33"/>
        <v>0.31583572435350926</v>
      </c>
      <c r="G539" s="13" t="str">
        <f t="shared" si="34"/>
        <v>A</v>
      </c>
    </row>
    <row r="540" spans="1:7" ht="16.5" x14ac:dyDescent="0.3">
      <c r="A540" t="s">
        <v>728</v>
      </c>
      <c r="B540" t="s">
        <v>872</v>
      </c>
      <c r="C540" s="8">
        <v>35567.737920000007</v>
      </c>
      <c r="D540" s="8">
        <f t="shared" si="35"/>
        <v>546245.73856999993</v>
      </c>
      <c r="E540" s="20">
        <f t="shared" si="32"/>
        <v>1616910.1886599986</v>
      </c>
      <c r="F540" s="22">
        <f t="shared" si="33"/>
        <v>0.33783307347620634</v>
      </c>
      <c r="G540" s="13" t="str">
        <f t="shared" si="34"/>
        <v>A</v>
      </c>
    </row>
    <row r="541" spans="1:7" ht="16.5" x14ac:dyDescent="0.3">
      <c r="A541" t="s">
        <v>728</v>
      </c>
      <c r="B541" t="s">
        <v>783</v>
      </c>
      <c r="C541" s="8">
        <v>34444.462359999998</v>
      </c>
      <c r="D541" s="8">
        <f t="shared" si="35"/>
        <v>580690.20092999993</v>
      </c>
      <c r="E541" s="20">
        <f t="shared" si="32"/>
        <v>1616910.1886599986</v>
      </c>
      <c r="F541" s="22">
        <f t="shared" si="33"/>
        <v>0.35913571761907337</v>
      </c>
      <c r="G541" s="13" t="str">
        <f t="shared" si="34"/>
        <v>A</v>
      </c>
    </row>
    <row r="542" spans="1:7" ht="16.5" x14ac:dyDescent="0.3">
      <c r="A542" t="s">
        <v>728</v>
      </c>
      <c r="B542" t="s">
        <v>1262</v>
      </c>
      <c r="C542" s="8">
        <v>33421.1</v>
      </c>
      <c r="D542" s="8">
        <f t="shared" si="35"/>
        <v>614111.30092999991</v>
      </c>
      <c r="E542" s="20">
        <f t="shared" si="32"/>
        <v>1616910.1886599986</v>
      </c>
      <c r="F542" s="22">
        <f t="shared" si="33"/>
        <v>0.37980544945352823</v>
      </c>
      <c r="G542" s="13" t="str">
        <f t="shared" si="34"/>
        <v>A</v>
      </c>
    </row>
    <row r="543" spans="1:7" ht="16.5" x14ac:dyDescent="0.3">
      <c r="A543" t="s">
        <v>728</v>
      </c>
      <c r="B543" t="s">
        <v>1280</v>
      </c>
      <c r="C543" s="8">
        <v>31822.023930000003</v>
      </c>
      <c r="D543" s="8">
        <f t="shared" si="35"/>
        <v>645933.32485999994</v>
      </c>
      <c r="E543" s="20">
        <f t="shared" si="32"/>
        <v>1616910.1886599986</v>
      </c>
      <c r="F543" s="22">
        <f t="shared" si="33"/>
        <v>0.39948621104015186</v>
      </c>
      <c r="G543" s="13" t="str">
        <f t="shared" si="34"/>
        <v>A</v>
      </c>
    </row>
    <row r="544" spans="1:7" ht="16.5" x14ac:dyDescent="0.3">
      <c r="A544" t="s">
        <v>728</v>
      </c>
      <c r="B544" t="s">
        <v>776</v>
      </c>
      <c r="C544" s="8">
        <v>31404.1</v>
      </c>
      <c r="D544" s="8">
        <f t="shared" si="35"/>
        <v>677337.42485999991</v>
      </c>
      <c r="E544" s="20">
        <f t="shared" si="32"/>
        <v>1616910.1886599986</v>
      </c>
      <c r="F544" s="22">
        <f t="shared" si="33"/>
        <v>0.41890850191335482</v>
      </c>
      <c r="G544" s="13" t="str">
        <f t="shared" si="34"/>
        <v>A</v>
      </c>
    </row>
    <row r="545" spans="1:7" ht="16.5" x14ac:dyDescent="0.3">
      <c r="A545" t="s">
        <v>728</v>
      </c>
      <c r="B545" t="s">
        <v>887</v>
      </c>
      <c r="C545" s="8">
        <v>29654.83008</v>
      </c>
      <c r="D545" s="8">
        <f t="shared" si="35"/>
        <v>706992.2549399999</v>
      </c>
      <c r="E545" s="20">
        <f t="shared" si="32"/>
        <v>1616910.1886599986</v>
      </c>
      <c r="F545" s="22">
        <f t="shared" si="33"/>
        <v>0.43724893311848945</v>
      </c>
      <c r="G545" s="13" t="str">
        <f t="shared" si="34"/>
        <v>A</v>
      </c>
    </row>
    <row r="546" spans="1:7" ht="16.5" x14ac:dyDescent="0.3">
      <c r="A546" t="s">
        <v>728</v>
      </c>
      <c r="B546" t="s">
        <v>1220</v>
      </c>
      <c r="C546" s="8">
        <v>28856.475000000002</v>
      </c>
      <c r="D546" s="8">
        <f t="shared" si="35"/>
        <v>735848.72993999987</v>
      </c>
      <c r="E546" s="20">
        <f t="shared" si="32"/>
        <v>1616910.1886599986</v>
      </c>
      <c r="F546" s="22">
        <f t="shared" si="33"/>
        <v>0.45509561081424604</v>
      </c>
      <c r="G546" s="13" t="str">
        <f t="shared" si="34"/>
        <v>A</v>
      </c>
    </row>
    <row r="547" spans="1:7" ht="16.5" x14ac:dyDescent="0.3">
      <c r="A547" t="s">
        <v>728</v>
      </c>
      <c r="B547" t="s">
        <v>953</v>
      </c>
      <c r="C547" s="8">
        <v>28211.92124</v>
      </c>
      <c r="D547" s="8">
        <f t="shared" si="35"/>
        <v>764060.65117999993</v>
      </c>
      <c r="E547" s="20">
        <f t="shared" si="32"/>
        <v>1616910.1886599986</v>
      </c>
      <c r="F547" s="22">
        <f t="shared" si="33"/>
        <v>0.47254365550953026</v>
      </c>
      <c r="G547" s="13" t="str">
        <f t="shared" si="34"/>
        <v>A</v>
      </c>
    </row>
    <row r="548" spans="1:7" ht="16.5" x14ac:dyDescent="0.3">
      <c r="A548" t="s">
        <v>728</v>
      </c>
      <c r="B548" t="s">
        <v>1208</v>
      </c>
      <c r="C548" s="8">
        <v>27194.152039999997</v>
      </c>
      <c r="D548" s="8">
        <f t="shared" si="35"/>
        <v>791254.80321999989</v>
      </c>
      <c r="E548" s="20">
        <f t="shared" si="32"/>
        <v>1616910.1886599986</v>
      </c>
      <c r="F548" s="22">
        <f t="shared" si="33"/>
        <v>0.48936224706193854</v>
      </c>
      <c r="G548" s="13" t="str">
        <f t="shared" si="34"/>
        <v>A</v>
      </c>
    </row>
    <row r="549" spans="1:7" ht="16.5" x14ac:dyDescent="0.3">
      <c r="A549" t="s">
        <v>728</v>
      </c>
      <c r="B549" t="s">
        <v>750</v>
      </c>
      <c r="C549" s="8">
        <v>25948.414799999995</v>
      </c>
      <c r="D549" s="8">
        <f t="shared" si="35"/>
        <v>817203.21801999991</v>
      </c>
      <c r="E549" s="20">
        <f t="shared" si="32"/>
        <v>1616910.1886599986</v>
      </c>
      <c r="F549" s="22">
        <f t="shared" si="33"/>
        <v>0.50541039555032463</v>
      </c>
      <c r="G549" s="13" t="str">
        <f t="shared" si="34"/>
        <v>A</v>
      </c>
    </row>
    <row r="550" spans="1:7" ht="16.5" x14ac:dyDescent="0.3">
      <c r="A550" t="s">
        <v>728</v>
      </c>
      <c r="B550" t="s">
        <v>987</v>
      </c>
      <c r="C550" s="8">
        <v>25483.91488</v>
      </c>
      <c r="D550" s="8">
        <f t="shared" si="35"/>
        <v>842687.13289999997</v>
      </c>
      <c r="E550" s="20">
        <f t="shared" si="32"/>
        <v>1616910.1886599986</v>
      </c>
      <c r="F550" s="22">
        <f t="shared" si="33"/>
        <v>0.521171267773611</v>
      </c>
      <c r="G550" s="13" t="str">
        <f t="shared" si="34"/>
        <v>A</v>
      </c>
    </row>
    <row r="551" spans="1:7" ht="16.5" x14ac:dyDescent="0.3">
      <c r="A551" t="s">
        <v>728</v>
      </c>
      <c r="B551" t="s">
        <v>1350</v>
      </c>
      <c r="C551" s="8">
        <v>25174.028880000002</v>
      </c>
      <c r="D551" s="8">
        <f t="shared" si="35"/>
        <v>867861.16177999997</v>
      </c>
      <c r="E551" s="20">
        <f t="shared" si="32"/>
        <v>1616910.1886599986</v>
      </c>
      <c r="F551" s="22">
        <f t="shared" si="33"/>
        <v>0.53674048680417619</v>
      </c>
      <c r="G551" s="13" t="str">
        <f t="shared" si="34"/>
        <v>A</v>
      </c>
    </row>
    <row r="552" spans="1:7" ht="16.5" x14ac:dyDescent="0.3">
      <c r="A552" t="s">
        <v>728</v>
      </c>
      <c r="B552" t="s">
        <v>1139</v>
      </c>
      <c r="C552" s="8">
        <v>22457.143800000002</v>
      </c>
      <c r="D552" s="8">
        <f t="shared" si="35"/>
        <v>890318.30557999993</v>
      </c>
      <c r="E552" s="20">
        <f t="shared" si="32"/>
        <v>1616910.1886599986</v>
      </c>
      <c r="F552" s="22">
        <f t="shared" si="33"/>
        <v>0.5506294114689475</v>
      </c>
      <c r="G552" s="13" t="str">
        <f t="shared" si="34"/>
        <v>A</v>
      </c>
    </row>
    <row r="553" spans="1:7" ht="16.5" x14ac:dyDescent="0.3">
      <c r="A553" t="s">
        <v>728</v>
      </c>
      <c r="B553" t="s">
        <v>1249</v>
      </c>
      <c r="C553" s="8">
        <v>22201.762229999997</v>
      </c>
      <c r="D553" s="8">
        <f t="shared" si="35"/>
        <v>912520.06780999992</v>
      </c>
      <c r="E553" s="20">
        <f t="shared" si="32"/>
        <v>1616910.1886599986</v>
      </c>
      <c r="F553" s="22">
        <f t="shared" si="33"/>
        <v>0.56436039194375021</v>
      </c>
      <c r="G553" s="13" t="str">
        <f t="shared" si="34"/>
        <v>A</v>
      </c>
    </row>
    <row r="554" spans="1:7" ht="16.5" x14ac:dyDescent="0.3">
      <c r="A554" t="s">
        <v>728</v>
      </c>
      <c r="B554" t="s">
        <v>1177</v>
      </c>
      <c r="C554" s="8">
        <v>21664.440000000002</v>
      </c>
      <c r="D554" s="8">
        <f t="shared" si="35"/>
        <v>934184.50780999986</v>
      </c>
      <c r="E554" s="20">
        <f t="shared" si="32"/>
        <v>1616910.1886599986</v>
      </c>
      <c r="F554" s="22">
        <f t="shared" si="33"/>
        <v>0.57775905820978091</v>
      </c>
      <c r="G554" s="13" t="str">
        <f t="shared" si="34"/>
        <v>A</v>
      </c>
    </row>
    <row r="555" spans="1:7" ht="16.5" x14ac:dyDescent="0.3">
      <c r="A555" t="s">
        <v>728</v>
      </c>
      <c r="B555" t="s">
        <v>747</v>
      </c>
      <c r="C555" s="8">
        <v>21585.15</v>
      </c>
      <c r="D555" s="8">
        <f t="shared" si="35"/>
        <v>955769.65780999989</v>
      </c>
      <c r="E555" s="20">
        <f t="shared" si="32"/>
        <v>1616910.1886599986</v>
      </c>
      <c r="F555" s="22">
        <f t="shared" si="33"/>
        <v>0.5911086865016828</v>
      </c>
      <c r="G555" s="13" t="str">
        <f t="shared" si="34"/>
        <v>A</v>
      </c>
    </row>
    <row r="556" spans="1:7" ht="16.5" x14ac:dyDescent="0.3">
      <c r="A556" t="s">
        <v>728</v>
      </c>
      <c r="B556" t="s">
        <v>1173</v>
      </c>
      <c r="C556" s="8">
        <v>20672.289000000001</v>
      </c>
      <c r="D556" s="8">
        <f t="shared" si="35"/>
        <v>976441.94680999988</v>
      </c>
      <c r="E556" s="20">
        <f t="shared" si="32"/>
        <v>1616910.1886599986</v>
      </c>
      <c r="F556" s="22">
        <f t="shared" si="33"/>
        <v>0.60389374354751169</v>
      </c>
      <c r="G556" s="13" t="str">
        <f t="shared" si="34"/>
        <v>A</v>
      </c>
    </row>
    <row r="557" spans="1:7" ht="16.5" x14ac:dyDescent="0.3">
      <c r="A557" t="s">
        <v>728</v>
      </c>
      <c r="B557" t="s">
        <v>1076</v>
      </c>
      <c r="C557" s="8">
        <v>20053.439999999999</v>
      </c>
      <c r="D557" s="8">
        <f t="shared" si="35"/>
        <v>996495.38680999982</v>
      </c>
      <c r="E557" s="20">
        <f t="shared" si="32"/>
        <v>1616910.1886599986</v>
      </c>
      <c r="F557" s="22">
        <f t="shared" si="33"/>
        <v>0.61629606504974621</v>
      </c>
      <c r="G557" s="13" t="str">
        <f t="shared" si="34"/>
        <v>A</v>
      </c>
    </row>
    <row r="558" spans="1:7" ht="16.5" x14ac:dyDescent="0.3">
      <c r="A558" t="s">
        <v>728</v>
      </c>
      <c r="B558" t="s">
        <v>1148</v>
      </c>
      <c r="C558" s="8">
        <v>18411.4084</v>
      </c>
      <c r="D558" s="8">
        <f t="shared" si="35"/>
        <v>1014906.7952099998</v>
      </c>
      <c r="E558" s="20">
        <f t="shared" si="32"/>
        <v>1616910.1886599986</v>
      </c>
      <c r="F558" s="22">
        <f t="shared" si="33"/>
        <v>0.62768284987498013</v>
      </c>
      <c r="G558" s="13" t="str">
        <f t="shared" si="34"/>
        <v>A</v>
      </c>
    </row>
    <row r="559" spans="1:7" ht="16.5" x14ac:dyDescent="0.3">
      <c r="A559" t="s">
        <v>728</v>
      </c>
      <c r="B559" t="s">
        <v>815</v>
      </c>
      <c r="C559" s="8">
        <v>18258.868320000001</v>
      </c>
      <c r="D559" s="8">
        <f t="shared" si="35"/>
        <v>1033165.6635299998</v>
      </c>
      <c r="E559" s="20">
        <f t="shared" si="32"/>
        <v>1616910.1886599986</v>
      </c>
      <c r="F559" s="22">
        <f t="shared" si="33"/>
        <v>0.63897529422226451</v>
      </c>
      <c r="G559" s="13" t="str">
        <f t="shared" si="34"/>
        <v>A</v>
      </c>
    </row>
    <row r="560" spans="1:7" ht="16.5" x14ac:dyDescent="0.3">
      <c r="A560" t="s">
        <v>728</v>
      </c>
      <c r="B560" t="s">
        <v>1343</v>
      </c>
      <c r="C560" s="8">
        <v>18003.847679999999</v>
      </c>
      <c r="D560" s="8">
        <f t="shared" si="35"/>
        <v>1051169.5112099997</v>
      </c>
      <c r="E560" s="20">
        <f t="shared" si="32"/>
        <v>1616910.1886599986</v>
      </c>
      <c r="F560" s="22">
        <f t="shared" si="33"/>
        <v>0.65011001760162579</v>
      </c>
      <c r="G560" s="13" t="str">
        <f t="shared" si="34"/>
        <v>A</v>
      </c>
    </row>
    <row r="561" spans="1:7" ht="16.5" x14ac:dyDescent="0.3">
      <c r="A561" t="s">
        <v>728</v>
      </c>
      <c r="B561" t="s">
        <v>735</v>
      </c>
      <c r="C561" s="8">
        <v>17960.432489999999</v>
      </c>
      <c r="D561" s="8">
        <f t="shared" si="35"/>
        <v>1069129.9436999997</v>
      </c>
      <c r="E561" s="20">
        <f t="shared" si="32"/>
        <v>1616910.1886599986</v>
      </c>
      <c r="F561" s="22">
        <f t="shared" si="33"/>
        <v>0.66121789026886679</v>
      </c>
      <c r="G561" s="13" t="str">
        <f t="shared" si="34"/>
        <v>A</v>
      </c>
    </row>
    <row r="562" spans="1:7" ht="16.5" x14ac:dyDescent="0.3">
      <c r="A562" t="s">
        <v>728</v>
      </c>
      <c r="B562" t="s">
        <v>1134</v>
      </c>
      <c r="C562" s="8">
        <v>17427.164800000002</v>
      </c>
      <c r="D562" s="8">
        <f t="shared" si="35"/>
        <v>1086557.1084999996</v>
      </c>
      <c r="E562" s="20">
        <f t="shared" si="32"/>
        <v>1616910.1886599986</v>
      </c>
      <c r="F562" s="22">
        <f t="shared" si="33"/>
        <v>0.67199595631249942</v>
      </c>
      <c r="G562" s="13" t="str">
        <f t="shared" si="34"/>
        <v>A</v>
      </c>
    </row>
    <row r="563" spans="1:7" ht="16.5" x14ac:dyDescent="0.3">
      <c r="A563" t="s">
        <v>728</v>
      </c>
      <c r="B563" t="s">
        <v>969</v>
      </c>
      <c r="C563" s="8">
        <v>17359.804799999998</v>
      </c>
      <c r="D563" s="8">
        <f t="shared" si="35"/>
        <v>1103916.9132999997</v>
      </c>
      <c r="E563" s="20">
        <f t="shared" si="32"/>
        <v>1616910.1886599986</v>
      </c>
      <c r="F563" s="22">
        <f t="shared" si="33"/>
        <v>0.68273236265204196</v>
      </c>
      <c r="G563" s="13" t="str">
        <f t="shared" si="34"/>
        <v>A</v>
      </c>
    </row>
    <row r="564" spans="1:7" ht="16.5" x14ac:dyDescent="0.3">
      <c r="A564" t="s">
        <v>728</v>
      </c>
      <c r="B564" t="s">
        <v>962</v>
      </c>
      <c r="C564" s="8">
        <v>16609.090809999998</v>
      </c>
      <c r="D564" s="8">
        <f t="shared" si="35"/>
        <v>1120526.0041099996</v>
      </c>
      <c r="E564" s="20">
        <f t="shared" si="32"/>
        <v>1616910.1886599986</v>
      </c>
      <c r="F564" s="22">
        <f t="shared" si="33"/>
        <v>0.69300447975940249</v>
      </c>
      <c r="G564" s="13" t="str">
        <f t="shared" si="34"/>
        <v>A</v>
      </c>
    </row>
    <row r="565" spans="1:7" ht="16.5" x14ac:dyDescent="0.3">
      <c r="A565" t="s">
        <v>728</v>
      </c>
      <c r="B565" t="s">
        <v>1202</v>
      </c>
      <c r="C565" s="8">
        <v>16252.219979999998</v>
      </c>
      <c r="D565" s="8">
        <f t="shared" si="35"/>
        <v>1136778.2240899997</v>
      </c>
      <c r="E565" s="20">
        <f t="shared" si="32"/>
        <v>1616910.1886599986</v>
      </c>
      <c r="F565" s="22">
        <f t="shared" si="33"/>
        <v>0.70305588526972895</v>
      </c>
      <c r="G565" s="13" t="str">
        <f t="shared" si="34"/>
        <v>A</v>
      </c>
    </row>
    <row r="566" spans="1:7" ht="16.5" x14ac:dyDescent="0.3">
      <c r="A566" t="s">
        <v>728</v>
      </c>
      <c r="B566" t="s">
        <v>1069</v>
      </c>
      <c r="C566" s="8">
        <v>16219.34496</v>
      </c>
      <c r="D566" s="8">
        <f t="shared" si="35"/>
        <v>1152997.5690499996</v>
      </c>
      <c r="E566" s="20">
        <f t="shared" si="32"/>
        <v>1616910.1886599986</v>
      </c>
      <c r="F566" s="22">
        <f t="shared" si="33"/>
        <v>0.71308695877879102</v>
      </c>
      <c r="G566" s="13" t="str">
        <f t="shared" si="34"/>
        <v>A</v>
      </c>
    </row>
    <row r="567" spans="1:7" ht="16.5" x14ac:dyDescent="0.3">
      <c r="A567" t="s">
        <v>728</v>
      </c>
      <c r="B567" t="s">
        <v>942</v>
      </c>
      <c r="C567" s="8">
        <v>15825.399369999997</v>
      </c>
      <c r="D567" s="8">
        <f t="shared" si="35"/>
        <v>1168822.9684199996</v>
      </c>
      <c r="E567" s="20">
        <f t="shared" si="32"/>
        <v>1616910.1886599986</v>
      </c>
      <c r="F567" s="22">
        <f t="shared" si="33"/>
        <v>0.72287439130348496</v>
      </c>
      <c r="G567" s="13" t="str">
        <f t="shared" si="34"/>
        <v>A</v>
      </c>
    </row>
    <row r="568" spans="1:7" ht="16.5" x14ac:dyDescent="0.3">
      <c r="A568" t="s">
        <v>728</v>
      </c>
      <c r="B568" t="s">
        <v>910</v>
      </c>
      <c r="C568" s="8">
        <v>15656.47056</v>
      </c>
      <c r="D568" s="8">
        <f t="shared" si="35"/>
        <v>1184479.4389799996</v>
      </c>
      <c r="E568" s="20">
        <f t="shared" si="32"/>
        <v>1616910.1886599986</v>
      </c>
      <c r="F568" s="22">
        <f t="shared" si="33"/>
        <v>0.73255734751824864</v>
      </c>
      <c r="G568" s="13" t="str">
        <f t="shared" si="34"/>
        <v>A</v>
      </c>
    </row>
    <row r="569" spans="1:7" ht="16.5" x14ac:dyDescent="0.3">
      <c r="A569" t="s">
        <v>728</v>
      </c>
      <c r="B569" t="s">
        <v>772</v>
      </c>
      <c r="C569" s="8">
        <v>14968.239</v>
      </c>
      <c r="D569" s="8">
        <f t="shared" si="35"/>
        <v>1199447.6779799997</v>
      </c>
      <c r="E569" s="20">
        <f t="shared" si="32"/>
        <v>1616910.1886599986</v>
      </c>
      <c r="F569" s="22">
        <f t="shared" si="33"/>
        <v>0.7418146576057093</v>
      </c>
      <c r="G569" s="13" t="str">
        <f t="shared" si="34"/>
        <v>A</v>
      </c>
    </row>
    <row r="570" spans="1:7" ht="16.5" x14ac:dyDescent="0.3">
      <c r="A570" t="s">
        <v>728</v>
      </c>
      <c r="B570" t="s">
        <v>882</v>
      </c>
      <c r="C570" s="8">
        <v>14877.464000000002</v>
      </c>
      <c r="D570" s="8">
        <f t="shared" si="35"/>
        <v>1214325.1419799996</v>
      </c>
      <c r="E570" s="20">
        <f t="shared" si="32"/>
        <v>1616910.1886599986</v>
      </c>
      <c r="F570" s="22">
        <f t="shared" si="33"/>
        <v>0.75101582666527811</v>
      </c>
      <c r="G570" s="13" t="str">
        <f t="shared" si="34"/>
        <v>A</v>
      </c>
    </row>
    <row r="571" spans="1:7" ht="16.5" x14ac:dyDescent="0.3">
      <c r="A571" t="s">
        <v>728</v>
      </c>
      <c r="B571" t="s">
        <v>1093</v>
      </c>
      <c r="C571" s="8">
        <v>14813.731920000002</v>
      </c>
      <c r="D571" s="8">
        <f t="shared" si="35"/>
        <v>1229138.8738999995</v>
      </c>
      <c r="E571" s="20">
        <f t="shared" si="32"/>
        <v>1616910.1886599986</v>
      </c>
      <c r="F571" s="22">
        <f t="shared" si="33"/>
        <v>0.76017757975700462</v>
      </c>
      <c r="G571" s="13" t="str">
        <f t="shared" si="34"/>
        <v>A</v>
      </c>
    </row>
    <row r="572" spans="1:7" ht="16.5" x14ac:dyDescent="0.3">
      <c r="A572" t="s">
        <v>728</v>
      </c>
      <c r="B572" t="s">
        <v>1292</v>
      </c>
      <c r="C572" s="8">
        <v>13251.48</v>
      </c>
      <c r="D572" s="8">
        <f t="shared" si="35"/>
        <v>1242390.3538999995</v>
      </c>
      <c r="E572" s="20">
        <f t="shared" si="32"/>
        <v>1616910.1886599986</v>
      </c>
      <c r="F572" s="22">
        <f t="shared" si="33"/>
        <v>0.76837313699508603</v>
      </c>
      <c r="G572" s="13" t="str">
        <f t="shared" si="34"/>
        <v>A</v>
      </c>
    </row>
    <row r="573" spans="1:7" ht="16.5" x14ac:dyDescent="0.3">
      <c r="A573" t="s">
        <v>728</v>
      </c>
      <c r="B573" t="s">
        <v>1163</v>
      </c>
      <c r="C573" s="8">
        <v>12955.824749999998</v>
      </c>
      <c r="D573" s="8">
        <f t="shared" si="35"/>
        <v>1255346.1786499994</v>
      </c>
      <c r="E573" s="20">
        <f t="shared" si="32"/>
        <v>1616910.1886599986</v>
      </c>
      <c r="F573" s="22">
        <f t="shared" si="33"/>
        <v>0.77638584224047569</v>
      </c>
      <c r="G573" s="13" t="str">
        <f t="shared" si="34"/>
        <v>A</v>
      </c>
    </row>
    <row r="574" spans="1:7" ht="16.5" x14ac:dyDescent="0.3">
      <c r="A574" t="s">
        <v>728</v>
      </c>
      <c r="B574" t="s">
        <v>1098</v>
      </c>
      <c r="C574" s="8">
        <v>12717.311040000001</v>
      </c>
      <c r="D574" s="8">
        <f t="shared" si="35"/>
        <v>1268063.4896899995</v>
      </c>
      <c r="E574" s="20">
        <f t="shared" si="32"/>
        <v>1616910.1886599986</v>
      </c>
      <c r="F574" s="22">
        <f t="shared" si="33"/>
        <v>0.78425103545231356</v>
      </c>
      <c r="G574" s="13" t="str">
        <f t="shared" si="34"/>
        <v>A</v>
      </c>
    </row>
    <row r="575" spans="1:7" ht="16.5" x14ac:dyDescent="0.3">
      <c r="A575" t="s">
        <v>728</v>
      </c>
      <c r="B575" t="s">
        <v>999</v>
      </c>
      <c r="C575" s="8">
        <v>12597.52224</v>
      </c>
      <c r="D575" s="8">
        <f t="shared" si="35"/>
        <v>1280661.0119299996</v>
      </c>
      <c r="E575" s="20">
        <f t="shared" si="32"/>
        <v>1616910.1886599986</v>
      </c>
      <c r="F575" s="22">
        <f t="shared" si="33"/>
        <v>0.79204214365878733</v>
      </c>
      <c r="G575" s="13" t="str">
        <f t="shared" si="34"/>
        <v>A</v>
      </c>
    </row>
    <row r="576" spans="1:7" ht="16.5" x14ac:dyDescent="0.3">
      <c r="A576" t="s">
        <v>728</v>
      </c>
      <c r="B576" t="s">
        <v>1183</v>
      </c>
      <c r="C576" s="8">
        <v>12462.65055</v>
      </c>
      <c r="D576" s="8">
        <f t="shared" si="35"/>
        <v>1293123.6624799995</v>
      </c>
      <c r="E576" s="20">
        <f t="shared" si="32"/>
        <v>1616910.1886599986</v>
      </c>
      <c r="F576" s="22">
        <f t="shared" si="33"/>
        <v>0.79974983864234628</v>
      </c>
      <c r="G576" s="13" t="str">
        <f t="shared" si="34"/>
        <v>A</v>
      </c>
    </row>
    <row r="577" spans="1:7" ht="16.5" x14ac:dyDescent="0.3">
      <c r="A577" t="s">
        <v>728</v>
      </c>
      <c r="B577" t="s">
        <v>868</v>
      </c>
      <c r="C577" s="8">
        <v>12031.491680000001</v>
      </c>
      <c r="D577" s="8">
        <f t="shared" si="35"/>
        <v>1305155.1541599995</v>
      </c>
      <c r="E577" s="20">
        <f t="shared" si="32"/>
        <v>1616910.1886599986</v>
      </c>
      <c r="F577" s="22">
        <f t="shared" si="33"/>
        <v>0.80719087758463337</v>
      </c>
      <c r="G577" s="13" t="str">
        <f t="shared" si="34"/>
        <v>B</v>
      </c>
    </row>
    <row r="578" spans="1:7" ht="16.5" x14ac:dyDescent="0.3">
      <c r="A578" t="s">
        <v>728</v>
      </c>
      <c r="B578" t="s">
        <v>898</v>
      </c>
      <c r="C578" s="8">
        <v>11851.806399999999</v>
      </c>
      <c r="D578" s="8">
        <f t="shared" si="35"/>
        <v>1317006.9605599993</v>
      </c>
      <c r="E578" s="20">
        <f t="shared" si="32"/>
        <v>1616910.1886599986</v>
      </c>
      <c r="F578" s="22">
        <f t="shared" si="33"/>
        <v>0.81452078773247039</v>
      </c>
      <c r="G578" s="13" t="str">
        <f t="shared" si="34"/>
        <v>B</v>
      </c>
    </row>
    <row r="579" spans="1:7" ht="16.5" x14ac:dyDescent="0.3">
      <c r="A579" t="s">
        <v>728</v>
      </c>
      <c r="B579" t="s">
        <v>1008</v>
      </c>
      <c r="C579" s="8">
        <v>11417.429099999999</v>
      </c>
      <c r="D579" s="8">
        <f t="shared" si="35"/>
        <v>1328424.3896599994</v>
      </c>
      <c r="E579" s="20">
        <f t="shared" ref="E579:E631" si="36">SUMIF(A:A, A579, C:C)</f>
        <v>1616910.1886599986</v>
      </c>
      <c r="F579" s="22">
        <f t="shared" ref="F579:F631" si="37">D579/E579</f>
        <v>0.8215820513574229</v>
      </c>
      <c r="G579" s="13" t="str">
        <f t="shared" ref="G579:G631" si="38">IF(F579&lt;=0.8, "A", IF(F579&lt;=0.95, "B", "C"))</f>
        <v>B</v>
      </c>
    </row>
    <row r="580" spans="1:7" ht="16.5" x14ac:dyDescent="0.3">
      <c r="A580" t="s">
        <v>728</v>
      </c>
      <c r="B580" t="s">
        <v>1260</v>
      </c>
      <c r="C580" s="8">
        <v>11406.96</v>
      </c>
      <c r="D580" s="8">
        <f t="shared" ref="D580:D631" si="39">IF(A580=A579, D579+C580, C580)</f>
        <v>1339831.3496599994</v>
      </c>
      <c r="E580" s="20">
        <f t="shared" si="36"/>
        <v>1616910.1886599986</v>
      </c>
      <c r="F580" s="22">
        <f t="shared" si="37"/>
        <v>0.82863684022572326</v>
      </c>
      <c r="G580" s="13" t="str">
        <f t="shared" si="38"/>
        <v>B</v>
      </c>
    </row>
    <row r="581" spans="1:7" ht="16.5" x14ac:dyDescent="0.3">
      <c r="A581" t="s">
        <v>728</v>
      </c>
      <c r="B581" t="s">
        <v>738</v>
      </c>
      <c r="C581" s="8">
        <v>10957.9797</v>
      </c>
      <c r="D581" s="8">
        <f t="shared" si="39"/>
        <v>1350789.3293599994</v>
      </c>
      <c r="E581" s="20">
        <f t="shared" si="36"/>
        <v>1616910.1886599986</v>
      </c>
      <c r="F581" s="22">
        <f t="shared" si="37"/>
        <v>0.83541395114805683</v>
      </c>
      <c r="G581" s="13" t="str">
        <f t="shared" si="38"/>
        <v>B</v>
      </c>
    </row>
    <row r="582" spans="1:7" ht="16.5" x14ac:dyDescent="0.3">
      <c r="A582" t="s">
        <v>728</v>
      </c>
      <c r="B582" t="s">
        <v>1235</v>
      </c>
      <c r="C582" s="8">
        <v>10869.182940000001</v>
      </c>
      <c r="D582" s="8">
        <f t="shared" si="39"/>
        <v>1361658.5122999994</v>
      </c>
      <c r="E582" s="20">
        <f t="shared" si="36"/>
        <v>1616910.1886599986</v>
      </c>
      <c r="F582" s="22">
        <f t="shared" si="37"/>
        <v>0.84213614451181296</v>
      </c>
      <c r="G582" s="13" t="str">
        <f t="shared" si="38"/>
        <v>B</v>
      </c>
    </row>
    <row r="583" spans="1:7" ht="16.5" x14ac:dyDescent="0.3">
      <c r="A583" t="s">
        <v>728</v>
      </c>
      <c r="B583" t="s">
        <v>777</v>
      </c>
      <c r="C583" s="8">
        <v>10666.229420000001</v>
      </c>
      <c r="D583" s="8">
        <f t="shared" si="39"/>
        <v>1372324.7417199994</v>
      </c>
      <c r="E583" s="20">
        <f t="shared" si="36"/>
        <v>1616910.1886599986</v>
      </c>
      <c r="F583" s="22">
        <f t="shared" si="37"/>
        <v>0.84873281852302662</v>
      </c>
      <c r="G583" s="13" t="str">
        <f t="shared" si="38"/>
        <v>B</v>
      </c>
    </row>
    <row r="584" spans="1:7" ht="16.5" x14ac:dyDescent="0.3">
      <c r="A584" t="s">
        <v>728</v>
      </c>
      <c r="B584" t="s">
        <v>1347</v>
      </c>
      <c r="C584" s="8">
        <v>10464.138360000001</v>
      </c>
      <c r="D584" s="8">
        <f t="shared" si="39"/>
        <v>1382788.8800799993</v>
      </c>
      <c r="E584" s="20">
        <f t="shared" si="36"/>
        <v>1616910.1886599986</v>
      </c>
      <c r="F584" s="22">
        <f t="shared" si="37"/>
        <v>0.85520450658176295</v>
      </c>
      <c r="G584" s="13" t="str">
        <f t="shared" si="38"/>
        <v>B</v>
      </c>
    </row>
    <row r="585" spans="1:7" ht="16.5" x14ac:dyDescent="0.3">
      <c r="A585" t="s">
        <v>728</v>
      </c>
      <c r="B585" t="s">
        <v>1203</v>
      </c>
      <c r="C585" s="8">
        <v>10428.057360000001</v>
      </c>
      <c r="D585" s="8">
        <f t="shared" si="39"/>
        <v>1393216.9374399993</v>
      </c>
      <c r="E585" s="20">
        <f t="shared" si="36"/>
        <v>1616910.1886599986</v>
      </c>
      <c r="F585" s="22">
        <f t="shared" si="37"/>
        <v>0.86165387985749331</v>
      </c>
      <c r="G585" s="13" t="str">
        <f t="shared" si="38"/>
        <v>B</v>
      </c>
    </row>
    <row r="586" spans="1:7" ht="16.5" x14ac:dyDescent="0.3">
      <c r="A586" t="s">
        <v>728</v>
      </c>
      <c r="B586" t="s">
        <v>1342</v>
      </c>
      <c r="C586" s="8">
        <v>10260.060159999999</v>
      </c>
      <c r="D586" s="8">
        <f t="shared" si="39"/>
        <v>1403476.9975999994</v>
      </c>
      <c r="E586" s="20">
        <f t="shared" si="36"/>
        <v>1616910.1886599986</v>
      </c>
      <c r="F586" s="22">
        <f t="shared" si="37"/>
        <v>0.86799935299011244</v>
      </c>
      <c r="G586" s="13" t="str">
        <f t="shared" si="38"/>
        <v>B</v>
      </c>
    </row>
    <row r="587" spans="1:7" ht="16.5" x14ac:dyDescent="0.3">
      <c r="A587" t="s">
        <v>728</v>
      </c>
      <c r="B587" t="s">
        <v>826</v>
      </c>
      <c r="C587" s="8">
        <v>10161.46624</v>
      </c>
      <c r="D587" s="8">
        <f t="shared" si="39"/>
        <v>1413638.4638399994</v>
      </c>
      <c r="E587" s="20">
        <f t="shared" si="36"/>
        <v>1616910.1886599986</v>
      </c>
      <c r="F587" s="22">
        <f t="shared" si="37"/>
        <v>0.87428384937789339</v>
      </c>
      <c r="G587" s="13" t="str">
        <f t="shared" si="38"/>
        <v>B</v>
      </c>
    </row>
    <row r="588" spans="1:7" ht="16.5" x14ac:dyDescent="0.3">
      <c r="A588" t="s">
        <v>728</v>
      </c>
      <c r="B588" t="s">
        <v>877</v>
      </c>
      <c r="C588" s="8">
        <v>9969.4201499999999</v>
      </c>
      <c r="D588" s="8">
        <f t="shared" si="39"/>
        <v>1423607.8839899993</v>
      </c>
      <c r="E588" s="20">
        <f t="shared" si="36"/>
        <v>1616910.1886599986</v>
      </c>
      <c r="F588" s="22">
        <f t="shared" si="37"/>
        <v>0.8804495722609077</v>
      </c>
      <c r="G588" s="13" t="str">
        <f t="shared" si="38"/>
        <v>B</v>
      </c>
    </row>
    <row r="589" spans="1:7" ht="16.5" x14ac:dyDescent="0.3">
      <c r="A589" t="s">
        <v>728</v>
      </c>
      <c r="B589" t="s">
        <v>1035</v>
      </c>
      <c r="C589" s="8">
        <v>9866.3104799999983</v>
      </c>
      <c r="D589" s="8">
        <f t="shared" si="39"/>
        <v>1433474.1944699993</v>
      </c>
      <c r="E589" s="20">
        <f t="shared" si="36"/>
        <v>1616910.1886599986</v>
      </c>
      <c r="F589" s="22">
        <f t="shared" si="37"/>
        <v>0.88655152557235084</v>
      </c>
      <c r="G589" s="13" t="str">
        <f t="shared" si="38"/>
        <v>B</v>
      </c>
    </row>
    <row r="590" spans="1:7" ht="16.5" x14ac:dyDescent="0.3">
      <c r="A590" t="s">
        <v>728</v>
      </c>
      <c r="B590" t="s">
        <v>1119</v>
      </c>
      <c r="C590" s="8">
        <v>9586.8057599999993</v>
      </c>
      <c r="D590" s="8">
        <f t="shared" si="39"/>
        <v>1443061.0002299992</v>
      </c>
      <c r="E590" s="20">
        <f t="shared" si="36"/>
        <v>1616910.1886599986</v>
      </c>
      <c r="F590" s="22">
        <f t="shared" si="37"/>
        <v>0.8924806154050674</v>
      </c>
      <c r="G590" s="13" t="str">
        <f t="shared" si="38"/>
        <v>B</v>
      </c>
    </row>
    <row r="591" spans="1:7" ht="16.5" x14ac:dyDescent="0.3">
      <c r="A591" t="s">
        <v>728</v>
      </c>
      <c r="B591" t="s">
        <v>1258</v>
      </c>
      <c r="C591" s="8">
        <v>8326.6852500000005</v>
      </c>
      <c r="D591" s="8">
        <f t="shared" si="39"/>
        <v>1451387.6854799993</v>
      </c>
      <c r="E591" s="20">
        <f t="shared" si="36"/>
        <v>1616910.1886599986</v>
      </c>
      <c r="F591" s="22">
        <f t="shared" si="37"/>
        <v>0.89763036664567331</v>
      </c>
      <c r="G591" s="13" t="str">
        <f t="shared" si="38"/>
        <v>B</v>
      </c>
    </row>
    <row r="592" spans="1:7" ht="16.5" x14ac:dyDescent="0.3">
      <c r="A592" t="s">
        <v>728</v>
      </c>
      <c r="B592" t="s">
        <v>884</v>
      </c>
      <c r="C592" s="8">
        <v>7901.5041599999995</v>
      </c>
      <c r="D592" s="8">
        <f t="shared" si="39"/>
        <v>1459289.1896399993</v>
      </c>
      <c r="E592" s="20">
        <f t="shared" si="36"/>
        <v>1616910.1886599986</v>
      </c>
      <c r="F592" s="22">
        <f t="shared" si="37"/>
        <v>0.90251715888399064</v>
      </c>
      <c r="G592" s="13" t="str">
        <f t="shared" si="38"/>
        <v>B</v>
      </c>
    </row>
    <row r="593" spans="1:7" ht="16.5" x14ac:dyDescent="0.3">
      <c r="A593" t="s">
        <v>728</v>
      </c>
      <c r="B593" t="s">
        <v>1003</v>
      </c>
      <c r="C593" s="8">
        <v>7678.2113999999992</v>
      </c>
      <c r="D593" s="8">
        <f t="shared" si="39"/>
        <v>1466967.4010399992</v>
      </c>
      <c r="E593" s="20">
        <f t="shared" si="36"/>
        <v>1616910.1886599986</v>
      </c>
      <c r="F593" s="22">
        <f t="shared" si="37"/>
        <v>0.90726585269138338</v>
      </c>
      <c r="G593" s="13" t="str">
        <f t="shared" si="38"/>
        <v>B</v>
      </c>
    </row>
    <row r="594" spans="1:7" ht="16.5" x14ac:dyDescent="0.3">
      <c r="A594" t="s">
        <v>728</v>
      </c>
      <c r="B594" t="s">
        <v>1333</v>
      </c>
      <c r="C594" s="8">
        <v>7466.3063999999986</v>
      </c>
      <c r="D594" s="8">
        <f t="shared" si="39"/>
        <v>1474433.7074399991</v>
      </c>
      <c r="E594" s="20">
        <f t="shared" si="36"/>
        <v>1616910.1886599986</v>
      </c>
      <c r="F594" s="22">
        <f t="shared" si="37"/>
        <v>0.91188349098221977</v>
      </c>
      <c r="G594" s="13" t="str">
        <f t="shared" si="38"/>
        <v>B</v>
      </c>
    </row>
    <row r="595" spans="1:7" ht="16.5" x14ac:dyDescent="0.3">
      <c r="A595" t="s">
        <v>728</v>
      </c>
      <c r="B595" t="s">
        <v>963</v>
      </c>
      <c r="C595" s="8">
        <v>7446.5209000000004</v>
      </c>
      <c r="D595" s="8">
        <f t="shared" si="39"/>
        <v>1481880.228339999</v>
      </c>
      <c r="E595" s="20">
        <f t="shared" si="36"/>
        <v>1616910.1886599986</v>
      </c>
      <c r="F595" s="22">
        <f t="shared" si="37"/>
        <v>0.91648889266267497</v>
      </c>
      <c r="G595" s="13" t="str">
        <f t="shared" si="38"/>
        <v>B</v>
      </c>
    </row>
    <row r="596" spans="1:7" ht="16.5" x14ac:dyDescent="0.3">
      <c r="A596" t="s">
        <v>728</v>
      </c>
      <c r="B596" t="s">
        <v>780</v>
      </c>
      <c r="C596" s="8">
        <v>7135.57</v>
      </c>
      <c r="D596" s="8">
        <f t="shared" si="39"/>
        <v>1489015.798339999</v>
      </c>
      <c r="E596" s="20">
        <f t="shared" si="36"/>
        <v>1616910.1886599986</v>
      </c>
      <c r="F596" s="22">
        <f t="shared" si="37"/>
        <v>0.9209019825485848</v>
      </c>
      <c r="G596" s="13" t="str">
        <f t="shared" si="38"/>
        <v>B</v>
      </c>
    </row>
    <row r="597" spans="1:7" ht="16.5" x14ac:dyDescent="0.3">
      <c r="A597" t="s">
        <v>728</v>
      </c>
      <c r="B597" t="s">
        <v>946</v>
      </c>
      <c r="C597" s="8">
        <v>6984.8246399999998</v>
      </c>
      <c r="D597" s="8">
        <f t="shared" si="39"/>
        <v>1496000.6229799991</v>
      </c>
      <c r="E597" s="20">
        <f t="shared" si="36"/>
        <v>1616910.1886599986</v>
      </c>
      <c r="F597" s="22">
        <f t="shared" si="37"/>
        <v>0.92522184192543044</v>
      </c>
      <c r="G597" s="13" t="str">
        <f t="shared" si="38"/>
        <v>B</v>
      </c>
    </row>
    <row r="598" spans="1:7" ht="16.5" x14ac:dyDescent="0.3">
      <c r="A598" t="s">
        <v>728</v>
      </c>
      <c r="B598" t="s">
        <v>1144</v>
      </c>
      <c r="C598" s="8">
        <v>6899.8804600000003</v>
      </c>
      <c r="D598" s="8">
        <f t="shared" si="39"/>
        <v>1502900.503439999</v>
      </c>
      <c r="E598" s="20">
        <f t="shared" si="36"/>
        <v>1616910.1886599986</v>
      </c>
      <c r="F598" s="22">
        <f t="shared" si="37"/>
        <v>0.92948916642396551</v>
      </c>
      <c r="G598" s="13" t="str">
        <f t="shared" si="38"/>
        <v>B</v>
      </c>
    </row>
    <row r="599" spans="1:7" ht="16.5" x14ac:dyDescent="0.3">
      <c r="A599" t="s">
        <v>728</v>
      </c>
      <c r="B599" t="s">
        <v>769</v>
      </c>
      <c r="C599" s="8">
        <v>6631.6443100000006</v>
      </c>
      <c r="D599" s="8">
        <f t="shared" si="39"/>
        <v>1509532.1477499988</v>
      </c>
      <c r="E599" s="20">
        <f t="shared" si="36"/>
        <v>1616910.1886599986</v>
      </c>
      <c r="F599" s="22">
        <f t="shared" si="37"/>
        <v>0.93359059664347321</v>
      </c>
      <c r="G599" s="13" t="str">
        <f t="shared" si="38"/>
        <v>B</v>
      </c>
    </row>
    <row r="600" spans="1:7" ht="16.5" x14ac:dyDescent="0.3">
      <c r="A600" t="s">
        <v>728</v>
      </c>
      <c r="B600" t="s">
        <v>952</v>
      </c>
      <c r="C600" s="8">
        <v>6535.6324800000002</v>
      </c>
      <c r="D600" s="8">
        <f t="shared" si="39"/>
        <v>1516067.7802299988</v>
      </c>
      <c r="E600" s="20">
        <f t="shared" si="36"/>
        <v>1616910.1886599986</v>
      </c>
      <c r="F600" s="22">
        <f t="shared" si="37"/>
        <v>0.93763264704666605</v>
      </c>
      <c r="G600" s="13" t="str">
        <f t="shared" si="38"/>
        <v>B</v>
      </c>
    </row>
    <row r="601" spans="1:7" ht="16.5" x14ac:dyDescent="0.3">
      <c r="A601" t="s">
        <v>728</v>
      </c>
      <c r="B601" t="s">
        <v>1176</v>
      </c>
      <c r="C601" s="8">
        <v>5960.04288</v>
      </c>
      <c r="D601" s="8">
        <f t="shared" si="39"/>
        <v>1522027.8231099988</v>
      </c>
      <c r="E601" s="20">
        <f t="shared" si="36"/>
        <v>1616910.1886599986</v>
      </c>
      <c r="F601" s="22">
        <f t="shared" si="37"/>
        <v>0.94131871626795005</v>
      </c>
      <c r="G601" s="13" t="str">
        <f t="shared" si="38"/>
        <v>B</v>
      </c>
    </row>
    <row r="602" spans="1:7" ht="16.5" x14ac:dyDescent="0.3">
      <c r="A602" t="s">
        <v>728</v>
      </c>
      <c r="B602" t="s">
        <v>1336</v>
      </c>
      <c r="C602" s="8">
        <v>5457.4317000000001</v>
      </c>
      <c r="D602" s="8">
        <f t="shared" si="39"/>
        <v>1527485.2548099989</v>
      </c>
      <c r="E602" s="20">
        <f t="shared" si="36"/>
        <v>1616910.1886599986</v>
      </c>
      <c r="F602" s="22">
        <f t="shared" si="37"/>
        <v>0.9446939387993406</v>
      </c>
      <c r="G602" s="13" t="str">
        <f t="shared" si="38"/>
        <v>B</v>
      </c>
    </row>
    <row r="603" spans="1:7" ht="16.5" x14ac:dyDescent="0.3">
      <c r="A603" t="s">
        <v>728</v>
      </c>
      <c r="B603" t="s">
        <v>1042</v>
      </c>
      <c r="C603" s="8">
        <v>5334.9141999999993</v>
      </c>
      <c r="D603" s="8">
        <f t="shared" si="39"/>
        <v>1532820.1690099989</v>
      </c>
      <c r="E603" s="20">
        <f t="shared" si="36"/>
        <v>1616910.1886599986</v>
      </c>
      <c r="F603" s="22">
        <f t="shared" si="37"/>
        <v>0.94799338872390393</v>
      </c>
      <c r="G603" s="13" t="str">
        <f t="shared" si="38"/>
        <v>B</v>
      </c>
    </row>
    <row r="604" spans="1:7" ht="16.5" x14ac:dyDescent="0.3">
      <c r="A604" t="s">
        <v>728</v>
      </c>
      <c r="B604" t="s">
        <v>1214</v>
      </c>
      <c r="C604" s="8">
        <v>4738.5261</v>
      </c>
      <c r="D604" s="8">
        <f t="shared" si="39"/>
        <v>1537558.6951099988</v>
      </c>
      <c r="E604" s="20">
        <f t="shared" si="36"/>
        <v>1616910.1886599986</v>
      </c>
      <c r="F604" s="22">
        <f t="shared" si="37"/>
        <v>0.95092399435261044</v>
      </c>
      <c r="G604" s="13" t="str">
        <f t="shared" si="38"/>
        <v>C</v>
      </c>
    </row>
    <row r="605" spans="1:7" ht="16.5" x14ac:dyDescent="0.3">
      <c r="A605" t="s">
        <v>728</v>
      </c>
      <c r="B605" t="s">
        <v>935</v>
      </c>
      <c r="C605" s="8">
        <v>4637.7968000000001</v>
      </c>
      <c r="D605" s="8">
        <f t="shared" si="39"/>
        <v>1542196.4919099987</v>
      </c>
      <c r="E605" s="20">
        <f t="shared" si="36"/>
        <v>1616910.1886599986</v>
      </c>
      <c r="F605" s="22">
        <f t="shared" si="37"/>
        <v>0.9537923025818037</v>
      </c>
      <c r="G605" s="13" t="str">
        <f t="shared" si="38"/>
        <v>C</v>
      </c>
    </row>
    <row r="606" spans="1:7" ht="16.5" x14ac:dyDescent="0.3">
      <c r="A606" t="s">
        <v>728</v>
      </c>
      <c r="B606" t="s">
        <v>1103</v>
      </c>
      <c r="C606" s="8">
        <v>4569.5735999999997</v>
      </c>
      <c r="D606" s="8">
        <f t="shared" si="39"/>
        <v>1546766.0655099987</v>
      </c>
      <c r="E606" s="20">
        <f t="shared" si="36"/>
        <v>1616910.1886599986</v>
      </c>
      <c r="F606" s="22">
        <f t="shared" si="37"/>
        <v>0.95661841724917862</v>
      </c>
      <c r="G606" s="13" t="str">
        <f t="shared" si="38"/>
        <v>C</v>
      </c>
    </row>
    <row r="607" spans="1:7" ht="16.5" x14ac:dyDescent="0.3">
      <c r="A607" t="s">
        <v>728</v>
      </c>
      <c r="B607" t="s">
        <v>974</v>
      </c>
      <c r="C607" s="8">
        <v>4436.6291200000005</v>
      </c>
      <c r="D607" s="8">
        <f t="shared" si="39"/>
        <v>1551202.6946299986</v>
      </c>
      <c r="E607" s="20">
        <f t="shared" si="36"/>
        <v>1616910.1886599986</v>
      </c>
      <c r="F607" s="22">
        <f t="shared" si="37"/>
        <v>0.95936231060275867</v>
      </c>
      <c r="G607" s="13" t="str">
        <f t="shared" si="38"/>
        <v>C</v>
      </c>
    </row>
    <row r="608" spans="1:7" ht="16.5" x14ac:dyDescent="0.3">
      <c r="A608" t="s">
        <v>728</v>
      </c>
      <c r="B608" t="s">
        <v>913</v>
      </c>
      <c r="C608" s="8">
        <v>4420.5961799999995</v>
      </c>
      <c r="D608" s="8">
        <f t="shared" si="39"/>
        <v>1555623.2908099988</v>
      </c>
      <c r="E608" s="20">
        <f t="shared" si="36"/>
        <v>1616910.1886599986</v>
      </c>
      <c r="F608" s="22">
        <f t="shared" si="37"/>
        <v>0.96209628816750126</v>
      </c>
      <c r="G608" s="13" t="str">
        <f t="shared" si="38"/>
        <v>C</v>
      </c>
    </row>
    <row r="609" spans="1:7" ht="16.5" x14ac:dyDescent="0.3">
      <c r="A609" t="s">
        <v>728</v>
      </c>
      <c r="B609" t="s">
        <v>1330</v>
      </c>
      <c r="C609" s="8">
        <v>4409.5168800000001</v>
      </c>
      <c r="D609" s="8">
        <f t="shared" si="39"/>
        <v>1560032.8076899988</v>
      </c>
      <c r="E609" s="20">
        <f t="shared" si="36"/>
        <v>1616910.1886599986</v>
      </c>
      <c r="F609" s="22">
        <f t="shared" si="37"/>
        <v>0.96482341358913914</v>
      </c>
      <c r="G609" s="13" t="str">
        <f t="shared" si="38"/>
        <v>C</v>
      </c>
    </row>
    <row r="610" spans="1:7" ht="16.5" x14ac:dyDescent="0.3">
      <c r="A610" t="s">
        <v>728</v>
      </c>
      <c r="B610" t="s">
        <v>927</v>
      </c>
      <c r="C610" s="8">
        <v>4402.1164799999997</v>
      </c>
      <c r="D610" s="8">
        <f t="shared" si="39"/>
        <v>1564434.9241699988</v>
      </c>
      <c r="E610" s="20">
        <f t="shared" si="36"/>
        <v>1616910.1886599986</v>
      </c>
      <c r="F610" s="22">
        <f t="shared" si="37"/>
        <v>0.96754596213319166</v>
      </c>
      <c r="G610" s="13" t="str">
        <f t="shared" si="38"/>
        <v>C</v>
      </c>
    </row>
    <row r="611" spans="1:7" ht="16.5" x14ac:dyDescent="0.3">
      <c r="A611" t="s">
        <v>728</v>
      </c>
      <c r="B611" t="s">
        <v>1030</v>
      </c>
      <c r="C611" s="8">
        <v>4241.88105</v>
      </c>
      <c r="D611" s="8">
        <f t="shared" si="39"/>
        <v>1568676.8052199988</v>
      </c>
      <c r="E611" s="20">
        <f t="shared" si="36"/>
        <v>1616910.1886599986</v>
      </c>
      <c r="F611" s="22">
        <f t="shared" si="37"/>
        <v>0.97016941090588782</v>
      </c>
      <c r="G611" s="13" t="str">
        <f t="shared" si="38"/>
        <v>C</v>
      </c>
    </row>
    <row r="612" spans="1:7" ht="16.5" x14ac:dyDescent="0.3">
      <c r="A612" t="s">
        <v>728</v>
      </c>
      <c r="B612" t="s">
        <v>886</v>
      </c>
      <c r="C612" s="8">
        <v>4139.8127999999997</v>
      </c>
      <c r="D612" s="8">
        <f t="shared" si="39"/>
        <v>1572816.6180199988</v>
      </c>
      <c r="E612" s="20">
        <f t="shared" si="36"/>
        <v>1616910.1886599986</v>
      </c>
      <c r="F612" s="22">
        <f t="shared" si="37"/>
        <v>0.97272973418731312</v>
      </c>
      <c r="G612" s="13" t="str">
        <f t="shared" si="38"/>
        <v>C</v>
      </c>
    </row>
    <row r="613" spans="1:7" ht="16.5" x14ac:dyDescent="0.3">
      <c r="A613" t="s">
        <v>728</v>
      </c>
      <c r="B613" t="s">
        <v>1084</v>
      </c>
      <c r="C613" s="8">
        <v>4132.0325200000007</v>
      </c>
      <c r="D613" s="8">
        <f t="shared" si="39"/>
        <v>1576948.6505399987</v>
      </c>
      <c r="E613" s="20">
        <f t="shared" si="36"/>
        <v>1616910.1886599986</v>
      </c>
      <c r="F613" s="22">
        <f t="shared" si="37"/>
        <v>0.97528524564922325</v>
      </c>
      <c r="G613" s="13" t="str">
        <f t="shared" si="38"/>
        <v>C</v>
      </c>
    </row>
    <row r="614" spans="1:7" ht="16.5" x14ac:dyDescent="0.3">
      <c r="A614" t="s">
        <v>728</v>
      </c>
      <c r="B614" t="s">
        <v>1107</v>
      </c>
      <c r="C614" s="8">
        <v>4117.4880599999997</v>
      </c>
      <c r="D614" s="8">
        <f t="shared" si="39"/>
        <v>1581066.1385999986</v>
      </c>
      <c r="E614" s="20">
        <f t="shared" si="36"/>
        <v>1616910.1886599986</v>
      </c>
      <c r="F614" s="22">
        <f t="shared" si="37"/>
        <v>0.97783176189290666</v>
      </c>
      <c r="G614" s="13" t="str">
        <f t="shared" si="38"/>
        <v>C</v>
      </c>
    </row>
    <row r="615" spans="1:7" ht="16.5" x14ac:dyDescent="0.3">
      <c r="A615" t="s">
        <v>728</v>
      </c>
      <c r="B615" t="s">
        <v>1195</v>
      </c>
      <c r="C615" s="8">
        <v>4055.5175999999997</v>
      </c>
      <c r="D615" s="8">
        <f t="shared" si="39"/>
        <v>1585121.6561999985</v>
      </c>
      <c r="E615" s="20">
        <f t="shared" si="36"/>
        <v>1616910.1886599986</v>
      </c>
      <c r="F615" s="22">
        <f t="shared" si="37"/>
        <v>0.98033995166649013</v>
      </c>
      <c r="G615" s="13" t="str">
        <f t="shared" si="38"/>
        <v>C</v>
      </c>
    </row>
    <row r="616" spans="1:7" ht="16.5" x14ac:dyDescent="0.3">
      <c r="A616" t="s">
        <v>728</v>
      </c>
      <c r="B616" t="s">
        <v>1221</v>
      </c>
      <c r="C616" s="8">
        <v>4025.8565599999993</v>
      </c>
      <c r="D616" s="8">
        <f t="shared" si="39"/>
        <v>1589147.5127599984</v>
      </c>
      <c r="E616" s="20">
        <f t="shared" si="36"/>
        <v>1616910.1886599986</v>
      </c>
      <c r="F616" s="22">
        <f t="shared" si="37"/>
        <v>0.98282979716825936</v>
      </c>
      <c r="G616" s="13" t="str">
        <f t="shared" si="38"/>
        <v>C</v>
      </c>
    </row>
    <row r="617" spans="1:7" ht="16.5" x14ac:dyDescent="0.3">
      <c r="A617" t="s">
        <v>728</v>
      </c>
      <c r="B617" t="s">
        <v>773</v>
      </c>
      <c r="C617" s="8">
        <v>3562.1983800000003</v>
      </c>
      <c r="D617" s="8">
        <f t="shared" si="39"/>
        <v>1592709.7111399984</v>
      </c>
      <c r="E617" s="20">
        <f t="shared" si="36"/>
        <v>1616910.1886599986</v>
      </c>
      <c r="F617" s="22">
        <f t="shared" si="37"/>
        <v>0.98503288699042946</v>
      </c>
      <c r="G617" s="13" t="str">
        <f t="shared" si="38"/>
        <v>C</v>
      </c>
    </row>
    <row r="618" spans="1:7" ht="16.5" x14ac:dyDescent="0.3">
      <c r="A618" t="s">
        <v>728</v>
      </c>
      <c r="B618" t="s">
        <v>1329</v>
      </c>
      <c r="C618" s="8">
        <v>3116.21</v>
      </c>
      <c r="D618" s="8">
        <f t="shared" si="39"/>
        <v>1595825.9211399984</v>
      </c>
      <c r="E618" s="20">
        <f t="shared" si="36"/>
        <v>1616910.1886599986</v>
      </c>
      <c r="F618" s="22">
        <f t="shared" si="37"/>
        <v>0.98696014926006892</v>
      </c>
      <c r="G618" s="13" t="str">
        <f t="shared" si="38"/>
        <v>C</v>
      </c>
    </row>
    <row r="619" spans="1:7" ht="16.5" x14ac:dyDescent="0.3">
      <c r="A619" t="s">
        <v>728</v>
      </c>
      <c r="B619" t="s">
        <v>966</v>
      </c>
      <c r="C619" s="8">
        <v>2879.9836</v>
      </c>
      <c r="D619" s="8">
        <f t="shared" si="39"/>
        <v>1598705.9047399983</v>
      </c>
      <c r="E619" s="20">
        <f t="shared" si="36"/>
        <v>1616910.1886599986</v>
      </c>
      <c r="F619" s="22">
        <f t="shared" si="37"/>
        <v>0.98874131411399724</v>
      </c>
      <c r="G619" s="13" t="str">
        <f t="shared" si="38"/>
        <v>C</v>
      </c>
    </row>
    <row r="620" spans="1:7" ht="16.5" x14ac:dyDescent="0.3">
      <c r="A620" t="s">
        <v>728</v>
      </c>
      <c r="B620" t="s">
        <v>1340</v>
      </c>
      <c r="C620" s="8">
        <v>2736.27018</v>
      </c>
      <c r="D620" s="8">
        <f t="shared" si="39"/>
        <v>1601442.1749199983</v>
      </c>
      <c r="E620" s="20">
        <f t="shared" si="36"/>
        <v>1616910.1886599986</v>
      </c>
      <c r="F620" s="22">
        <f t="shared" si="37"/>
        <v>0.9904335974573707</v>
      </c>
      <c r="G620" s="13" t="str">
        <f t="shared" si="38"/>
        <v>C</v>
      </c>
    </row>
    <row r="621" spans="1:7" ht="16.5" x14ac:dyDescent="0.3">
      <c r="A621" t="s">
        <v>728</v>
      </c>
      <c r="B621" t="s">
        <v>1124</v>
      </c>
      <c r="C621" s="8">
        <v>2525.0635000000002</v>
      </c>
      <c r="D621" s="8">
        <f t="shared" si="39"/>
        <v>1603967.2384199982</v>
      </c>
      <c r="E621" s="20">
        <f t="shared" si="36"/>
        <v>1616910.1886599986</v>
      </c>
      <c r="F621" s="22">
        <f t="shared" si="37"/>
        <v>0.99199525716964732</v>
      </c>
      <c r="G621" s="13" t="str">
        <f t="shared" si="38"/>
        <v>C</v>
      </c>
    </row>
    <row r="622" spans="1:7" ht="16.5" x14ac:dyDescent="0.3">
      <c r="A622" t="s">
        <v>728</v>
      </c>
      <c r="B622" t="s">
        <v>1259</v>
      </c>
      <c r="C622" s="8">
        <v>2146.5580500000001</v>
      </c>
      <c r="D622" s="8">
        <f t="shared" si="39"/>
        <v>1606113.7964699983</v>
      </c>
      <c r="E622" s="20">
        <f t="shared" si="36"/>
        <v>1616910.1886599986</v>
      </c>
      <c r="F622" s="22">
        <f t="shared" si="37"/>
        <v>0.99332282506120662</v>
      </c>
      <c r="G622" s="13" t="str">
        <f t="shared" si="38"/>
        <v>C</v>
      </c>
    </row>
    <row r="623" spans="1:7" ht="16.5" x14ac:dyDescent="0.3">
      <c r="A623" t="s">
        <v>728</v>
      </c>
      <c r="B623" t="s">
        <v>908</v>
      </c>
      <c r="C623" s="8">
        <v>1952.6356799999999</v>
      </c>
      <c r="D623" s="8">
        <f t="shared" si="39"/>
        <v>1608066.4321499984</v>
      </c>
      <c r="E623" s="20">
        <f t="shared" si="36"/>
        <v>1616910.1886599986</v>
      </c>
      <c r="F623" s="22">
        <f t="shared" si="37"/>
        <v>0.99453045903722737</v>
      </c>
      <c r="G623" s="13" t="str">
        <f t="shared" si="38"/>
        <v>C</v>
      </c>
    </row>
    <row r="624" spans="1:7" ht="16.5" x14ac:dyDescent="0.3">
      <c r="A624" t="s">
        <v>728</v>
      </c>
      <c r="B624" t="s">
        <v>1178</v>
      </c>
      <c r="C624" s="8">
        <v>1925.29872</v>
      </c>
      <c r="D624" s="8">
        <f t="shared" si="39"/>
        <v>1609991.7308699985</v>
      </c>
      <c r="E624" s="20">
        <f t="shared" si="36"/>
        <v>1616910.1886599986</v>
      </c>
      <c r="F624" s="22">
        <f t="shared" si="37"/>
        <v>0.99572118610017923</v>
      </c>
      <c r="G624" s="13" t="str">
        <f t="shared" si="38"/>
        <v>C</v>
      </c>
    </row>
    <row r="625" spans="1:7" ht="16.5" x14ac:dyDescent="0.3">
      <c r="A625" t="s">
        <v>728</v>
      </c>
      <c r="B625" t="s">
        <v>760</v>
      </c>
      <c r="C625" s="8">
        <v>1756.6999999999998</v>
      </c>
      <c r="D625" s="8">
        <f t="shared" si="39"/>
        <v>1611748.4308699984</v>
      </c>
      <c r="E625" s="20">
        <f t="shared" si="36"/>
        <v>1616910.1886599986</v>
      </c>
      <c r="F625" s="22">
        <f t="shared" si="37"/>
        <v>0.99680764100183084</v>
      </c>
      <c r="G625" s="13" t="str">
        <f t="shared" si="38"/>
        <v>C</v>
      </c>
    </row>
    <row r="626" spans="1:7" ht="16.5" x14ac:dyDescent="0.3">
      <c r="A626" t="s">
        <v>728</v>
      </c>
      <c r="B626" t="s">
        <v>1088</v>
      </c>
      <c r="C626" s="8">
        <v>1122.0896000000002</v>
      </c>
      <c r="D626" s="8">
        <f t="shared" si="39"/>
        <v>1612870.5204699985</v>
      </c>
      <c r="E626" s="20">
        <f t="shared" si="36"/>
        <v>1616910.1886599986</v>
      </c>
      <c r="F626" s="22">
        <f t="shared" si="37"/>
        <v>0.99750161250864033</v>
      </c>
      <c r="G626" s="13" t="str">
        <f t="shared" si="38"/>
        <v>C</v>
      </c>
    </row>
    <row r="627" spans="1:7" ht="16.5" x14ac:dyDescent="0.3">
      <c r="A627" t="s">
        <v>728</v>
      </c>
      <c r="B627" t="s">
        <v>1025</v>
      </c>
      <c r="C627" s="8">
        <v>1098.9470800000001</v>
      </c>
      <c r="D627" s="8">
        <f t="shared" si="39"/>
        <v>1613969.4675499985</v>
      </c>
      <c r="E627" s="20">
        <f t="shared" si="36"/>
        <v>1616910.1886599986</v>
      </c>
      <c r="F627" s="22">
        <f t="shared" si="37"/>
        <v>0.99818127121059386</v>
      </c>
      <c r="G627" s="13" t="str">
        <f t="shared" si="38"/>
        <v>C</v>
      </c>
    </row>
    <row r="628" spans="1:7" ht="16.5" x14ac:dyDescent="0.3">
      <c r="A628" t="s">
        <v>728</v>
      </c>
      <c r="B628" t="s">
        <v>850</v>
      </c>
      <c r="C628" s="8">
        <v>765.99195000000009</v>
      </c>
      <c r="D628" s="8">
        <f t="shared" si="39"/>
        <v>1614735.4594999985</v>
      </c>
      <c r="E628" s="20">
        <f t="shared" si="36"/>
        <v>1616910.1886599986</v>
      </c>
      <c r="F628" s="22">
        <f t="shared" si="37"/>
        <v>0.99865500930400941</v>
      </c>
      <c r="G628" s="13" t="str">
        <f t="shared" si="38"/>
        <v>C</v>
      </c>
    </row>
    <row r="629" spans="1:7" ht="16.5" x14ac:dyDescent="0.3">
      <c r="A629" t="s">
        <v>728</v>
      </c>
      <c r="B629" t="s">
        <v>977</v>
      </c>
      <c r="C629" s="8">
        <v>748.22303999999997</v>
      </c>
      <c r="D629" s="8">
        <f t="shared" si="39"/>
        <v>1615483.6825399986</v>
      </c>
      <c r="E629" s="20">
        <f t="shared" si="36"/>
        <v>1616910.1886599986</v>
      </c>
      <c r="F629" s="22">
        <f t="shared" si="37"/>
        <v>0.99911775797443503</v>
      </c>
      <c r="G629" s="13" t="str">
        <f t="shared" si="38"/>
        <v>C</v>
      </c>
    </row>
    <row r="630" spans="1:7" ht="16.5" x14ac:dyDescent="0.3">
      <c r="A630" t="s">
        <v>728</v>
      </c>
      <c r="B630" t="s">
        <v>1151</v>
      </c>
      <c r="C630" s="8">
        <v>741.43835999999999</v>
      </c>
      <c r="D630" s="8">
        <f t="shared" si="39"/>
        <v>1616225.1208999986</v>
      </c>
      <c r="E630" s="20">
        <f t="shared" si="36"/>
        <v>1616910.1886599986</v>
      </c>
      <c r="F630" s="22">
        <f t="shared" si="37"/>
        <v>0.99957631056764651</v>
      </c>
      <c r="G630" s="13" t="str">
        <f t="shared" si="38"/>
        <v>C</v>
      </c>
    </row>
    <row r="631" spans="1:7" ht="16.5" x14ac:dyDescent="0.3">
      <c r="A631" t="s">
        <v>728</v>
      </c>
      <c r="B631" t="s">
        <v>741</v>
      </c>
      <c r="C631" s="8">
        <v>685.06776000000002</v>
      </c>
      <c r="D631" s="8">
        <f t="shared" si="39"/>
        <v>1616910.1886599986</v>
      </c>
      <c r="E631" s="20">
        <f t="shared" si="36"/>
        <v>1616910.1886599986</v>
      </c>
      <c r="F631" s="22">
        <f t="shared" si="37"/>
        <v>1</v>
      </c>
      <c r="G631" s="13" t="str">
        <f t="shared" si="38"/>
        <v>C</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660A-E844-42CB-818D-AF2022F0E107}">
  <dimension ref="A3:I23"/>
  <sheetViews>
    <sheetView workbookViewId="0">
      <selection activeCell="E9" sqref="E9"/>
    </sheetView>
  </sheetViews>
  <sheetFormatPr defaultRowHeight="16.5" x14ac:dyDescent="0.3"/>
  <cols>
    <col min="1" max="1" width="20.375" bestFit="1" customWidth="1"/>
    <col min="2" max="2" width="16.625" bestFit="1" customWidth="1"/>
    <col min="3" max="3" width="9.625" bestFit="1" customWidth="1"/>
    <col min="4" max="4" width="7" customWidth="1"/>
    <col min="5" max="5" width="7.375" bestFit="1" customWidth="1"/>
    <col min="6" max="6" width="11.5" bestFit="1" customWidth="1"/>
    <col min="9" max="9" width="11.375" customWidth="1"/>
  </cols>
  <sheetData>
    <row r="3" spans="1:9" x14ac:dyDescent="0.3">
      <c r="A3" s="15" t="s">
        <v>1456</v>
      </c>
      <c r="B3" s="15" t="s">
        <v>1442</v>
      </c>
    </row>
    <row r="4" spans="1:9" x14ac:dyDescent="0.3">
      <c r="A4" s="15" t="s">
        <v>1437</v>
      </c>
      <c r="B4" t="s">
        <v>646</v>
      </c>
      <c r="C4" t="s">
        <v>648</v>
      </c>
      <c r="D4" t="s">
        <v>647</v>
      </c>
      <c r="E4" t="s">
        <v>649</v>
      </c>
      <c r="F4" t="s">
        <v>1438</v>
      </c>
      <c r="I4" s="13"/>
    </row>
    <row r="5" spans="1:9" x14ac:dyDescent="0.3">
      <c r="A5" s="16" t="s">
        <v>711</v>
      </c>
      <c r="B5" s="10">
        <v>4.2229699859899758E-2</v>
      </c>
      <c r="C5" s="10">
        <v>6.8692091033689576E-2</v>
      </c>
      <c r="D5" s="10">
        <v>5.8721622957084163E-2</v>
      </c>
      <c r="E5" s="10">
        <v>7.6980843988396469E-2</v>
      </c>
      <c r="F5" s="10">
        <v>0.24662425783906997</v>
      </c>
    </row>
    <row r="6" spans="1:9" x14ac:dyDescent="0.3">
      <c r="A6" s="16" t="s">
        <v>710</v>
      </c>
      <c r="B6" s="10">
        <v>5.7975066666562776E-2</v>
      </c>
      <c r="C6" s="10">
        <v>5.1971082928496462E-2</v>
      </c>
      <c r="D6" s="10">
        <v>4.654025282112037E-2</v>
      </c>
      <c r="E6" s="10">
        <v>2.9119626392123732E-2</v>
      </c>
      <c r="F6" s="10">
        <v>0.18560602880830335</v>
      </c>
    </row>
    <row r="7" spans="1:9" x14ac:dyDescent="0.3">
      <c r="A7" s="16" t="s">
        <v>709</v>
      </c>
      <c r="B7" s="10">
        <v>4.8189206893008374E-2</v>
      </c>
      <c r="C7" s="10">
        <v>3.3471925444951069E-2</v>
      </c>
      <c r="D7" s="10">
        <v>4.9891999087967022E-2</v>
      </c>
      <c r="E7" s="10">
        <v>5.2045369021209792E-2</v>
      </c>
      <c r="F7" s="10">
        <v>0.18359850044713624</v>
      </c>
    </row>
    <row r="8" spans="1:9" x14ac:dyDescent="0.3">
      <c r="A8" s="16" t="s">
        <v>708</v>
      </c>
      <c r="B8" s="10">
        <v>3.9595790785700337E-2</v>
      </c>
      <c r="C8" s="27">
        <v>6.3033627229909975E-2</v>
      </c>
      <c r="D8" s="10">
        <v>3.7791913091871313E-2</v>
      </c>
      <c r="E8" s="27">
        <v>5.3482471711957462E-2</v>
      </c>
      <c r="F8" s="10">
        <v>0.19390380281943906</v>
      </c>
    </row>
    <row r="9" spans="1:9" x14ac:dyDescent="0.3">
      <c r="A9" s="16" t="s">
        <v>707</v>
      </c>
      <c r="B9" s="10">
        <v>4.739015469680273E-2</v>
      </c>
      <c r="C9" s="10">
        <v>2.7668554790175312E-2</v>
      </c>
      <c r="D9" s="10">
        <v>6.3325084667649495E-2</v>
      </c>
      <c r="E9" s="10">
        <v>4.2619496046328337E-2</v>
      </c>
      <c r="F9" s="10">
        <v>0.18100329020095587</v>
      </c>
    </row>
    <row r="10" spans="1:9" x14ac:dyDescent="0.3">
      <c r="A10" s="16" t="s">
        <v>1423</v>
      </c>
      <c r="B10" s="10">
        <v>2.9890021869815476E-3</v>
      </c>
      <c r="C10" s="10">
        <v>8.4563642072558543E-4</v>
      </c>
      <c r="D10" s="10">
        <v>3.7804013221442233E-3</v>
      </c>
      <c r="E10" s="10">
        <v>1.6490799552441099E-3</v>
      </c>
      <c r="F10" s="10">
        <v>9.2641198850954651E-3</v>
      </c>
    </row>
    <row r="11" spans="1:9" x14ac:dyDescent="0.3">
      <c r="A11" s="16" t="s">
        <v>1438</v>
      </c>
      <c r="B11" s="10">
        <v>0.23836892108895549</v>
      </c>
      <c r="C11" s="10">
        <v>0.24568291784794799</v>
      </c>
      <c r="D11" s="10">
        <v>0.26005127394783661</v>
      </c>
      <c r="E11" s="10">
        <v>0.25589688711525987</v>
      </c>
      <c r="F11" s="10">
        <v>1</v>
      </c>
    </row>
    <row r="22" spans="1:1" x14ac:dyDescent="0.3">
      <c r="A22" s="16" t="s">
        <v>1465</v>
      </c>
    </row>
    <row r="23" spans="1:1" x14ac:dyDescent="0.3">
      <c r="A23" s="16" t="s">
        <v>1466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B337-719D-49FE-8906-6FCE20B7A21A}">
  <dimension ref="A3:E67"/>
  <sheetViews>
    <sheetView topLeftCell="A16" workbookViewId="0">
      <selection activeCell="E4" sqref="E4"/>
    </sheetView>
  </sheetViews>
  <sheetFormatPr defaultRowHeight="15" x14ac:dyDescent="0.3"/>
  <cols>
    <col min="1" max="1" width="14.75" customWidth="1"/>
    <col min="2" max="2" width="13.875" customWidth="1"/>
    <col min="3" max="3" width="19.5" customWidth="1"/>
    <col min="4" max="4" width="16" customWidth="1"/>
  </cols>
  <sheetData>
    <row r="3" spans="1:5" ht="16.5" x14ac:dyDescent="0.3">
      <c r="A3" s="15" t="s">
        <v>3</v>
      </c>
      <c r="B3" s="15" t="s">
        <v>8</v>
      </c>
      <c r="C3" t="s">
        <v>1467</v>
      </c>
      <c r="D3" t="s">
        <v>1463</v>
      </c>
    </row>
    <row r="4" spans="1:5" ht="16.5" x14ac:dyDescent="0.3">
      <c r="A4" t="s">
        <v>646</v>
      </c>
      <c r="B4" t="s">
        <v>724</v>
      </c>
      <c r="C4">
        <v>5</v>
      </c>
      <c r="D4">
        <v>16</v>
      </c>
      <c r="E4">
        <f>C4/D4</f>
        <v>0.3125</v>
      </c>
    </row>
    <row r="5" spans="1:5" ht="16.5" x14ac:dyDescent="0.3">
      <c r="A5" t="s">
        <v>646</v>
      </c>
      <c r="B5" t="s">
        <v>713</v>
      </c>
      <c r="C5">
        <v>3</v>
      </c>
      <c r="D5">
        <v>12</v>
      </c>
      <c r="E5">
        <f t="shared" ref="E5:E67" si="0">C5/D5</f>
        <v>0.25</v>
      </c>
    </row>
    <row r="6" spans="1:5" ht="16.5" x14ac:dyDescent="0.3">
      <c r="A6" t="s">
        <v>646</v>
      </c>
      <c r="B6" t="s">
        <v>720</v>
      </c>
      <c r="C6">
        <v>3</v>
      </c>
      <c r="D6">
        <v>16</v>
      </c>
      <c r="E6">
        <f t="shared" si="0"/>
        <v>0.1875</v>
      </c>
    </row>
    <row r="7" spans="1:5" ht="16.5" x14ac:dyDescent="0.3">
      <c r="A7" t="s">
        <v>646</v>
      </c>
      <c r="B7" t="s">
        <v>726</v>
      </c>
      <c r="C7">
        <v>2</v>
      </c>
      <c r="D7">
        <v>10</v>
      </c>
      <c r="E7">
        <f t="shared" si="0"/>
        <v>0.2</v>
      </c>
    </row>
    <row r="8" spans="1:5" ht="16.5" x14ac:dyDescent="0.3">
      <c r="A8" t="s">
        <v>646</v>
      </c>
      <c r="B8" t="s">
        <v>716</v>
      </c>
      <c r="C8">
        <v>2</v>
      </c>
      <c r="D8">
        <v>10</v>
      </c>
      <c r="E8">
        <f t="shared" si="0"/>
        <v>0.2</v>
      </c>
    </row>
    <row r="9" spans="1:5" ht="16.5" x14ac:dyDescent="0.3">
      <c r="A9" t="s">
        <v>646</v>
      </c>
      <c r="B9" t="s">
        <v>712</v>
      </c>
      <c r="C9">
        <v>2</v>
      </c>
      <c r="D9">
        <v>8</v>
      </c>
      <c r="E9">
        <f t="shared" si="0"/>
        <v>0.25</v>
      </c>
    </row>
    <row r="10" spans="1:5" ht="16.5" x14ac:dyDescent="0.3">
      <c r="A10" t="s">
        <v>646</v>
      </c>
      <c r="B10" t="s">
        <v>714</v>
      </c>
      <c r="C10">
        <v>2</v>
      </c>
      <c r="D10">
        <v>8</v>
      </c>
      <c r="E10">
        <f t="shared" si="0"/>
        <v>0.25</v>
      </c>
    </row>
    <row r="11" spans="1:5" ht="16.5" x14ac:dyDescent="0.3">
      <c r="A11" t="s">
        <v>646</v>
      </c>
      <c r="B11" t="s">
        <v>1424</v>
      </c>
      <c r="C11">
        <v>1</v>
      </c>
      <c r="D11">
        <v>2</v>
      </c>
      <c r="E11">
        <f t="shared" si="0"/>
        <v>0.5</v>
      </c>
    </row>
    <row r="12" spans="1:5" ht="16.5" x14ac:dyDescent="0.3">
      <c r="A12" t="s">
        <v>646</v>
      </c>
      <c r="B12" t="s">
        <v>718</v>
      </c>
      <c r="C12">
        <v>1</v>
      </c>
      <c r="D12">
        <v>5</v>
      </c>
      <c r="E12">
        <f t="shared" si="0"/>
        <v>0.2</v>
      </c>
    </row>
    <row r="13" spans="1:5" ht="16.5" x14ac:dyDescent="0.3">
      <c r="A13" t="s">
        <v>646</v>
      </c>
      <c r="B13" t="s">
        <v>722</v>
      </c>
      <c r="C13">
        <v>1</v>
      </c>
      <c r="D13">
        <v>7</v>
      </c>
      <c r="E13">
        <f t="shared" si="0"/>
        <v>0.14285714285714285</v>
      </c>
    </row>
    <row r="14" spans="1:5" ht="16.5" x14ac:dyDescent="0.3">
      <c r="A14" t="s">
        <v>646</v>
      </c>
      <c r="B14" t="s">
        <v>725</v>
      </c>
      <c r="C14">
        <v>0</v>
      </c>
      <c r="D14">
        <v>4</v>
      </c>
      <c r="E14">
        <f t="shared" si="0"/>
        <v>0</v>
      </c>
    </row>
    <row r="15" spans="1:5" ht="16.5" x14ac:dyDescent="0.3">
      <c r="A15" t="s">
        <v>646</v>
      </c>
      <c r="B15" t="s">
        <v>715</v>
      </c>
      <c r="C15">
        <v>0</v>
      </c>
      <c r="D15">
        <v>3</v>
      </c>
      <c r="E15">
        <f t="shared" si="0"/>
        <v>0</v>
      </c>
    </row>
    <row r="16" spans="1:5" ht="16.5" x14ac:dyDescent="0.3">
      <c r="A16" t="s">
        <v>646</v>
      </c>
      <c r="B16" t="s">
        <v>719</v>
      </c>
      <c r="C16">
        <v>0</v>
      </c>
      <c r="D16">
        <v>9</v>
      </c>
      <c r="E16">
        <f t="shared" si="0"/>
        <v>0</v>
      </c>
    </row>
    <row r="17" spans="1:5" ht="16.5" x14ac:dyDescent="0.3">
      <c r="A17" t="s">
        <v>646</v>
      </c>
      <c r="B17" t="s">
        <v>717</v>
      </c>
      <c r="C17">
        <v>0</v>
      </c>
      <c r="D17">
        <v>8</v>
      </c>
      <c r="E17">
        <f t="shared" si="0"/>
        <v>0</v>
      </c>
    </row>
    <row r="18" spans="1:5" ht="16.5" x14ac:dyDescent="0.3">
      <c r="A18" t="s">
        <v>646</v>
      </c>
      <c r="B18" t="s">
        <v>723</v>
      </c>
      <c r="C18">
        <v>0</v>
      </c>
      <c r="D18">
        <v>14</v>
      </c>
      <c r="E18">
        <f t="shared" si="0"/>
        <v>0</v>
      </c>
    </row>
    <row r="19" spans="1:5" ht="16.5" x14ac:dyDescent="0.3">
      <c r="A19" t="s">
        <v>646</v>
      </c>
      <c r="B19" t="s">
        <v>721</v>
      </c>
      <c r="C19">
        <v>0</v>
      </c>
      <c r="D19">
        <v>13</v>
      </c>
      <c r="E19">
        <f t="shared" si="0"/>
        <v>0</v>
      </c>
    </row>
    <row r="20" spans="1:5" ht="16.5" x14ac:dyDescent="0.3">
      <c r="A20" t="s">
        <v>648</v>
      </c>
      <c r="B20" t="s">
        <v>714</v>
      </c>
      <c r="C20">
        <v>5</v>
      </c>
      <c r="D20">
        <v>14</v>
      </c>
      <c r="E20">
        <f t="shared" si="0"/>
        <v>0.35714285714285715</v>
      </c>
    </row>
    <row r="21" spans="1:5" ht="16.5" x14ac:dyDescent="0.3">
      <c r="A21" t="s">
        <v>648</v>
      </c>
      <c r="B21" t="s">
        <v>720</v>
      </c>
      <c r="C21">
        <v>5</v>
      </c>
      <c r="D21">
        <v>10</v>
      </c>
      <c r="E21">
        <f t="shared" si="0"/>
        <v>0.5</v>
      </c>
    </row>
    <row r="22" spans="1:5" ht="16.5" x14ac:dyDescent="0.3">
      <c r="A22" t="s">
        <v>648</v>
      </c>
      <c r="B22" t="s">
        <v>726</v>
      </c>
      <c r="C22">
        <v>4</v>
      </c>
      <c r="D22">
        <v>8</v>
      </c>
      <c r="E22">
        <f t="shared" si="0"/>
        <v>0.5</v>
      </c>
    </row>
    <row r="23" spans="1:5" ht="16.5" x14ac:dyDescent="0.3">
      <c r="A23" t="s">
        <v>648</v>
      </c>
      <c r="B23" t="s">
        <v>716</v>
      </c>
      <c r="C23">
        <v>3</v>
      </c>
      <c r="D23">
        <v>12</v>
      </c>
      <c r="E23">
        <f t="shared" si="0"/>
        <v>0.25</v>
      </c>
    </row>
    <row r="24" spans="1:5" ht="16.5" x14ac:dyDescent="0.3">
      <c r="A24" t="s">
        <v>648</v>
      </c>
      <c r="B24" t="s">
        <v>712</v>
      </c>
      <c r="C24">
        <v>2</v>
      </c>
      <c r="D24">
        <v>14</v>
      </c>
      <c r="E24">
        <f t="shared" si="0"/>
        <v>0.14285714285714285</v>
      </c>
    </row>
    <row r="25" spans="1:5" ht="16.5" x14ac:dyDescent="0.3">
      <c r="A25" t="s">
        <v>648</v>
      </c>
      <c r="B25" t="s">
        <v>724</v>
      </c>
      <c r="C25">
        <v>2</v>
      </c>
      <c r="D25">
        <v>12</v>
      </c>
      <c r="E25">
        <f t="shared" si="0"/>
        <v>0.16666666666666666</v>
      </c>
    </row>
    <row r="26" spans="1:5" ht="16.5" x14ac:dyDescent="0.3">
      <c r="A26" t="s">
        <v>648</v>
      </c>
      <c r="B26" t="s">
        <v>725</v>
      </c>
      <c r="C26">
        <v>1</v>
      </c>
      <c r="D26">
        <v>7</v>
      </c>
      <c r="E26">
        <f t="shared" si="0"/>
        <v>0.14285714285714285</v>
      </c>
    </row>
    <row r="27" spans="1:5" ht="16.5" x14ac:dyDescent="0.3">
      <c r="A27" t="s">
        <v>648</v>
      </c>
      <c r="B27" t="s">
        <v>723</v>
      </c>
      <c r="C27">
        <v>1</v>
      </c>
      <c r="D27">
        <v>10</v>
      </c>
      <c r="E27">
        <f t="shared" si="0"/>
        <v>0.1</v>
      </c>
    </row>
    <row r="28" spans="1:5" ht="16.5" x14ac:dyDescent="0.3">
      <c r="A28" t="s">
        <v>648</v>
      </c>
      <c r="B28" t="s">
        <v>721</v>
      </c>
      <c r="C28">
        <v>1</v>
      </c>
      <c r="D28">
        <v>15</v>
      </c>
      <c r="E28">
        <f t="shared" si="0"/>
        <v>6.6666666666666666E-2</v>
      </c>
    </row>
    <row r="29" spans="1:5" ht="16.5" x14ac:dyDescent="0.3">
      <c r="A29" t="s">
        <v>648</v>
      </c>
      <c r="B29" t="s">
        <v>715</v>
      </c>
      <c r="C29">
        <v>1</v>
      </c>
      <c r="D29">
        <v>8</v>
      </c>
      <c r="E29">
        <f t="shared" si="0"/>
        <v>0.125</v>
      </c>
    </row>
    <row r="30" spans="1:5" ht="16.5" x14ac:dyDescent="0.3">
      <c r="A30" t="s">
        <v>648</v>
      </c>
      <c r="B30" t="s">
        <v>1424</v>
      </c>
      <c r="C30">
        <v>1</v>
      </c>
      <c r="D30">
        <v>3</v>
      </c>
      <c r="E30">
        <f t="shared" si="0"/>
        <v>0.33333333333333331</v>
      </c>
    </row>
    <row r="31" spans="1:5" ht="16.5" x14ac:dyDescent="0.3">
      <c r="A31" t="s">
        <v>648</v>
      </c>
      <c r="B31" t="s">
        <v>717</v>
      </c>
      <c r="C31">
        <v>1</v>
      </c>
      <c r="D31">
        <v>8</v>
      </c>
      <c r="E31">
        <f t="shared" si="0"/>
        <v>0.125</v>
      </c>
    </row>
    <row r="32" spans="1:5" ht="16.5" x14ac:dyDescent="0.3">
      <c r="A32" t="s">
        <v>648</v>
      </c>
      <c r="B32" t="s">
        <v>718</v>
      </c>
      <c r="C32">
        <v>0</v>
      </c>
      <c r="D32">
        <v>5</v>
      </c>
      <c r="E32">
        <f t="shared" si="0"/>
        <v>0</v>
      </c>
    </row>
    <row r="33" spans="1:5" ht="16.5" x14ac:dyDescent="0.3">
      <c r="A33" t="s">
        <v>648</v>
      </c>
      <c r="B33" t="s">
        <v>719</v>
      </c>
      <c r="C33">
        <v>0</v>
      </c>
      <c r="D33">
        <v>12</v>
      </c>
      <c r="E33">
        <f t="shared" si="0"/>
        <v>0</v>
      </c>
    </row>
    <row r="34" spans="1:5" ht="16.5" x14ac:dyDescent="0.3">
      <c r="A34" t="s">
        <v>648</v>
      </c>
      <c r="B34" t="s">
        <v>713</v>
      </c>
      <c r="C34">
        <v>0</v>
      </c>
      <c r="D34">
        <v>10</v>
      </c>
      <c r="E34">
        <f t="shared" si="0"/>
        <v>0</v>
      </c>
    </row>
    <row r="35" spans="1:5" ht="16.5" x14ac:dyDescent="0.3">
      <c r="A35" t="s">
        <v>648</v>
      </c>
      <c r="B35" t="s">
        <v>722</v>
      </c>
      <c r="C35">
        <v>0</v>
      </c>
      <c r="D35">
        <v>9</v>
      </c>
      <c r="E35">
        <f t="shared" si="0"/>
        <v>0</v>
      </c>
    </row>
    <row r="36" spans="1:5" ht="16.5" x14ac:dyDescent="0.3">
      <c r="A36" t="s">
        <v>647</v>
      </c>
      <c r="B36" t="s">
        <v>719</v>
      </c>
      <c r="C36">
        <v>4</v>
      </c>
      <c r="D36">
        <v>8</v>
      </c>
      <c r="E36">
        <f t="shared" si="0"/>
        <v>0.5</v>
      </c>
    </row>
    <row r="37" spans="1:5" ht="16.5" x14ac:dyDescent="0.3">
      <c r="A37" t="s">
        <v>647</v>
      </c>
      <c r="B37" t="s">
        <v>721</v>
      </c>
      <c r="C37">
        <v>3</v>
      </c>
      <c r="D37">
        <v>12</v>
      </c>
      <c r="E37">
        <f t="shared" si="0"/>
        <v>0.25</v>
      </c>
    </row>
    <row r="38" spans="1:5" ht="16.5" x14ac:dyDescent="0.3">
      <c r="A38" t="s">
        <v>647</v>
      </c>
      <c r="B38" t="s">
        <v>716</v>
      </c>
      <c r="C38">
        <v>3</v>
      </c>
      <c r="D38">
        <v>14</v>
      </c>
      <c r="E38">
        <f t="shared" si="0"/>
        <v>0.21428571428571427</v>
      </c>
    </row>
    <row r="39" spans="1:5" ht="16.5" x14ac:dyDescent="0.3">
      <c r="A39" t="s">
        <v>647</v>
      </c>
      <c r="B39" t="s">
        <v>712</v>
      </c>
      <c r="C39">
        <v>3</v>
      </c>
      <c r="D39">
        <v>10</v>
      </c>
      <c r="E39">
        <f t="shared" si="0"/>
        <v>0.3</v>
      </c>
    </row>
    <row r="40" spans="1:5" ht="16.5" x14ac:dyDescent="0.3">
      <c r="A40" t="s">
        <v>647</v>
      </c>
      <c r="B40" t="s">
        <v>717</v>
      </c>
      <c r="C40">
        <v>2</v>
      </c>
      <c r="D40">
        <v>17</v>
      </c>
      <c r="E40">
        <f t="shared" si="0"/>
        <v>0.11764705882352941</v>
      </c>
    </row>
    <row r="41" spans="1:5" ht="16.5" x14ac:dyDescent="0.3">
      <c r="A41" t="s">
        <v>647</v>
      </c>
      <c r="B41" t="s">
        <v>713</v>
      </c>
      <c r="C41">
        <v>2</v>
      </c>
      <c r="D41">
        <v>19</v>
      </c>
      <c r="E41">
        <f t="shared" si="0"/>
        <v>0.10526315789473684</v>
      </c>
    </row>
    <row r="42" spans="1:5" ht="16.5" x14ac:dyDescent="0.3">
      <c r="A42" t="s">
        <v>647</v>
      </c>
      <c r="B42" t="s">
        <v>722</v>
      </c>
      <c r="C42">
        <v>2</v>
      </c>
      <c r="D42">
        <v>16</v>
      </c>
      <c r="E42">
        <f t="shared" si="0"/>
        <v>0.125</v>
      </c>
    </row>
    <row r="43" spans="1:5" ht="16.5" x14ac:dyDescent="0.3">
      <c r="A43" t="s">
        <v>647</v>
      </c>
      <c r="B43" t="s">
        <v>725</v>
      </c>
      <c r="C43">
        <v>1</v>
      </c>
      <c r="D43">
        <v>10</v>
      </c>
      <c r="E43">
        <f t="shared" si="0"/>
        <v>0.1</v>
      </c>
    </row>
    <row r="44" spans="1:5" ht="16.5" x14ac:dyDescent="0.3">
      <c r="A44" t="s">
        <v>647</v>
      </c>
      <c r="B44" t="s">
        <v>723</v>
      </c>
      <c r="C44">
        <v>1</v>
      </c>
      <c r="D44">
        <v>7</v>
      </c>
      <c r="E44">
        <f t="shared" si="0"/>
        <v>0.14285714285714285</v>
      </c>
    </row>
    <row r="45" spans="1:5" ht="16.5" x14ac:dyDescent="0.3">
      <c r="A45" t="s">
        <v>647</v>
      </c>
      <c r="B45" t="s">
        <v>715</v>
      </c>
      <c r="C45">
        <v>1</v>
      </c>
      <c r="D45">
        <v>11</v>
      </c>
      <c r="E45">
        <f t="shared" si="0"/>
        <v>9.0909090909090912E-2</v>
      </c>
    </row>
    <row r="46" spans="1:5" ht="16.5" x14ac:dyDescent="0.3">
      <c r="A46" t="s">
        <v>647</v>
      </c>
      <c r="B46" t="s">
        <v>714</v>
      </c>
      <c r="C46">
        <v>1</v>
      </c>
      <c r="D46">
        <v>8</v>
      </c>
      <c r="E46">
        <f t="shared" si="0"/>
        <v>0.125</v>
      </c>
    </row>
    <row r="47" spans="1:5" ht="16.5" x14ac:dyDescent="0.3">
      <c r="A47" t="s">
        <v>647</v>
      </c>
      <c r="B47" t="s">
        <v>726</v>
      </c>
      <c r="C47">
        <v>1</v>
      </c>
      <c r="D47">
        <v>9</v>
      </c>
      <c r="E47">
        <f t="shared" si="0"/>
        <v>0.1111111111111111</v>
      </c>
    </row>
    <row r="48" spans="1:5" ht="16.5" x14ac:dyDescent="0.3">
      <c r="A48" t="s">
        <v>647</v>
      </c>
      <c r="B48" t="s">
        <v>1424</v>
      </c>
      <c r="C48">
        <v>0</v>
      </c>
      <c r="D48">
        <v>2</v>
      </c>
      <c r="E48">
        <f t="shared" si="0"/>
        <v>0</v>
      </c>
    </row>
    <row r="49" spans="1:5" ht="16.5" x14ac:dyDescent="0.3">
      <c r="A49" t="s">
        <v>647</v>
      </c>
      <c r="B49" t="s">
        <v>720</v>
      </c>
      <c r="C49">
        <v>0</v>
      </c>
      <c r="D49">
        <v>10</v>
      </c>
      <c r="E49">
        <f t="shared" si="0"/>
        <v>0</v>
      </c>
    </row>
    <row r="50" spans="1:5" ht="16.5" x14ac:dyDescent="0.3">
      <c r="A50" t="s">
        <v>647</v>
      </c>
      <c r="B50" t="s">
        <v>724</v>
      </c>
      <c r="C50">
        <v>0</v>
      </c>
      <c r="D50">
        <v>10</v>
      </c>
      <c r="E50">
        <f t="shared" si="0"/>
        <v>0</v>
      </c>
    </row>
    <row r="51" spans="1:5" ht="16.5" x14ac:dyDescent="0.3">
      <c r="A51" t="s">
        <v>647</v>
      </c>
      <c r="B51" t="s">
        <v>718</v>
      </c>
      <c r="C51">
        <v>0</v>
      </c>
      <c r="D51">
        <v>8</v>
      </c>
      <c r="E51">
        <f t="shared" si="0"/>
        <v>0</v>
      </c>
    </row>
    <row r="52" spans="1:5" ht="16.5" x14ac:dyDescent="0.3">
      <c r="A52" t="s">
        <v>649</v>
      </c>
      <c r="B52" t="s">
        <v>725</v>
      </c>
      <c r="C52">
        <v>3</v>
      </c>
      <c r="D52">
        <v>11</v>
      </c>
      <c r="E52">
        <f t="shared" si="0"/>
        <v>0.27272727272727271</v>
      </c>
    </row>
    <row r="53" spans="1:5" ht="16.5" x14ac:dyDescent="0.3">
      <c r="A53" t="s">
        <v>649</v>
      </c>
      <c r="B53" t="s">
        <v>723</v>
      </c>
      <c r="C53">
        <v>2</v>
      </c>
      <c r="D53">
        <v>13</v>
      </c>
      <c r="E53">
        <f t="shared" si="0"/>
        <v>0.15384615384615385</v>
      </c>
    </row>
    <row r="54" spans="1:5" ht="16.5" x14ac:dyDescent="0.3">
      <c r="A54" t="s">
        <v>649</v>
      </c>
      <c r="B54" t="s">
        <v>717</v>
      </c>
      <c r="C54">
        <v>2</v>
      </c>
      <c r="D54">
        <v>15</v>
      </c>
      <c r="E54">
        <f t="shared" si="0"/>
        <v>0.13333333333333333</v>
      </c>
    </row>
    <row r="55" spans="1:5" ht="16.5" x14ac:dyDescent="0.3">
      <c r="A55" t="s">
        <v>649</v>
      </c>
      <c r="B55" t="s">
        <v>718</v>
      </c>
      <c r="C55">
        <v>2</v>
      </c>
      <c r="D55">
        <v>16</v>
      </c>
      <c r="E55">
        <f t="shared" si="0"/>
        <v>0.125</v>
      </c>
    </row>
    <row r="56" spans="1:5" ht="16.5" x14ac:dyDescent="0.3">
      <c r="A56" t="s">
        <v>649</v>
      </c>
      <c r="B56" t="s">
        <v>714</v>
      </c>
      <c r="C56">
        <v>1</v>
      </c>
      <c r="D56">
        <v>8</v>
      </c>
      <c r="E56">
        <f t="shared" si="0"/>
        <v>0.125</v>
      </c>
    </row>
    <row r="57" spans="1:5" ht="16.5" x14ac:dyDescent="0.3">
      <c r="A57" t="s">
        <v>649</v>
      </c>
      <c r="B57" t="s">
        <v>726</v>
      </c>
      <c r="C57">
        <v>1</v>
      </c>
      <c r="D57">
        <v>11</v>
      </c>
      <c r="E57">
        <f t="shared" si="0"/>
        <v>9.0909090909090912E-2</v>
      </c>
    </row>
    <row r="58" spans="1:5" ht="16.5" x14ac:dyDescent="0.3">
      <c r="A58" t="s">
        <v>649</v>
      </c>
      <c r="B58" t="s">
        <v>713</v>
      </c>
      <c r="C58">
        <v>1</v>
      </c>
      <c r="D58">
        <v>9</v>
      </c>
      <c r="E58">
        <f t="shared" si="0"/>
        <v>0.1111111111111111</v>
      </c>
    </row>
    <row r="59" spans="1:5" ht="16.5" x14ac:dyDescent="0.3">
      <c r="A59" t="s">
        <v>649</v>
      </c>
      <c r="B59" t="s">
        <v>712</v>
      </c>
      <c r="C59">
        <v>1</v>
      </c>
      <c r="D59">
        <v>5</v>
      </c>
      <c r="E59">
        <f t="shared" si="0"/>
        <v>0.2</v>
      </c>
    </row>
    <row r="60" spans="1:5" ht="16.5" x14ac:dyDescent="0.3">
      <c r="A60" t="s">
        <v>649</v>
      </c>
      <c r="B60" t="s">
        <v>724</v>
      </c>
      <c r="C60">
        <v>1</v>
      </c>
      <c r="D60">
        <v>10</v>
      </c>
      <c r="E60">
        <f t="shared" si="0"/>
        <v>0.1</v>
      </c>
    </row>
    <row r="61" spans="1:5" ht="16.5" x14ac:dyDescent="0.3">
      <c r="A61" t="s">
        <v>649</v>
      </c>
      <c r="B61" t="s">
        <v>720</v>
      </c>
      <c r="C61">
        <v>1</v>
      </c>
      <c r="D61">
        <v>10</v>
      </c>
      <c r="E61">
        <f t="shared" si="0"/>
        <v>0.1</v>
      </c>
    </row>
    <row r="62" spans="1:5" ht="16.5" x14ac:dyDescent="0.3">
      <c r="A62" t="s">
        <v>649</v>
      </c>
      <c r="B62" t="s">
        <v>715</v>
      </c>
      <c r="C62">
        <v>1</v>
      </c>
      <c r="D62">
        <v>8</v>
      </c>
      <c r="E62">
        <f t="shared" si="0"/>
        <v>0.125</v>
      </c>
    </row>
    <row r="63" spans="1:5" ht="16.5" x14ac:dyDescent="0.3">
      <c r="A63" t="s">
        <v>649</v>
      </c>
      <c r="B63" t="s">
        <v>722</v>
      </c>
      <c r="C63">
        <v>1</v>
      </c>
      <c r="D63">
        <v>13</v>
      </c>
      <c r="E63">
        <f t="shared" si="0"/>
        <v>7.6923076923076927E-2</v>
      </c>
    </row>
    <row r="64" spans="1:5" ht="16.5" x14ac:dyDescent="0.3">
      <c r="A64" t="s">
        <v>649</v>
      </c>
      <c r="B64" t="s">
        <v>1424</v>
      </c>
      <c r="C64">
        <v>0</v>
      </c>
      <c r="D64">
        <v>1</v>
      </c>
      <c r="E64">
        <f t="shared" si="0"/>
        <v>0</v>
      </c>
    </row>
    <row r="65" spans="1:5" ht="16.5" x14ac:dyDescent="0.3">
      <c r="A65" t="s">
        <v>649</v>
      </c>
      <c r="B65" t="s">
        <v>719</v>
      </c>
      <c r="C65">
        <v>0</v>
      </c>
      <c r="D65">
        <v>8</v>
      </c>
      <c r="E65">
        <f t="shared" si="0"/>
        <v>0</v>
      </c>
    </row>
    <row r="66" spans="1:5" ht="16.5" x14ac:dyDescent="0.3">
      <c r="A66" t="s">
        <v>649</v>
      </c>
      <c r="B66" t="s">
        <v>721</v>
      </c>
      <c r="C66">
        <v>0</v>
      </c>
      <c r="D66">
        <v>11</v>
      </c>
      <c r="E66">
        <f t="shared" si="0"/>
        <v>0</v>
      </c>
    </row>
    <row r="67" spans="1:5" ht="16.5" x14ac:dyDescent="0.3">
      <c r="A67" t="s">
        <v>649</v>
      </c>
      <c r="B67" t="s">
        <v>716</v>
      </c>
      <c r="C67">
        <v>0</v>
      </c>
      <c r="D67">
        <v>10</v>
      </c>
      <c r="E67">
        <f t="shared" si="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ECB2B-7D4D-46E3-97EF-A606F54FB04B}">
  <dimension ref="A3:C20"/>
  <sheetViews>
    <sheetView workbookViewId="0">
      <selection activeCell="B9" sqref="B9"/>
    </sheetView>
  </sheetViews>
  <sheetFormatPr defaultRowHeight="16.5" x14ac:dyDescent="0.3"/>
  <cols>
    <col min="1" max="1" width="13" customWidth="1"/>
    <col min="2" max="2" width="22.875" customWidth="1"/>
    <col min="3" max="3" width="26.375" customWidth="1"/>
  </cols>
  <sheetData>
    <row r="3" spans="1:3" x14ac:dyDescent="0.3">
      <c r="A3" s="15" t="s">
        <v>1437</v>
      </c>
      <c r="B3" t="s">
        <v>1472</v>
      </c>
      <c r="C3" t="s">
        <v>1473</v>
      </c>
    </row>
    <row r="4" spans="1:3" x14ac:dyDescent="0.3">
      <c r="A4" s="16" t="s">
        <v>721</v>
      </c>
      <c r="B4">
        <v>51</v>
      </c>
      <c r="C4">
        <v>4</v>
      </c>
    </row>
    <row r="5" spans="1:3" x14ac:dyDescent="0.3">
      <c r="A5" s="16" t="s">
        <v>713</v>
      </c>
      <c r="B5">
        <v>50</v>
      </c>
      <c r="C5">
        <v>6</v>
      </c>
    </row>
    <row r="6" spans="1:3" x14ac:dyDescent="0.3">
      <c r="A6" s="16" t="s">
        <v>717</v>
      </c>
      <c r="B6">
        <v>48</v>
      </c>
      <c r="C6">
        <v>5</v>
      </c>
    </row>
    <row r="7" spans="1:3" x14ac:dyDescent="0.3">
      <c r="A7" s="16" t="s">
        <v>724</v>
      </c>
      <c r="B7">
        <v>48</v>
      </c>
      <c r="C7">
        <v>8</v>
      </c>
    </row>
    <row r="8" spans="1:3" x14ac:dyDescent="0.3">
      <c r="A8" s="16" t="s">
        <v>716</v>
      </c>
      <c r="B8">
        <v>46</v>
      </c>
      <c r="C8">
        <v>8</v>
      </c>
    </row>
    <row r="9" spans="1:3" x14ac:dyDescent="0.3">
      <c r="A9" s="16" t="s">
        <v>720</v>
      </c>
      <c r="B9">
        <v>46</v>
      </c>
      <c r="C9">
        <v>9</v>
      </c>
    </row>
    <row r="10" spans="1:3" x14ac:dyDescent="0.3">
      <c r="A10" s="16" t="s">
        <v>722</v>
      </c>
      <c r="B10">
        <v>45</v>
      </c>
      <c r="C10">
        <v>4</v>
      </c>
    </row>
    <row r="11" spans="1:3" x14ac:dyDescent="0.3">
      <c r="A11" s="16" t="s">
        <v>723</v>
      </c>
      <c r="B11">
        <v>44</v>
      </c>
      <c r="C11">
        <v>4</v>
      </c>
    </row>
    <row r="12" spans="1:3" x14ac:dyDescent="0.3">
      <c r="A12" s="16" t="s">
        <v>726</v>
      </c>
      <c r="B12">
        <v>38</v>
      </c>
      <c r="C12">
        <v>8</v>
      </c>
    </row>
    <row r="13" spans="1:3" x14ac:dyDescent="0.3">
      <c r="A13" s="16" t="s">
        <v>714</v>
      </c>
      <c r="B13">
        <v>38</v>
      </c>
      <c r="C13">
        <v>9</v>
      </c>
    </row>
    <row r="14" spans="1:3" x14ac:dyDescent="0.3">
      <c r="A14" s="16" t="s">
        <v>719</v>
      </c>
      <c r="B14">
        <v>37</v>
      </c>
      <c r="C14">
        <v>4</v>
      </c>
    </row>
    <row r="15" spans="1:3" x14ac:dyDescent="0.3">
      <c r="A15" s="16" t="s">
        <v>712</v>
      </c>
      <c r="B15">
        <v>37</v>
      </c>
      <c r="C15">
        <v>8</v>
      </c>
    </row>
    <row r="16" spans="1:3" x14ac:dyDescent="0.3">
      <c r="A16" s="16" t="s">
        <v>718</v>
      </c>
      <c r="B16">
        <v>34</v>
      </c>
      <c r="C16">
        <v>3</v>
      </c>
    </row>
    <row r="17" spans="1:3" x14ac:dyDescent="0.3">
      <c r="A17" s="16" t="s">
        <v>725</v>
      </c>
      <c r="B17">
        <v>32</v>
      </c>
      <c r="C17">
        <v>5</v>
      </c>
    </row>
    <row r="18" spans="1:3" x14ac:dyDescent="0.3">
      <c r="A18" s="16" t="s">
        <v>715</v>
      </c>
      <c r="B18">
        <v>30</v>
      </c>
      <c r="C18">
        <v>3</v>
      </c>
    </row>
    <row r="19" spans="1:3" x14ac:dyDescent="0.3">
      <c r="A19" s="16" t="s">
        <v>1424</v>
      </c>
      <c r="B19">
        <v>8</v>
      </c>
      <c r="C19">
        <v>2</v>
      </c>
    </row>
    <row r="20" spans="1:3" x14ac:dyDescent="0.3">
      <c r="A20" s="16" t="s">
        <v>1438</v>
      </c>
      <c r="B20">
        <v>632</v>
      </c>
      <c r="C20">
        <v>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05B88-533B-47B0-A9AA-EDBF8A57022A}">
  <dimension ref="A1:E65"/>
  <sheetViews>
    <sheetView workbookViewId="0">
      <selection activeCell="E4" sqref="E4"/>
    </sheetView>
  </sheetViews>
  <sheetFormatPr defaultRowHeight="15" x14ac:dyDescent="0.3"/>
  <cols>
    <col min="2" max="2" width="11.625" customWidth="1"/>
    <col min="3" max="3" width="19.5" customWidth="1"/>
    <col min="4" max="4" width="16" customWidth="1"/>
    <col min="5" max="5" width="25" style="18" customWidth="1"/>
  </cols>
  <sheetData>
    <row r="1" spans="1:5" ht="16.5" x14ac:dyDescent="0.3">
      <c r="A1" s="13" t="s">
        <v>3</v>
      </c>
      <c r="B1" s="13" t="s">
        <v>8</v>
      </c>
      <c r="C1" s="13" t="s">
        <v>1467</v>
      </c>
      <c r="D1" s="13" t="s">
        <v>1463</v>
      </c>
      <c r="E1" s="21" t="s">
        <v>1468</v>
      </c>
    </row>
    <row r="2" spans="1:5" ht="16.5" x14ac:dyDescent="0.3">
      <c r="A2" t="s">
        <v>646</v>
      </c>
      <c r="B2" t="s">
        <v>1424</v>
      </c>
      <c r="C2">
        <v>1</v>
      </c>
      <c r="D2">
        <v>2</v>
      </c>
      <c r="E2" s="28">
        <v>0.5</v>
      </c>
    </row>
    <row r="3" spans="1:5" ht="16.5" x14ac:dyDescent="0.3">
      <c r="A3" t="s">
        <v>648</v>
      </c>
      <c r="B3" t="s">
        <v>720</v>
      </c>
      <c r="C3">
        <v>5</v>
      </c>
      <c r="D3">
        <v>10</v>
      </c>
      <c r="E3" s="28">
        <v>0.5</v>
      </c>
    </row>
    <row r="4" spans="1:5" ht="16.5" x14ac:dyDescent="0.3">
      <c r="A4" t="s">
        <v>648</v>
      </c>
      <c r="B4" t="s">
        <v>726</v>
      </c>
      <c r="C4">
        <v>4</v>
      </c>
      <c r="D4">
        <v>8</v>
      </c>
      <c r="E4" s="28">
        <v>0.5</v>
      </c>
    </row>
    <row r="5" spans="1:5" ht="16.5" x14ac:dyDescent="0.3">
      <c r="A5" t="s">
        <v>647</v>
      </c>
      <c r="B5" t="s">
        <v>719</v>
      </c>
      <c r="C5">
        <v>4</v>
      </c>
      <c r="D5">
        <v>8</v>
      </c>
      <c r="E5" s="28">
        <v>0.5</v>
      </c>
    </row>
    <row r="6" spans="1:5" ht="16.5" x14ac:dyDescent="0.3">
      <c r="A6" t="s">
        <v>648</v>
      </c>
      <c r="B6" t="s">
        <v>714</v>
      </c>
      <c r="C6">
        <v>5</v>
      </c>
      <c r="D6">
        <v>14</v>
      </c>
      <c r="E6" s="28">
        <v>0.35714285714285715</v>
      </c>
    </row>
    <row r="7" spans="1:5" ht="16.5" x14ac:dyDescent="0.3">
      <c r="A7" t="s">
        <v>648</v>
      </c>
      <c r="B7" t="s">
        <v>1424</v>
      </c>
      <c r="C7">
        <v>1</v>
      </c>
      <c r="D7">
        <v>3</v>
      </c>
      <c r="E7" s="28">
        <v>0.33333333333333331</v>
      </c>
    </row>
    <row r="8" spans="1:5" ht="16.5" x14ac:dyDescent="0.3">
      <c r="A8" t="s">
        <v>646</v>
      </c>
      <c r="B8" t="s">
        <v>724</v>
      </c>
      <c r="C8">
        <v>5</v>
      </c>
      <c r="D8">
        <v>16</v>
      </c>
      <c r="E8" s="28">
        <v>0.3125</v>
      </c>
    </row>
    <row r="9" spans="1:5" ht="16.5" x14ac:dyDescent="0.3">
      <c r="A9" t="s">
        <v>647</v>
      </c>
      <c r="B9" t="s">
        <v>712</v>
      </c>
      <c r="C9">
        <v>3</v>
      </c>
      <c r="D9">
        <v>10</v>
      </c>
      <c r="E9" s="28">
        <v>0.3</v>
      </c>
    </row>
    <row r="10" spans="1:5" ht="16.5" x14ac:dyDescent="0.3">
      <c r="A10" t="s">
        <v>649</v>
      </c>
      <c r="B10" t="s">
        <v>725</v>
      </c>
      <c r="C10">
        <v>3</v>
      </c>
      <c r="D10">
        <v>11</v>
      </c>
      <c r="E10" s="28">
        <v>0.27272727272727271</v>
      </c>
    </row>
    <row r="11" spans="1:5" ht="16.5" x14ac:dyDescent="0.3">
      <c r="A11" t="s">
        <v>646</v>
      </c>
      <c r="B11" t="s">
        <v>713</v>
      </c>
      <c r="C11">
        <v>3</v>
      </c>
      <c r="D11">
        <v>12</v>
      </c>
      <c r="E11" s="28">
        <v>0.25</v>
      </c>
    </row>
    <row r="12" spans="1:5" ht="16.5" x14ac:dyDescent="0.3">
      <c r="A12" t="s">
        <v>646</v>
      </c>
      <c r="B12" t="s">
        <v>712</v>
      </c>
      <c r="C12">
        <v>2</v>
      </c>
      <c r="D12">
        <v>8</v>
      </c>
      <c r="E12" s="28">
        <v>0.25</v>
      </c>
    </row>
    <row r="13" spans="1:5" ht="16.5" x14ac:dyDescent="0.3">
      <c r="A13" t="s">
        <v>646</v>
      </c>
      <c r="B13" t="s">
        <v>714</v>
      </c>
      <c r="C13">
        <v>2</v>
      </c>
      <c r="D13">
        <v>8</v>
      </c>
      <c r="E13" s="28">
        <v>0.25</v>
      </c>
    </row>
    <row r="14" spans="1:5" ht="16.5" x14ac:dyDescent="0.3">
      <c r="A14" t="s">
        <v>648</v>
      </c>
      <c r="B14" t="s">
        <v>716</v>
      </c>
      <c r="C14">
        <v>3</v>
      </c>
      <c r="D14">
        <v>12</v>
      </c>
      <c r="E14" s="28">
        <v>0.25</v>
      </c>
    </row>
    <row r="15" spans="1:5" ht="16.5" x14ac:dyDescent="0.3">
      <c r="A15" t="s">
        <v>647</v>
      </c>
      <c r="B15" t="s">
        <v>721</v>
      </c>
      <c r="C15">
        <v>3</v>
      </c>
      <c r="D15">
        <v>12</v>
      </c>
      <c r="E15" s="28">
        <v>0.25</v>
      </c>
    </row>
    <row r="16" spans="1:5" ht="16.5" x14ac:dyDescent="0.3">
      <c r="A16" t="s">
        <v>647</v>
      </c>
      <c r="B16" t="s">
        <v>716</v>
      </c>
      <c r="C16">
        <v>3</v>
      </c>
      <c r="D16">
        <v>14</v>
      </c>
      <c r="E16" s="28">
        <v>0.21428571428571427</v>
      </c>
    </row>
    <row r="17" spans="1:5" ht="16.5" x14ac:dyDescent="0.3">
      <c r="A17" t="s">
        <v>646</v>
      </c>
      <c r="B17" t="s">
        <v>726</v>
      </c>
      <c r="C17">
        <v>2</v>
      </c>
      <c r="D17">
        <v>10</v>
      </c>
      <c r="E17" s="18">
        <v>0.2</v>
      </c>
    </row>
    <row r="18" spans="1:5" ht="16.5" x14ac:dyDescent="0.3">
      <c r="A18" t="s">
        <v>646</v>
      </c>
      <c r="B18" t="s">
        <v>716</v>
      </c>
      <c r="C18">
        <v>2</v>
      </c>
      <c r="D18">
        <v>10</v>
      </c>
      <c r="E18" s="18">
        <v>0.2</v>
      </c>
    </row>
    <row r="19" spans="1:5" ht="16.5" x14ac:dyDescent="0.3">
      <c r="A19" t="s">
        <v>646</v>
      </c>
      <c r="B19" t="s">
        <v>718</v>
      </c>
      <c r="C19">
        <v>1</v>
      </c>
      <c r="D19">
        <v>5</v>
      </c>
      <c r="E19" s="18">
        <v>0.2</v>
      </c>
    </row>
    <row r="20" spans="1:5" ht="16.5" x14ac:dyDescent="0.3">
      <c r="A20" t="s">
        <v>649</v>
      </c>
      <c r="B20" t="s">
        <v>712</v>
      </c>
      <c r="C20">
        <v>1</v>
      </c>
      <c r="D20">
        <v>5</v>
      </c>
      <c r="E20" s="18">
        <v>0.2</v>
      </c>
    </row>
    <row r="21" spans="1:5" ht="16.5" x14ac:dyDescent="0.3">
      <c r="A21" t="s">
        <v>646</v>
      </c>
      <c r="B21" t="s">
        <v>720</v>
      </c>
      <c r="C21">
        <v>3</v>
      </c>
      <c r="D21">
        <v>16</v>
      </c>
      <c r="E21" s="18">
        <v>0.1875</v>
      </c>
    </row>
    <row r="22" spans="1:5" ht="16.5" x14ac:dyDescent="0.3">
      <c r="A22" t="s">
        <v>648</v>
      </c>
      <c r="B22" t="s">
        <v>724</v>
      </c>
      <c r="C22">
        <v>2</v>
      </c>
      <c r="D22">
        <v>12</v>
      </c>
      <c r="E22" s="18">
        <v>0.16666666666666666</v>
      </c>
    </row>
    <row r="23" spans="1:5" ht="16.5" x14ac:dyDescent="0.3">
      <c r="A23" t="s">
        <v>649</v>
      </c>
      <c r="B23" t="s">
        <v>723</v>
      </c>
      <c r="C23">
        <v>2</v>
      </c>
      <c r="D23">
        <v>13</v>
      </c>
      <c r="E23" s="18">
        <v>0.15384615384615385</v>
      </c>
    </row>
    <row r="24" spans="1:5" ht="16.5" x14ac:dyDescent="0.3">
      <c r="A24" t="s">
        <v>646</v>
      </c>
      <c r="B24" t="s">
        <v>722</v>
      </c>
      <c r="C24">
        <v>1</v>
      </c>
      <c r="D24">
        <v>7</v>
      </c>
      <c r="E24" s="18">
        <v>0.14285714285714285</v>
      </c>
    </row>
    <row r="25" spans="1:5" ht="16.5" x14ac:dyDescent="0.3">
      <c r="A25" t="s">
        <v>648</v>
      </c>
      <c r="B25" t="s">
        <v>712</v>
      </c>
      <c r="C25">
        <v>2</v>
      </c>
      <c r="D25">
        <v>14</v>
      </c>
      <c r="E25" s="18">
        <v>0.14285714285714285</v>
      </c>
    </row>
    <row r="26" spans="1:5" ht="16.5" x14ac:dyDescent="0.3">
      <c r="A26" t="s">
        <v>648</v>
      </c>
      <c r="B26" t="s">
        <v>725</v>
      </c>
      <c r="C26">
        <v>1</v>
      </c>
      <c r="D26">
        <v>7</v>
      </c>
      <c r="E26" s="18">
        <v>0.14285714285714285</v>
      </c>
    </row>
    <row r="27" spans="1:5" ht="16.5" x14ac:dyDescent="0.3">
      <c r="A27" t="s">
        <v>647</v>
      </c>
      <c r="B27" t="s">
        <v>723</v>
      </c>
      <c r="C27">
        <v>1</v>
      </c>
      <c r="D27">
        <v>7</v>
      </c>
      <c r="E27" s="18">
        <v>0.14285714285714285</v>
      </c>
    </row>
    <row r="28" spans="1:5" ht="16.5" x14ac:dyDescent="0.3">
      <c r="A28" t="s">
        <v>649</v>
      </c>
      <c r="B28" t="s">
        <v>717</v>
      </c>
      <c r="C28">
        <v>2</v>
      </c>
      <c r="D28">
        <v>15</v>
      </c>
      <c r="E28" s="18">
        <v>0.13333333333333333</v>
      </c>
    </row>
    <row r="29" spans="1:5" ht="16.5" x14ac:dyDescent="0.3">
      <c r="A29" t="s">
        <v>648</v>
      </c>
      <c r="B29" t="s">
        <v>715</v>
      </c>
      <c r="C29">
        <v>1</v>
      </c>
      <c r="D29">
        <v>8</v>
      </c>
      <c r="E29" s="18">
        <v>0.125</v>
      </c>
    </row>
    <row r="30" spans="1:5" ht="16.5" x14ac:dyDescent="0.3">
      <c r="A30" t="s">
        <v>648</v>
      </c>
      <c r="B30" t="s">
        <v>717</v>
      </c>
      <c r="C30">
        <v>1</v>
      </c>
      <c r="D30">
        <v>8</v>
      </c>
      <c r="E30" s="18">
        <v>0.125</v>
      </c>
    </row>
    <row r="31" spans="1:5" ht="16.5" x14ac:dyDescent="0.3">
      <c r="A31" t="s">
        <v>647</v>
      </c>
      <c r="B31" t="s">
        <v>722</v>
      </c>
      <c r="C31">
        <v>2</v>
      </c>
      <c r="D31">
        <v>16</v>
      </c>
      <c r="E31" s="18">
        <v>0.125</v>
      </c>
    </row>
    <row r="32" spans="1:5" ht="16.5" x14ac:dyDescent="0.3">
      <c r="A32" t="s">
        <v>647</v>
      </c>
      <c r="B32" t="s">
        <v>714</v>
      </c>
      <c r="C32">
        <v>1</v>
      </c>
      <c r="D32">
        <v>8</v>
      </c>
      <c r="E32" s="18">
        <v>0.125</v>
      </c>
    </row>
    <row r="33" spans="1:5" ht="16.5" x14ac:dyDescent="0.3">
      <c r="A33" t="s">
        <v>649</v>
      </c>
      <c r="B33" t="s">
        <v>718</v>
      </c>
      <c r="C33">
        <v>2</v>
      </c>
      <c r="D33">
        <v>16</v>
      </c>
      <c r="E33" s="18">
        <v>0.125</v>
      </c>
    </row>
    <row r="34" spans="1:5" ht="16.5" x14ac:dyDescent="0.3">
      <c r="A34" t="s">
        <v>649</v>
      </c>
      <c r="B34" t="s">
        <v>714</v>
      </c>
      <c r="C34">
        <v>1</v>
      </c>
      <c r="D34">
        <v>8</v>
      </c>
      <c r="E34" s="18">
        <v>0.125</v>
      </c>
    </row>
    <row r="35" spans="1:5" ht="16.5" x14ac:dyDescent="0.3">
      <c r="A35" t="s">
        <v>649</v>
      </c>
      <c r="B35" t="s">
        <v>715</v>
      </c>
      <c r="C35">
        <v>1</v>
      </c>
      <c r="D35">
        <v>8</v>
      </c>
      <c r="E35" s="18">
        <v>0.125</v>
      </c>
    </row>
    <row r="36" spans="1:5" ht="16.5" x14ac:dyDescent="0.3">
      <c r="A36" t="s">
        <v>647</v>
      </c>
      <c r="B36" t="s">
        <v>717</v>
      </c>
      <c r="C36">
        <v>2</v>
      </c>
      <c r="D36">
        <v>17</v>
      </c>
      <c r="E36" s="18">
        <v>0.11764705882352941</v>
      </c>
    </row>
    <row r="37" spans="1:5" ht="16.5" x14ac:dyDescent="0.3">
      <c r="A37" t="s">
        <v>647</v>
      </c>
      <c r="B37" t="s">
        <v>726</v>
      </c>
      <c r="C37">
        <v>1</v>
      </c>
      <c r="D37">
        <v>9</v>
      </c>
      <c r="E37" s="18">
        <v>0.1111111111111111</v>
      </c>
    </row>
    <row r="38" spans="1:5" ht="16.5" x14ac:dyDescent="0.3">
      <c r="A38" t="s">
        <v>649</v>
      </c>
      <c r="B38" t="s">
        <v>713</v>
      </c>
      <c r="C38">
        <v>1</v>
      </c>
      <c r="D38">
        <v>9</v>
      </c>
      <c r="E38" s="18">
        <v>0.1111111111111111</v>
      </c>
    </row>
    <row r="39" spans="1:5" ht="16.5" x14ac:dyDescent="0.3">
      <c r="A39" t="s">
        <v>647</v>
      </c>
      <c r="B39" t="s">
        <v>713</v>
      </c>
      <c r="C39">
        <v>2</v>
      </c>
      <c r="D39">
        <v>19</v>
      </c>
      <c r="E39" s="18">
        <v>0.10526315789473684</v>
      </c>
    </row>
    <row r="40" spans="1:5" ht="16.5" x14ac:dyDescent="0.3">
      <c r="A40" t="s">
        <v>648</v>
      </c>
      <c r="B40" t="s">
        <v>723</v>
      </c>
      <c r="C40">
        <v>1</v>
      </c>
      <c r="D40">
        <v>10</v>
      </c>
      <c r="E40" s="18">
        <v>0.1</v>
      </c>
    </row>
    <row r="41" spans="1:5" ht="16.5" x14ac:dyDescent="0.3">
      <c r="A41" t="s">
        <v>647</v>
      </c>
      <c r="B41" t="s">
        <v>725</v>
      </c>
      <c r="C41">
        <v>1</v>
      </c>
      <c r="D41">
        <v>10</v>
      </c>
      <c r="E41" s="18">
        <v>0.1</v>
      </c>
    </row>
    <row r="42" spans="1:5" ht="16.5" x14ac:dyDescent="0.3">
      <c r="A42" t="s">
        <v>649</v>
      </c>
      <c r="B42" t="s">
        <v>724</v>
      </c>
      <c r="C42">
        <v>1</v>
      </c>
      <c r="D42">
        <v>10</v>
      </c>
      <c r="E42" s="18">
        <v>0.1</v>
      </c>
    </row>
    <row r="43" spans="1:5" ht="16.5" x14ac:dyDescent="0.3">
      <c r="A43" t="s">
        <v>649</v>
      </c>
      <c r="B43" t="s">
        <v>720</v>
      </c>
      <c r="C43">
        <v>1</v>
      </c>
      <c r="D43">
        <v>10</v>
      </c>
      <c r="E43" s="18">
        <v>0.1</v>
      </c>
    </row>
    <row r="44" spans="1:5" ht="16.5" x14ac:dyDescent="0.3">
      <c r="A44" t="s">
        <v>647</v>
      </c>
      <c r="B44" t="s">
        <v>715</v>
      </c>
      <c r="C44">
        <v>1</v>
      </c>
      <c r="D44">
        <v>11</v>
      </c>
      <c r="E44" s="18">
        <v>9.0909090909090912E-2</v>
      </c>
    </row>
    <row r="45" spans="1:5" ht="16.5" x14ac:dyDescent="0.3">
      <c r="A45" t="s">
        <v>649</v>
      </c>
      <c r="B45" t="s">
        <v>726</v>
      </c>
      <c r="C45">
        <v>1</v>
      </c>
      <c r="D45">
        <v>11</v>
      </c>
      <c r="E45" s="18">
        <v>9.0909090909090912E-2</v>
      </c>
    </row>
    <row r="46" spans="1:5" ht="16.5" x14ac:dyDescent="0.3">
      <c r="A46" t="s">
        <v>649</v>
      </c>
      <c r="B46" t="s">
        <v>722</v>
      </c>
      <c r="C46">
        <v>1</v>
      </c>
      <c r="D46">
        <v>13</v>
      </c>
      <c r="E46" s="18">
        <v>7.6923076923076927E-2</v>
      </c>
    </row>
    <row r="47" spans="1:5" ht="16.5" x14ac:dyDescent="0.3">
      <c r="A47" t="s">
        <v>648</v>
      </c>
      <c r="B47" t="s">
        <v>721</v>
      </c>
      <c r="C47">
        <v>1</v>
      </c>
      <c r="D47">
        <v>15</v>
      </c>
      <c r="E47" s="18">
        <v>6.6666666666666666E-2</v>
      </c>
    </row>
    <row r="48" spans="1:5" ht="16.5" x14ac:dyDescent="0.3">
      <c r="A48" t="s">
        <v>646</v>
      </c>
      <c r="B48" t="s">
        <v>725</v>
      </c>
      <c r="C48">
        <v>0</v>
      </c>
      <c r="D48">
        <v>4</v>
      </c>
      <c r="E48" s="18">
        <v>0</v>
      </c>
    </row>
    <row r="49" spans="1:5" ht="16.5" x14ac:dyDescent="0.3">
      <c r="A49" t="s">
        <v>646</v>
      </c>
      <c r="B49" t="s">
        <v>715</v>
      </c>
      <c r="C49">
        <v>0</v>
      </c>
      <c r="D49">
        <v>3</v>
      </c>
      <c r="E49" s="18">
        <v>0</v>
      </c>
    </row>
    <row r="50" spans="1:5" ht="16.5" x14ac:dyDescent="0.3">
      <c r="A50" t="s">
        <v>646</v>
      </c>
      <c r="B50" t="s">
        <v>719</v>
      </c>
      <c r="C50">
        <v>0</v>
      </c>
      <c r="D50">
        <v>9</v>
      </c>
      <c r="E50" s="18">
        <v>0</v>
      </c>
    </row>
    <row r="51" spans="1:5" ht="16.5" x14ac:dyDescent="0.3">
      <c r="A51" t="s">
        <v>646</v>
      </c>
      <c r="B51" t="s">
        <v>717</v>
      </c>
      <c r="C51">
        <v>0</v>
      </c>
      <c r="D51">
        <v>8</v>
      </c>
      <c r="E51" s="18">
        <v>0</v>
      </c>
    </row>
    <row r="52" spans="1:5" ht="16.5" x14ac:dyDescent="0.3">
      <c r="A52" t="s">
        <v>646</v>
      </c>
      <c r="B52" t="s">
        <v>723</v>
      </c>
      <c r="C52">
        <v>0</v>
      </c>
      <c r="D52">
        <v>14</v>
      </c>
      <c r="E52" s="18">
        <v>0</v>
      </c>
    </row>
    <row r="53" spans="1:5" ht="16.5" x14ac:dyDescent="0.3">
      <c r="A53" t="s">
        <v>646</v>
      </c>
      <c r="B53" t="s">
        <v>721</v>
      </c>
      <c r="C53">
        <v>0</v>
      </c>
      <c r="D53">
        <v>13</v>
      </c>
      <c r="E53" s="18">
        <v>0</v>
      </c>
    </row>
    <row r="54" spans="1:5" ht="16.5" x14ac:dyDescent="0.3">
      <c r="A54" t="s">
        <v>648</v>
      </c>
      <c r="B54" t="s">
        <v>718</v>
      </c>
      <c r="C54">
        <v>0</v>
      </c>
      <c r="D54">
        <v>5</v>
      </c>
      <c r="E54" s="18">
        <v>0</v>
      </c>
    </row>
    <row r="55" spans="1:5" ht="16.5" x14ac:dyDescent="0.3">
      <c r="A55" t="s">
        <v>648</v>
      </c>
      <c r="B55" t="s">
        <v>719</v>
      </c>
      <c r="C55">
        <v>0</v>
      </c>
      <c r="D55">
        <v>12</v>
      </c>
      <c r="E55" s="18">
        <v>0</v>
      </c>
    </row>
    <row r="56" spans="1:5" ht="16.5" x14ac:dyDescent="0.3">
      <c r="A56" t="s">
        <v>648</v>
      </c>
      <c r="B56" t="s">
        <v>713</v>
      </c>
      <c r="C56">
        <v>0</v>
      </c>
      <c r="D56">
        <v>10</v>
      </c>
      <c r="E56" s="18">
        <v>0</v>
      </c>
    </row>
    <row r="57" spans="1:5" ht="16.5" x14ac:dyDescent="0.3">
      <c r="A57" t="s">
        <v>648</v>
      </c>
      <c r="B57" t="s">
        <v>722</v>
      </c>
      <c r="C57">
        <v>0</v>
      </c>
      <c r="D57">
        <v>9</v>
      </c>
      <c r="E57" s="18">
        <v>0</v>
      </c>
    </row>
    <row r="58" spans="1:5" ht="16.5" x14ac:dyDescent="0.3">
      <c r="A58" t="s">
        <v>647</v>
      </c>
      <c r="B58" t="s">
        <v>1424</v>
      </c>
      <c r="C58">
        <v>0</v>
      </c>
      <c r="D58">
        <v>2</v>
      </c>
      <c r="E58" s="18">
        <v>0</v>
      </c>
    </row>
    <row r="59" spans="1:5" ht="16.5" x14ac:dyDescent="0.3">
      <c r="A59" t="s">
        <v>647</v>
      </c>
      <c r="B59" t="s">
        <v>720</v>
      </c>
      <c r="C59">
        <v>0</v>
      </c>
      <c r="D59">
        <v>10</v>
      </c>
      <c r="E59" s="18">
        <v>0</v>
      </c>
    </row>
    <row r="60" spans="1:5" ht="16.5" x14ac:dyDescent="0.3">
      <c r="A60" t="s">
        <v>647</v>
      </c>
      <c r="B60" t="s">
        <v>724</v>
      </c>
      <c r="C60">
        <v>0</v>
      </c>
      <c r="D60">
        <v>10</v>
      </c>
      <c r="E60" s="18">
        <v>0</v>
      </c>
    </row>
    <row r="61" spans="1:5" ht="16.5" x14ac:dyDescent="0.3">
      <c r="A61" t="s">
        <v>647</v>
      </c>
      <c r="B61" t="s">
        <v>718</v>
      </c>
      <c r="C61">
        <v>0</v>
      </c>
      <c r="D61">
        <v>8</v>
      </c>
      <c r="E61" s="18">
        <v>0</v>
      </c>
    </row>
    <row r="62" spans="1:5" ht="16.5" x14ac:dyDescent="0.3">
      <c r="A62" t="s">
        <v>649</v>
      </c>
      <c r="B62" t="s">
        <v>1424</v>
      </c>
      <c r="C62">
        <v>0</v>
      </c>
      <c r="D62">
        <v>1</v>
      </c>
      <c r="E62" s="18">
        <v>0</v>
      </c>
    </row>
    <row r="63" spans="1:5" ht="16.5" x14ac:dyDescent="0.3">
      <c r="A63" t="s">
        <v>649</v>
      </c>
      <c r="B63" t="s">
        <v>719</v>
      </c>
      <c r="C63">
        <v>0</v>
      </c>
      <c r="D63">
        <v>8</v>
      </c>
      <c r="E63" s="18">
        <v>0</v>
      </c>
    </row>
    <row r="64" spans="1:5" ht="16.5" x14ac:dyDescent="0.3">
      <c r="A64" t="s">
        <v>649</v>
      </c>
      <c r="B64" t="s">
        <v>721</v>
      </c>
      <c r="C64">
        <v>0</v>
      </c>
      <c r="D64">
        <v>11</v>
      </c>
      <c r="E64" s="18">
        <v>0</v>
      </c>
    </row>
    <row r="65" spans="1:5" ht="16.5" x14ac:dyDescent="0.3">
      <c r="A65" t="s">
        <v>649</v>
      </c>
      <c r="B65" t="s">
        <v>716</v>
      </c>
      <c r="C65">
        <v>0</v>
      </c>
      <c r="D65">
        <v>10</v>
      </c>
      <c r="E65" s="18">
        <v>0</v>
      </c>
    </row>
  </sheetData>
  <sortState xmlns:xlrd2="http://schemas.microsoft.com/office/spreadsheetml/2017/richdata2" ref="A2:E65">
    <sortCondition descending="1" ref="E1:E6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B595-27E7-4057-AD3A-600BA6A6702E}">
  <dimension ref="A3:D4"/>
  <sheetViews>
    <sheetView workbookViewId="0">
      <selection activeCell="A5" sqref="A5"/>
    </sheetView>
  </sheetViews>
  <sheetFormatPr defaultRowHeight="16.5" x14ac:dyDescent="0.3"/>
  <cols>
    <col min="1" max="1" width="20.375" bestFit="1" customWidth="1"/>
    <col min="2" max="2" width="17.125" bestFit="1" customWidth="1"/>
    <col min="3" max="3" width="16.5" bestFit="1" customWidth="1"/>
    <col min="4" max="4" width="21.25" bestFit="1" customWidth="1"/>
    <col min="5" max="5" width="20.5" customWidth="1"/>
  </cols>
  <sheetData>
    <row r="3" spans="1:4" x14ac:dyDescent="0.3">
      <c r="A3" t="s">
        <v>1456</v>
      </c>
      <c r="B3" t="s">
        <v>1462</v>
      </c>
      <c r="C3" t="s">
        <v>1463</v>
      </c>
      <c r="D3" t="s">
        <v>1489</v>
      </c>
    </row>
    <row r="4" spans="1:4" x14ac:dyDescent="0.3">
      <c r="A4" s="8">
        <v>10945767.912949994</v>
      </c>
      <c r="B4" s="8">
        <v>3418020.2029499956</v>
      </c>
      <c r="C4" s="34">
        <v>632</v>
      </c>
      <c r="D4" s="12">
        <v>9252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FD41-E060-4430-89B1-444F71DC647E}">
  <dimension ref="A3:B32"/>
  <sheetViews>
    <sheetView workbookViewId="0">
      <selection activeCell="T11" sqref="T11"/>
    </sheetView>
  </sheetViews>
  <sheetFormatPr defaultRowHeight="16.5" x14ac:dyDescent="0.3"/>
  <cols>
    <col min="1" max="1" width="17" bestFit="1" customWidth="1"/>
    <col min="2" max="2" width="17.125" bestFit="1" customWidth="1"/>
  </cols>
  <sheetData>
    <row r="3" spans="1:2" x14ac:dyDescent="0.3">
      <c r="A3" s="15" t="s">
        <v>1437</v>
      </c>
      <c r="B3" t="s">
        <v>1462</v>
      </c>
    </row>
    <row r="4" spans="1:2" x14ac:dyDescent="0.3">
      <c r="A4" s="16" t="s">
        <v>647</v>
      </c>
      <c r="B4" s="8">
        <v>836246.70010000013</v>
      </c>
    </row>
    <row r="5" spans="1:2" x14ac:dyDescent="0.3">
      <c r="A5" s="17" t="s">
        <v>1423</v>
      </c>
      <c r="B5" s="8">
        <v>20547.545489999997</v>
      </c>
    </row>
    <row r="6" spans="1:2" x14ac:dyDescent="0.3">
      <c r="A6" s="17" t="s">
        <v>709</v>
      </c>
      <c r="B6" s="8">
        <v>132709.51273000002</v>
      </c>
    </row>
    <row r="7" spans="1:2" x14ac:dyDescent="0.3">
      <c r="A7" s="17" t="s">
        <v>708</v>
      </c>
      <c r="B7" s="8">
        <v>149042.38969000001</v>
      </c>
    </row>
    <row r="8" spans="1:2" x14ac:dyDescent="0.3">
      <c r="A8" s="17" t="s">
        <v>710</v>
      </c>
      <c r="B8" s="8">
        <v>151146.74599000008</v>
      </c>
    </row>
    <row r="9" spans="1:2" x14ac:dyDescent="0.3">
      <c r="A9" s="17" t="s">
        <v>707</v>
      </c>
      <c r="B9" s="8">
        <v>153258.55984000003</v>
      </c>
    </row>
    <row r="10" spans="1:2" x14ac:dyDescent="0.3">
      <c r="A10" s="17" t="s">
        <v>711</v>
      </c>
      <c r="B10" s="8">
        <v>229541.94636</v>
      </c>
    </row>
    <row r="11" spans="1:2" x14ac:dyDescent="0.3">
      <c r="A11" s="16" t="s">
        <v>646</v>
      </c>
      <c r="B11" s="8">
        <v>849158.8979000001</v>
      </c>
    </row>
    <row r="12" spans="1:2" x14ac:dyDescent="0.3">
      <c r="A12" s="17" t="s">
        <v>1423</v>
      </c>
      <c r="B12" s="8">
        <v>16237.344229999999</v>
      </c>
    </row>
    <row r="13" spans="1:2" x14ac:dyDescent="0.3">
      <c r="A13" s="17" t="s">
        <v>707</v>
      </c>
      <c r="B13" s="8">
        <v>141171.08466999995</v>
      </c>
    </row>
    <row r="14" spans="1:2" x14ac:dyDescent="0.3">
      <c r="A14" s="17" t="s">
        <v>708</v>
      </c>
      <c r="B14" s="8">
        <v>145453.94627000001</v>
      </c>
    </row>
    <row r="15" spans="1:2" x14ac:dyDescent="0.3">
      <c r="A15" s="17" t="s">
        <v>709</v>
      </c>
      <c r="B15" s="8">
        <v>164839.30456000002</v>
      </c>
    </row>
    <row r="16" spans="1:2" x14ac:dyDescent="0.3">
      <c r="A16" s="17" t="s">
        <v>711</v>
      </c>
      <c r="B16" s="8">
        <v>178727.35369999998</v>
      </c>
    </row>
    <row r="17" spans="1:2" x14ac:dyDescent="0.3">
      <c r="A17" s="17" t="s">
        <v>710</v>
      </c>
      <c r="B17" s="8">
        <v>202729.86446999997</v>
      </c>
    </row>
    <row r="18" spans="1:2" x14ac:dyDescent="0.3">
      <c r="A18" s="16" t="s">
        <v>648</v>
      </c>
      <c r="B18" s="8">
        <v>862778.94893999991</v>
      </c>
    </row>
    <row r="19" spans="1:2" x14ac:dyDescent="0.3">
      <c r="A19" s="17" t="s">
        <v>1423</v>
      </c>
      <c r="B19" s="8">
        <v>777.95999999999913</v>
      </c>
    </row>
    <row r="20" spans="1:2" x14ac:dyDescent="0.3">
      <c r="A20" s="17" t="s">
        <v>707</v>
      </c>
      <c r="B20" s="8">
        <v>69035.709219999975</v>
      </c>
    </row>
    <row r="21" spans="1:2" x14ac:dyDescent="0.3">
      <c r="A21" s="17" t="s">
        <v>709</v>
      </c>
      <c r="B21" s="8">
        <v>96609.647519999955</v>
      </c>
    </row>
    <row r="22" spans="1:2" x14ac:dyDescent="0.3">
      <c r="A22" s="17" t="s">
        <v>710</v>
      </c>
      <c r="B22" s="8">
        <v>175736.86192</v>
      </c>
    </row>
    <row r="23" spans="1:2" x14ac:dyDescent="0.3">
      <c r="A23" s="17" t="s">
        <v>711</v>
      </c>
      <c r="B23" s="8">
        <v>258674.92591000005</v>
      </c>
    </row>
    <row r="24" spans="1:2" x14ac:dyDescent="0.3">
      <c r="A24" s="17" t="s">
        <v>708</v>
      </c>
      <c r="B24" s="8">
        <v>261943.84436999998</v>
      </c>
    </row>
    <row r="25" spans="1:2" x14ac:dyDescent="0.3">
      <c r="A25" s="16" t="s">
        <v>649</v>
      </c>
      <c r="B25" s="8">
        <v>869835.6560099998</v>
      </c>
    </row>
    <row r="26" spans="1:2" x14ac:dyDescent="0.3">
      <c r="A26" s="17" t="s">
        <v>1423</v>
      </c>
      <c r="B26" s="8">
        <v>8028.7064599999994</v>
      </c>
    </row>
    <row r="27" spans="1:2" x14ac:dyDescent="0.3">
      <c r="A27" s="17" t="s">
        <v>710</v>
      </c>
      <c r="B27" s="8">
        <v>105550.85219999996</v>
      </c>
    </row>
    <row r="28" spans="1:2" x14ac:dyDescent="0.3">
      <c r="A28" s="17" t="s">
        <v>709</v>
      </c>
      <c r="B28" s="8">
        <v>111692.81025000002</v>
      </c>
    </row>
    <row r="29" spans="1:2" x14ac:dyDescent="0.3">
      <c r="A29" s="17" t="s">
        <v>707</v>
      </c>
      <c r="B29" s="8">
        <v>151779.17228999996</v>
      </c>
    </row>
    <row r="30" spans="1:2" x14ac:dyDescent="0.3">
      <c r="A30" s="17" t="s">
        <v>708</v>
      </c>
      <c r="B30" s="8">
        <v>200067.16277</v>
      </c>
    </row>
    <row r="31" spans="1:2" x14ac:dyDescent="0.3">
      <c r="A31" s="17" t="s">
        <v>711</v>
      </c>
      <c r="B31" s="8">
        <v>292716.95203999995</v>
      </c>
    </row>
    <row r="32" spans="1:2" x14ac:dyDescent="0.3">
      <c r="A32" s="16" t="s">
        <v>1438</v>
      </c>
      <c r="B32" s="8">
        <v>3418020.2029500008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9BA5-BD73-4473-B0D4-35C722EE9484}">
  <dimension ref="A3:B14"/>
  <sheetViews>
    <sheetView workbookViewId="0">
      <selection activeCell="B3" sqref="B3"/>
    </sheetView>
  </sheetViews>
  <sheetFormatPr defaultRowHeight="16.5" x14ac:dyDescent="0.3"/>
  <cols>
    <col min="1" max="1" width="13.125" bestFit="1" customWidth="1"/>
    <col min="2" max="2" width="20.375" bestFit="1" customWidth="1"/>
  </cols>
  <sheetData>
    <row r="3" spans="1:2" x14ac:dyDescent="0.3">
      <c r="A3" s="15" t="s">
        <v>1437</v>
      </c>
      <c r="B3" t="s">
        <v>1456</v>
      </c>
    </row>
    <row r="4" spans="1:2" x14ac:dyDescent="0.3">
      <c r="A4" s="16" t="s">
        <v>971</v>
      </c>
      <c r="B4" s="8">
        <v>139277.83032000001</v>
      </c>
    </row>
    <row r="5" spans="1:2" x14ac:dyDescent="0.3">
      <c r="A5" s="16" t="s">
        <v>781</v>
      </c>
      <c r="B5" s="8">
        <v>109244</v>
      </c>
    </row>
    <row r="6" spans="1:2" x14ac:dyDescent="0.3">
      <c r="A6" s="16" t="s">
        <v>1155</v>
      </c>
      <c r="B6" s="8">
        <v>102122.94203999999</v>
      </c>
    </row>
    <row r="7" spans="1:2" x14ac:dyDescent="0.3">
      <c r="A7" s="16" t="s">
        <v>909</v>
      </c>
      <c r="B7" s="8">
        <v>92715.25</v>
      </c>
    </row>
    <row r="8" spans="1:2" x14ac:dyDescent="0.3">
      <c r="A8" s="16" t="s">
        <v>874</v>
      </c>
      <c r="B8" s="8">
        <v>87404.929919999995</v>
      </c>
    </row>
    <row r="9" spans="1:2" x14ac:dyDescent="0.3">
      <c r="A9" s="16" t="s">
        <v>899</v>
      </c>
      <c r="B9" s="8">
        <v>85637.740319999997</v>
      </c>
    </row>
    <row r="10" spans="1:2" x14ac:dyDescent="0.3">
      <c r="A10" s="16" t="s">
        <v>1198</v>
      </c>
      <c r="B10" s="8">
        <v>84136.119600000005</v>
      </c>
    </row>
    <row r="11" spans="1:2" x14ac:dyDescent="0.3">
      <c r="A11" s="16" t="s">
        <v>1096</v>
      </c>
      <c r="B11" s="8">
        <v>82514.711519999997</v>
      </c>
    </row>
    <row r="12" spans="1:2" x14ac:dyDescent="0.3">
      <c r="A12" s="16" t="s">
        <v>1345</v>
      </c>
      <c r="B12" s="8">
        <v>82141.339799999987</v>
      </c>
    </row>
    <row r="13" spans="1:2" x14ac:dyDescent="0.3">
      <c r="A13" s="16" t="s">
        <v>1010</v>
      </c>
      <c r="B13" s="8">
        <v>79548.755999999994</v>
      </c>
    </row>
    <row r="14" spans="1:2" x14ac:dyDescent="0.3">
      <c r="A14" s="16" t="s">
        <v>1438</v>
      </c>
      <c r="B14" s="8">
        <v>944743.61951999995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140AB-B68A-4DED-86DC-5DB78AAFB843}">
  <dimension ref="A3:B20"/>
  <sheetViews>
    <sheetView workbookViewId="0">
      <selection activeCell="A3" sqref="A3:B20"/>
    </sheetView>
  </sheetViews>
  <sheetFormatPr defaultRowHeight="16.5" x14ac:dyDescent="0.3"/>
  <cols>
    <col min="1" max="1" width="13.125" bestFit="1" customWidth="1"/>
    <col min="2" max="2" width="29.625" bestFit="1" customWidth="1"/>
  </cols>
  <sheetData>
    <row r="3" spans="1:2" x14ac:dyDescent="0.3">
      <c r="A3" s="15" t="s">
        <v>1437</v>
      </c>
      <c r="B3" t="s">
        <v>1490</v>
      </c>
    </row>
    <row r="4" spans="1:2" x14ac:dyDescent="0.3">
      <c r="A4" s="16" t="s">
        <v>720</v>
      </c>
      <c r="B4" s="10">
        <v>0.1288478260869565</v>
      </c>
    </row>
    <row r="5" spans="1:2" x14ac:dyDescent="0.3">
      <c r="A5" s="16" t="s">
        <v>717</v>
      </c>
      <c r="B5" s="10">
        <v>0.10962500000000003</v>
      </c>
    </row>
    <row r="6" spans="1:2" x14ac:dyDescent="0.3">
      <c r="A6" s="16" t="s">
        <v>712</v>
      </c>
      <c r="B6" s="10">
        <v>0.1301891891891892</v>
      </c>
    </row>
    <row r="7" spans="1:2" x14ac:dyDescent="0.3">
      <c r="A7" s="16" t="s">
        <v>726</v>
      </c>
      <c r="B7" s="10">
        <v>0.12636842105263155</v>
      </c>
    </row>
    <row r="8" spans="1:2" x14ac:dyDescent="0.3">
      <c r="A8" s="16" t="s">
        <v>718</v>
      </c>
      <c r="B8" s="10">
        <v>0.10520588235294115</v>
      </c>
    </row>
    <row r="9" spans="1:2" x14ac:dyDescent="0.3">
      <c r="A9" s="16" t="s">
        <v>721</v>
      </c>
      <c r="B9" s="10">
        <v>0.10013725490196082</v>
      </c>
    </row>
    <row r="10" spans="1:2" x14ac:dyDescent="0.3">
      <c r="A10" s="16" t="s">
        <v>715</v>
      </c>
      <c r="B10" s="10">
        <v>0.11720000000000001</v>
      </c>
    </row>
    <row r="11" spans="1:2" x14ac:dyDescent="0.3">
      <c r="A11" s="16" t="s">
        <v>722</v>
      </c>
      <c r="B11" s="10">
        <v>0.129</v>
      </c>
    </row>
    <row r="12" spans="1:2" x14ac:dyDescent="0.3">
      <c r="A12" s="16" t="s">
        <v>714</v>
      </c>
      <c r="B12" s="10">
        <v>0.13473684210526318</v>
      </c>
    </row>
    <row r="13" spans="1:2" x14ac:dyDescent="0.3">
      <c r="A13" s="16" t="s">
        <v>713</v>
      </c>
      <c r="B13" s="10">
        <v>0.11720000000000003</v>
      </c>
    </row>
    <row r="14" spans="1:2" x14ac:dyDescent="0.3">
      <c r="A14" s="16" t="s">
        <v>723</v>
      </c>
      <c r="B14" s="10">
        <v>0.11824999999999998</v>
      </c>
    </row>
    <row r="15" spans="1:2" x14ac:dyDescent="0.3">
      <c r="A15" s="16" t="s">
        <v>716</v>
      </c>
      <c r="B15" s="10">
        <v>0.12458695652173911</v>
      </c>
    </row>
    <row r="16" spans="1:2" x14ac:dyDescent="0.3">
      <c r="A16" s="16" t="s">
        <v>724</v>
      </c>
      <c r="B16" s="10">
        <v>0.122375</v>
      </c>
    </row>
    <row r="17" spans="1:2" x14ac:dyDescent="0.3">
      <c r="A17" s="16" t="s">
        <v>725</v>
      </c>
      <c r="B17" s="10">
        <v>0.11159374999999998</v>
      </c>
    </row>
    <row r="18" spans="1:2" x14ac:dyDescent="0.3">
      <c r="A18" s="16" t="s">
        <v>719</v>
      </c>
      <c r="B18" s="10">
        <v>0.1293513513513514</v>
      </c>
    </row>
    <row r="19" spans="1:2" x14ac:dyDescent="0.3">
      <c r="A19" s="16" t="s">
        <v>1424</v>
      </c>
      <c r="B19" s="10">
        <v>0.15949999999999998</v>
      </c>
    </row>
    <row r="20" spans="1:2" x14ac:dyDescent="0.3">
      <c r="A20" s="16" t="s">
        <v>1438</v>
      </c>
      <c r="B20" s="10">
        <v>0.12062341772151894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45FE7-FFFF-45F4-98F2-EA72FD20C4DA}">
  <dimension ref="A1:B17"/>
  <sheetViews>
    <sheetView workbookViewId="0">
      <selection activeCell="P16" sqref="P16"/>
    </sheetView>
  </sheetViews>
  <sheetFormatPr defaultRowHeight="16.5" x14ac:dyDescent="0.3"/>
  <cols>
    <col min="1" max="1" width="11" customWidth="1"/>
    <col min="2" max="2" width="27.875" customWidth="1"/>
  </cols>
  <sheetData>
    <row r="1" spans="1:2" x14ac:dyDescent="0.3">
      <c r="A1" t="s">
        <v>1437</v>
      </c>
      <c r="B1" t="s">
        <v>1490</v>
      </c>
    </row>
    <row r="2" spans="1:2" x14ac:dyDescent="0.3">
      <c r="A2" t="s">
        <v>720</v>
      </c>
      <c r="B2" s="18">
        <v>0.1288478260869565</v>
      </c>
    </row>
    <row r="3" spans="1:2" x14ac:dyDescent="0.3">
      <c r="A3" t="s">
        <v>717</v>
      </c>
      <c r="B3" s="18">
        <v>0.10962500000000003</v>
      </c>
    </row>
    <row r="4" spans="1:2" x14ac:dyDescent="0.3">
      <c r="A4" t="s">
        <v>712</v>
      </c>
      <c r="B4" s="18">
        <v>0.1301891891891892</v>
      </c>
    </row>
    <row r="5" spans="1:2" x14ac:dyDescent="0.3">
      <c r="A5" t="s">
        <v>726</v>
      </c>
      <c r="B5" s="18">
        <v>0.12636842105263155</v>
      </c>
    </row>
    <row r="6" spans="1:2" x14ac:dyDescent="0.3">
      <c r="A6" t="s">
        <v>718</v>
      </c>
      <c r="B6" s="18">
        <v>0.10520588235294115</v>
      </c>
    </row>
    <row r="7" spans="1:2" x14ac:dyDescent="0.3">
      <c r="A7" t="s">
        <v>721</v>
      </c>
      <c r="B7" s="18">
        <v>0.10013725490196082</v>
      </c>
    </row>
    <row r="8" spans="1:2" x14ac:dyDescent="0.3">
      <c r="A8" t="s">
        <v>715</v>
      </c>
      <c r="B8" s="18">
        <v>0.11720000000000001</v>
      </c>
    </row>
    <row r="9" spans="1:2" x14ac:dyDescent="0.3">
      <c r="A9" t="s">
        <v>722</v>
      </c>
      <c r="B9" s="18">
        <v>0.129</v>
      </c>
    </row>
    <row r="10" spans="1:2" x14ac:dyDescent="0.3">
      <c r="A10" t="s">
        <v>714</v>
      </c>
      <c r="B10" s="18">
        <v>0.13473684210526318</v>
      </c>
    </row>
    <row r="11" spans="1:2" x14ac:dyDescent="0.3">
      <c r="A11" t="s">
        <v>713</v>
      </c>
      <c r="B11" s="18">
        <v>0.11720000000000003</v>
      </c>
    </row>
    <row r="12" spans="1:2" x14ac:dyDescent="0.3">
      <c r="A12" t="s">
        <v>723</v>
      </c>
      <c r="B12" s="18">
        <v>0.11824999999999998</v>
      </c>
    </row>
    <row r="13" spans="1:2" x14ac:dyDescent="0.3">
      <c r="A13" t="s">
        <v>716</v>
      </c>
      <c r="B13" s="18">
        <v>0.12458695652173911</v>
      </c>
    </row>
    <row r="14" spans="1:2" x14ac:dyDescent="0.3">
      <c r="A14" t="s">
        <v>724</v>
      </c>
      <c r="B14" s="18">
        <v>0.122375</v>
      </c>
    </row>
    <row r="15" spans="1:2" x14ac:dyDescent="0.3">
      <c r="A15" t="s">
        <v>725</v>
      </c>
      <c r="B15" s="18">
        <v>0.11159374999999998</v>
      </c>
    </row>
    <row r="16" spans="1:2" x14ac:dyDescent="0.3">
      <c r="A16" t="s">
        <v>719</v>
      </c>
      <c r="B16" s="18">
        <v>0.1293513513513514</v>
      </c>
    </row>
    <row r="17" spans="1:2" x14ac:dyDescent="0.3">
      <c r="A17" t="s">
        <v>1424</v>
      </c>
      <c r="B17" s="18">
        <v>0.15949999999999998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E30C-70E6-4E84-88E0-A62CA483846C}">
  <dimension ref="A3:D16"/>
  <sheetViews>
    <sheetView workbookViewId="0">
      <selection activeCell="D9" sqref="D9"/>
    </sheetView>
  </sheetViews>
  <sheetFormatPr defaultRowHeight="16.5" x14ac:dyDescent="0.3"/>
  <cols>
    <col min="1" max="1" width="20.25" customWidth="1"/>
    <col min="2" max="2" width="16.25" customWidth="1"/>
    <col min="3" max="5" width="13.375" customWidth="1"/>
    <col min="6" max="6" width="15.875" customWidth="1"/>
  </cols>
  <sheetData>
    <row r="3" spans="1:4" x14ac:dyDescent="0.3">
      <c r="A3" s="15" t="s">
        <v>1456</v>
      </c>
      <c r="B3" s="15" t="s">
        <v>1442</v>
      </c>
    </row>
    <row r="4" spans="1:4" x14ac:dyDescent="0.3">
      <c r="A4" s="15" t="s">
        <v>1437</v>
      </c>
      <c r="B4" t="s">
        <v>1439</v>
      </c>
      <c r="C4" t="s">
        <v>1440</v>
      </c>
      <c r="D4" t="s">
        <v>1441</v>
      </c>
    </row>
    <row r="5" spans="1:4" x14ac:dyDescent="0.3">
      <c r="A5" s="16" t="s">
        <v>1443</v>
      </c>
      <c r="B5" s="8">
        <v>178642.73715</v>
      </c>
      <c r="C5" s="8">
        <v>299100.37307999999</v>
      </c>
      <c r="D5" s="8">
        <v>223498.20031999997</v>
      </c>
    </row>
    <row r="6" spans="1:4" x14ac:dyDescent="0.3">
      <c r="A6" s="16" t="s">
        <v>1444</v>
      </c>
      <c r="B6" s="8">
        <v>433788.64049000002</v>
      </c>
      <c r="C6" s="8">
        <v>307793.71461999993</v>
      </c>
      <c r="D6" s="8">
        <v>221608.49787000002</v>
      </c>
    </row>
    <row r="7" spans="1:4" x14ac:dyDescent="0.3">
      <c r="A7" s="16" t="s">
        <v>1445</v>
      </c>
      <c r="B7" s="8">
        <v>215576.67438000001</v>
      </c>
      <c r="C7" s="8">
        <v>374300.10980999999</v>
      </c>
      <c r="D7" s="8">
        <v>209425.98853999999</v>
      </c>
    </row>
    <row r="8" spans="1:4" x14ac:dyDescent="0.3">
      <c r="A8" s="16" t="s">
        <v>1446</v>
      </c>
      <c r="B8" s="8">
        <v>371604.58274000004</v>
      </c>
      <c r="C8" s="8">
        <v>239506.82714000001</v>
      </c>
      <c r="D8" s="8">
        <v>336135.16749999998</v>
      </c>
    </row>
    <row r="9" spans="1:4" x14ac:dyDescent="0.3">
      <c r="A9" s="16" t="s">
        <v>1447</v>
      </c>
      <c r="B9" s="8">
        <v>470192.17181999987</v>
      </c>
      <c r="C9" s="8">
        <v>416985.76566999994</v>
      </c>
      <c r="D9" s="8">
        <v>375723.96025999996</v>
      </c>
    </row>
    <row r="10" spans="1:4" x14ac:dyDescent="0.3">
      <c r="A10" s="16" t="s">
        <v>1448</v>
      </c>
      <c r="B10" s="8">
        <v>236474.06156999996</v>
      </c>
      <c r="C10" s="8">
        <v>634490.72337999998</v>
      </c>
      <c r="D10" s="8">
        <v>382009.37596000021</v>
      </c>
    </row>
    <row r="11" spans="1:4" x14ac:dyDescent="0.3">
      <c r="A11" s="16" t="s">
        <v>1449</v>
      </c>
      <c r="B11" s="8">
        <v>560860.55604000005</v>
      </c>
      <c r="C11" s="8">
        <v>275628.61962999997</v>
      </c>
      <c r="D11" s="8">
        <v>486970.83347999997</v>
      </c>
    </row>
    <row r="12" spans="1:4" x14ac:dyDescent="0.3">
      <c r="A12" s="16" t="s">
        <v>1450</v>
      </c>
      <c r="B12" s="8">
        <v>339044.67039000004</v>
      </c>
      <c r="C12" s="8">
        <v>384156.19038000004</v>
      </c>
      <c r="D12" s="8">
        <v>366808.72249999986</v>
      </c>
    </row>
    <row r="13" spans="1:4" x14ac:dyDescent="0.3">
      <c r="A13" s="16" t="s">
        <v>1451</v>
      </c>
      <c r="B13" s="8">
        <v>141266.51419000002</v>
      </c>
      <c r="C13" s="8">
        <v>347613.18767000001</v>
      </c>
      <c r="D13" s="8">
        <v>172279.72759999998</v>
      </c>
    </row>
    <row r="14" spans="1:4" x14ac:dyDescent="0.3">
      <c r="A14" s="16" t="s">
        <v>1452</v>
      </c>
      <c r="B14" s="8">
        <v>246114.84045000002</v>
      </c>
      <c r="C14" s="8">
        <v>417732.48301000008</v>
      </c>
      <c r="D14" s="8"/>
    </row>
    <row r="15" spans="1:4" x14ac:dyDescent="0.3">
      <c r="A15" s="16" t="s">
        <v>1453</v>
      </c>
      <c r="B15" s="8">
        <v>127009.50580000001</v>
      </c>
      <c r="C15" s="8">
        <v>416944.18554999994</v>
      </c>
      <c r="D15" s="8"/>
    </row>
    <row r="16" spans="1:4" x14ac:dyDescent="0.3">
      <c r="A16" s="16" t="s">
        <v>1454</v>
      </c>
      <c r="B16" s="8">
        <v>382101.3667999999</v>
      </c>
      <c r="C16" s="8">
        <v>354378.93716000015</v>
      </c>
      <c r="D16" s="8"/>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817B-9182-4971-8E65-581C6FCB9A03}">
  <dimension ref="A1:B93"/>
  <sheetViews>
    <sheetView workbookViewId="0">
      <selection activeCell="B93" sqref="B93"/>
    </sheetView>
  </sheetViews>
  <sheetFormatPr defaultRowHeight="16.5" x14ac:dyDescent="0.3"/>
  <cols>
    <col min="1" max="1" width="17.5" bestFit="1" customWidth="1"/>
    <col min="2" max="2" width="16.875" bestFit="1" customWidth="1"/>
  </cols>
  <sheetData>
    <row r="1" spans="1:2" x14ac:dyDescent="0.3">
      <c r="A1" s="15" t="s">
        <v>1428</v>
      </c>
      <c r="B1" t="s">
        <v>1464</v>
      </c>
    </row>
    <row r="3" spans="1:2" x14ac:dyDescent="0.3">
      <c r="A3" s="15" t="s">
        <v>1437</v>
      </c>
      <c r="B3" t="s">
        <v>1463</v>
      </c>
    </row>
    <row r="4" spans="1:2" x14ac:dyDescent="0.3">
      <c r="A4" s="16" t="s">
        <v>655</v>
      </c>
      <c r="B4" s="10">
        <v>0.10465116279069768</v>
      </c>
    </row>
    <row r="5" spans="1:2" x14ac:dyDescent="0.3">
      <c r="A5" s="17" t="s">
        <v>733</v>
      </c>
      <c r="B5" s="10">
        <v>2.3255813953488372E-2</v>
      </c>
    </row>
    <row r="6" spans="1:2" x14ac:dyDescent="0.3">
      <c r="A6" s="17" t="s">
        <v>727</v>
      </c>
      <c r="B6" s="10">
        <v>5.8139534883720929E-3</v>
      </c>
    </row>
    <row r="7" spans="1:2" x14ac:dyDescent="0.3">
      <c r="A7" s="17" t="s">
        <v>731</v>
      </c>
      <c r="B7" s="10">
        <v>5.8139534883720929E-3</v>
      </c>
    </row>
    <row r="8" spans="1:2" x14ac:dyDescent="0.3">
      <c r="A8" s="17" t="s">
        <v>732</v>
      </c>
      <c r="B8" s="10">
        <v>1.7441860465116279E-2</v>
      </c>
    </row>
    <row r="9" spans="1:2" x14ac:dyDescent="0.3">
      <c r="A9" s="17" t="s">
        <v>729</v>
      </c>
      <c r="B9" s="10">
        <v>1.1627906976744186E-2</v>
      </c>
    </row>
    <row r="10" spans="1:2" x14ac:dyDescent="0.3">
      <c r="A10" s="17" t="s">
        <v>730</v>
      </c>
      <c r="B10" s="10">
        <v>2.9069767441860465E-2</v>
      </c>
    </row>
    <row r="11" spans="1:2" x14ac:dyDescent="0.3">
      <c r="A11" s="17" t="s">
        <v>728</v>
      </c>
      <c r="B11" s="10">
        <v>1.1627906976744186E-2</v>
      </c>
    </row>
    <row r="12" spans="1:2" x14ac:dyDescent="0.3">
      <c r="A12" s="16" t="s">
        <v>653</v>
      </c>
      <c r="B12" s="10">
        <v>5.232558139534884E-2</v>
      </c>
    </row>
    <row r="13" spans="1:2" x14ac:dyDescent="0.3">
      <c r="A13" s="17" t="s">
        <v>733</v>
      </c>
      <c r="B13" s="10">
        <v>1.1627906976744186E-2</v>
      </c>
    </row>
    <row r="14" spans="1:2" x14ac:dyDescent="0.3">
      <c r="A14" s="17" t="s">
        <v>727</v>
      </c>
      <c r="B14" s="10">
        <v>1.7441860465116279E-2</v>
      </c>
    </row>
    <row r="15" spans="1:2" x14ac:dyDescent="0.3">
      <c r="A15" s="17" t="s">
        <v>731</v>
      </c>
      <c r="B15" s="10">
        <v>1.1627906976744186E-2</v>
      </c>
    </row>
    <row r="16" spans="1:2" x14ac:dyDescent="0.3">
      <c r="A16" s="17" t="s">
        <v>728</v>
      </c>
      <c r="B16" s="10">
        <v>1.1627906976744186E-2</v>
      </c>
    </row>
    <row r="17" spans="1:2" x14ac:dyDescent="0.3">
      <c r="A17" s="16" t="s">
        <v>659</v>
      </c>
      <c r="B17" s="10">
        <v>5.8139534883720929E-2</v>
      </c>
    </row>
    <row r="18" spans="1:2" x14ac:dyDescent="0.3">
      <c r="A18" s="17" t="s">
        <v>733</v>
      </c>
      <c r="B18" s="10">
        <v>1.7441860465116279E-2</v>
      </c>
    </row>
    <row r="19" spans="1:2" x14ac:dyDescent="0.3">
      <c r="A19" s="17" t="s">
        <v>731</v>
      </c>
      <c r="B19" s="10">
        <v>5.8139534883720929E-3</v>
      </c>
    </row>
    <row r="20" spans="1:2" x14ac:dyDescent="0.3">
      <c r="A20" s="17" t="s">
        <v>732</v>
      </c>
      <c r="B20" s="10">
        <v>5.8139534883720929E-3</v>
      </c>
    </row>
    <row r="21" spans="1:2" x14ac:dyDescent="0.3">
      <c r="A21" s="17" t="s">
        <v>729</v>
      </c>
      <c r="B21" s="10">
        <v>2.3255813953488372E-2</v>
      </c>
    </row>
    <row r="22" spans="1:2" x14ac:dyDescent="0.3">
      <c r="A22" s="17" t="s">
        <v>730</v>
      </c>
      <c r="B22" s="10">
        <v>5.8139534883720929E-3</v>
      </c>
    </row>
    <row r="23" spans="1:2" x14ac:dyDescent="0.3">
      <c r="A23" s="16" t="s">
        <v>657</v>
      </c>
      <c r="B23" s="10">
        <v>7.5581395348837205E-2</v>
      </c>
    </row>
    <row r="24" spans="1:2" x14ac:dyDescent="0.3">
      <c r="A24" s="17" t="s">
        <v>733</v>
      </c>
      <c r="B24" s="10">
        <v>5.8139534883720929E-3</v>
      </c>
    </row>
    <row r="25" spans="1:2" x14ac:dyDescent="0.3">
      <c r="A25" s="17" t="s">
        <v>727</v>
      </c>
      <c r="B25" s="10">
        <v>1.7441860465116279E-2</v>
      </c>
    </row>
    <row r="26" spans="1:2" x14ac:dyDescent="0.3">
      <c r="A26" s="17" t="s">
        <v>731</v>
      </c>
      <c r="B26" s="10">
        <v>1.1627906976744186E-2</v>
      </c>
    </row>
    <row r="27" spans="1:2" x14ac:dyDescent="0.3">
      <c r="A27" s="17" t="s">
        <v>732</v>
      </c>
      <c r="B27" s="10">
        <v>1.7441860465116279E-2</v>
      </c>
    </row>
    <row r="28" spans="1:2" x14ac:dyDescent="0.3">
      <c r="A28" s="17" t="s">
        <v>729</v>
      </c>
      <c r="B28" s="10">
        <v>1.1627906976744186E-2</v>
      </c>
    </row>
    <row r="29" spans="1:2" x14ac:dyDescent="0.3">
      <c r="A29" s="17" t="s">
        <v>728</v>
      </c>
      <c r="B29" s="10">
        <v>1.1627906976744186E-2</v>
      </c>
    </row>
    <row r="30" spans="1:2" x14ac:dyDescent="0.3">
      <c r="A30" s="16" t="s">
        <v>656</v>
      </c>
      <c r="B30" s="10">
        <v>6.9767441860465115E-2</v>
      </c>
    </row>
    <row r="31" spans="1:2" x14ac:dyDescent="0.3">
      <c r="A31" s="17" t="s">
        <v>733</v>
      </c>
      <c r="B31" s="10">
        <v>2.3255813953488372E-2</v>
      </c>
    </row>
    <row r="32" spans="1:2" x14ac:dyDescent="0.3">
      <c r="A32" s="17" t="s">
        <v>727</v>
      </c>
      <c r="B32" s="10">
        <v>1.1627906976744186E-2</v>
      </c>
    </row>
    <row r="33" spans="1:2" x14ac:dyDescent="0.3">
      <c r="A33" s="17" t="s">
        <v>731</v>
      </c>
      <c r="B33" s="10">
        <v>1.1627906976744186E-2</v>
      </c>
    </row>
    <row r="34" spans="1:2" x14ac:dyDescent="0.3">
      <c r="A34" s="17" t="s">
        <v>732</v>
      </c>
      <c r="B34" s="10">
        <v>5.8139534883720929E-3</v>
      </c>
    </row>
    <row r="35" spans="1:2" x14ac:dyDescent="0.3">
      <c r="A35" s="17" t="s">
        <v>729</v>
      </c>
      <c r="B35" s="10">
        <v>5.8139534883720929E-3</v>
      </c>
    </row>
    <row r="36" spans="1:2" x14ac:dyDescent="0.3">
      <c r="A36" s="17" t="s">
        <v>730</v>
      </c>
      <c r="B36" s="10">
        <v>5.8139534883720929E-3</v>
      </c>
    </row>
    <row r="37" spans="1:2" x14ac:dyDescent="0.3">
      <c r="A37" s="17" t="s">
        <v>728</v>
      </c>
      <c r="B37" s="10">
        <v>5.8139534883720929E-3</v>
      </c>
    </row>
    <row r="38" spans="1:2" x14ac:dyDescent="0.3">
      <c r="A38" s="16" t="s">
        <v>654</v>
      </c>
      <c r="B38" s="10">
        <v>6.9767441860465115E-2</v>
      </c>
    </row>
    <row r="39" spans="1:2" x14ac:dyDescent="0.3">
      <c r="A39" s="17" t="s">
        <v>733</v>
      </c>
      <c r="B39" s="10">
        <v>1.1627906976744186E-2</v>
      </c>
    </row>
    <row r="40" spans="1:2" x14ac:dyDescent="0.3">
      <c r="A40" s="17" t="s">
        <v>727</v>
      </c>
      <c r="B40" s="10">
        <v>1.1627906976744186E-2</v>
      </c>
    </row>
    <row r="41" spans="1:2" x14ac:dyDescent="0.3">
      <c r="A41" s="17" t="s">
        <v>731</v>
      </c>
      <c r="B41" s="10">
        <v>5.8139534883720929E-3</v>
      </c>
    </row>
    <row r="42" spans="1:2" x14ac:dyDescent="0.3">
      <c r="A42" s="17" t="s">
        <v>732</v>
      </c>
      <c r="B42" s="10">
        <v>1.1627906976744186E-2</v>
      </c>
    </row>
    <row r="43" spans="1:2" x14ac:dyDescent="0.3">
      <c r="A43" s="17" t="s">
        <v>729</v>
      </c>
      <c r="B43" s="10">
        <v>5.8139534883720929E-3</v>
      </c>
    </row>
    <row r="44" spans="1:2" x14ac:dyDescent="0.3">
      <c r="A44" s="17" t="s">
        <v>730</v>
      </c>
      <c r="B44" s="10">
        <v>1.1627906976744186E-2</v>
      </c>
    </row>
    <row r="45" spans="1:2" x14ac:dyDescent="0.3">
      <c r="A45" s="17" t="s">
        <v>728</v>
      </c>
      <c r="B45" s="10">
        <v>1.1627906976744186E-2</v>
      </c>
    </row>
    <row r="46" spans="1:2" x14ac:dyDescent="0.3">
      <c r="A46" s="16" t="s">
        <v>652</v>
      </c>
      <c r="B46" s="10">
        <v>8.1395348837209308E-2</v>
      </c>
    </row>
    <row r="47" spans="1:2" x14ac:dyDescent="0.3">
      <c r="A47" s="17" t="s">
        <v>733</v>
      </c>
      <c r="B47" s="10">
        <v>5.8139534883720929E-3</v>
      </c>
    </row>
    <row r="48" spans="1:2" x14ac:dyDescent="0.3">
      <c r="A48" s="17" t="s">
        <v>727</v>
      </c>
      <c r="B48" s="10">
        <v>1.7441860465116279E-2</v>
      </c>
    </row>
    <row r="49" spans="1:2" x14ac:dyDescent="0.3">
      <c r="A49" s="17" t="s">
        <v>731</v>
      </c>
      <c r="B49" s="10">
        <v>1.7441860465116279E-2</v>
      </c>
    </row>
    <row r="50" spans="1:2" x14ac:dyDescent="0.3">
      <c r="A50" s="17" t="s">
        <v>732</v>
      </c>
      <c r="B50" s="10">
        <v>1.1627906976744186E-2</v>
      </c>
    </row>
    <row r="51" spans="1:2" x14ac:dyDescent="0.3">
      <c r="A51" s="17" t="s">
        <v>729</v>
      </c>
      <c r="B51" s="10">
        <v>5.8139534883720929E-3</v>
      </c>
    </row>
    <row r="52" spans="1:2" x14ac:dyDescent="0.3">
      <c r="A52" s="17" t="s">
        <v>730</v>
      </c>
      <c r="B52" s="10">
        <v>5.8139534883720929E-3</v>
      </c>
    </row>
    <row r="53" spans="1:2" x14ac:dyDescent="0.3">
      <c r="A53" s="17" t="s">
        <v>728</v>
      </c>
      <c r="B53" s="10">
        <v>1.7441860465116279E-2</v>
      </c>
    </row>
    <row r="54" spans="1:2" x14ac:dyDescent="0.3">
      <c r="A54" s="16" t="s">
        <v>650</v>
      </c>
      <c r="B54" s="10">
        <v>9.8837209302325577E-2</v>
      </c>
    </row>
    <row r="55" spans="1:2" x14ac:dyDescent="0.3">
      <c r="A55" s="17" t="s">
        <v>733</v>
      </c>
      <c r="B55" s="10">
        <v>2.3255813953488372E-2</v>
      </c>
    </row>
    <row r="56" spans="1:2" x14ac:dyDescent="0.3">
      <c r="A56" s="17" t="s">
        <v>727</v>
      </c>
      <c r="B56" s="10">
        <v>5.8139534883720929E-3</v>
      </c>
    </row>
    <row r="57" spans="1:2" x14ac:dyDescent="0.3">
      <c r="A57" s="17" t="s">
        <v>731</v>
      </c>
      <c r="B57" s="10">
        <v>4.0697674418604654E-2</v>
      </c>
    </row>
    <row r="58" spans="1:2" x14ac:dyDescent="0.3">
      <c r="A58" s="17" t="s">
        <v>729</v>
      </c>
      <c r="B58" s="10">
        <v>1.1627906976744186E-2</v>
      </c>
    </row>
    <row r="59" spans="1:2" x14ac:dyDescent="0.3">
      <c r="A59" s="17" t="s">
        <v>730</v>
      </c>
      <c r="B59" s="10">
        <v>1.1627906976744186E-2</v>
      </c>
    </row>
    <row r="60" spans="1:2" x14ac:dyDescent="0.3">
      <c r="A60" s="17" t="s">
        <v>728</v>
      </c>
      <c r="B60" s="10">
        <v>5.8139534883720929E-3</v>
      </c>
    </row>
    <row r="61" spans="1:2" x14ac:dyDescent="0.3">
      <c r="A61" s="16" t="s">
        <v>651</v>
      </c>
      <c r="B61" s="10">
        <v>0.11046511627906977</v>
      </c>
    </row>
    <row r="62" spans="1:2" x14ac:dyDescent="0.3">
      <c r="A62" s="17" t="s">
        <v>733</v>
      </c>
      <c r="B62" s="10">
        <v>3.4883720930232558E-2</v>
      </c>
    </row>
    <row r="63" spans="1:2" x14ac:dyDescent="0.3">
      <c r="A63" s="17" t="s">
        <v>727</v>
      </c>
      <c r="B63" s="10">
        <v>1.1627906976744186E-2</v>
      </c>
    </row>
    <row r="64" spans="1:2" x14ac:dyDescent="0.3">
      <c r="A64" s="17" t="s">
        <v>731</v>
      </c>
      <c r="B64" s="10">
        <v>1.7441860465116279E-2</v>
      </c>
    </row>
    <row r="65" spans="1:2" x14ac:dyDescent="0.3">
      <c r="A65" s="17" t="s">
        <v>732</v>
      </c>
      <c r="B65" s="10">
        <v>1.7441860465116279E-2</v>
      </c>
    </row>
    <row r="66" spans="1:2" x14ac:dyDescent="0.3">
      <c r="A66" s="17" t="s">
        <v>729</v>
      </c>
      <c r="B66" s="10">
        <v>5.8139534883720929E-3</v>
      </c>
    </row>
    <row r="67" spans="1:2" x14ac:dyDescent="0.3">
      <c r="A67" s="17" t="s">
        <v>730</v>
      </c>
      <c r="B67" s="10">
        <v>5.8139534883720929E-3</v>
      </c>
    </row>
    <row r="68" spans="1:2" x14ac:dyDescent="0.3">
      <c r="A68" s="17" t="s">
        <v>728</v>
      </c>
      <c r="B68" s="10">
        <v>1.7441860465116279E-2</v>
      </c>
    </row>
    <row r="69" spans="1:2" x14ac:dyDescent="0.3">
      <c r="A69" s="16" t="s">
        <v>661</v>
      </c>
      <c r="B69" s="10">
        <v>8.7209302325581398E-2</v>
      </c>
    </row>
    <row r="70" spans="1:2" x14ac:dyDescent="0.3">
      <c r="A70" s="17" t="s">
        <v>733</v>
      </c>
      <c r="B70" s="10">
        <v>1.1627906976744186E-2</v>
      </c>
    </row>
    <row r="71" spans="1:2" x14ac:dyDescent="0.3">
      <c r="A71" s="17" t="s">
        <v>727</v>
      </c>
      <c r="B71" s="10">
        <v>2.9069767441860465E-2</v>
      </c>
    </row>
    <row r="72" spans="1:2" x14ac:dyDescent="0.3">
      <c r="A72" s="17" t="s">
        <v>731</v>
      </c>
      <c r="B72" s="10">
        <v>1.1627906976744186E-2</v>
      </c>
    </row>
    <row r="73" spans="1:2" x14ac:dyDescent="0.3">
      <c r="A73" s="17" t="s">
        <v>732</v>
      </c>
      <c r="B73" s="10">
        <v>5.8139534883720929E-3</v>
      </c>
    </row>
    <row r="74" spans="1:2" x14ac:dyDescent="0.3">
      <c r="A74" s="17" t="s">
        <v>729</v>
      </c>
      <c r="B74" s="10">
        <v>1.1627906976744186E-2</v>
      </c>
    </row>
    <row r="75" spans="1:2" x14ac:dyDescent="0.3">
      <c r="A75" s="17" t="s">
        <v>730</v>
      </c>
      <c r="B75" s="10">
        <v>1.1627906976744186E-2</v>
      </c>
    </row>
    <row r="76" spans="1:2" x14ac:dyDescent="0.3">
      <c r="A76" s="17" t="s">
        <v>728</v>
      </c>
      <c r="B76" s="10">
        <v>5.8139534883720929E-3</v>
      </c>
    </row>
    <row r="77" spans="1:2" x14ac:dyDescent="0.3">
      <c r="A77" s="16" t="s">
        <v>658</v>
      </c>
      <c r="B77" s="10">
        <v>8.7209302325581398E-2</v>
      </c>
    </row>
    <row r="78" spans="1:2" x14ac:dyDescent="0.3">
      <c r="A78" s="17" t="s">
        <v>733</v>
      </c>
      <c r="B78" s="10">
        <v>5.8139534883720929E-3</v>
      </c>
    </row>
    <row r="79" spans="1:2" x14ac:dyDescent="0.3">
      <c r="A79" s="17" t="s">
        <v>727</v>
      </c>
      <c r="B79" s="10">
        <v>1.1627906976744186E-2</v>
      </c>
    </row>
    <row r="80" spans="1:2" x14ac:dyDescent="0.3">
      <c r="A80" s="17" t="s">
        <v>731</v>
      </c>
      <c r="B80" s="10">
        <v>2.3255813953488372E-2</v>
      </c>
    </row>
    <row r="81" spans="1:2" x14ac:dyDescent="0.3">
      <c r="A81" s="17" t="s">
        <v>732</v>
      </c>
      <c r="B81" s="10">
        <v>1.1627906976744186E-2</v>
      </c>
    </row>
    <row r="82" spans="1:2" x14ac:dyDescent="0.3">
      <c r="A82" s="17" t="s">
        <v>729</v>
      </c>
      <c r="B82" s="10">
        <v>1.1627906976744186E-2</v>
      </c>
    </row>
    <row r="83" spans="1:2" x14ac:dyDescent="0.3">
      <c r="A83" s="17" t="s">
        <v>730</v>
      </c>
      <c r="B83" s="10">
        <v>5.8139534883720929E-3</v>
      </c>
    </row>
    <row r="84" spans="1:2" x14ac:dyDescent="0.3">
      <c r="A84" s="17" t="s">
        <v>728</v>
      </c>
      <c r="B84" s="10">
        <v>1.7441860465116279E-2</v>
      </c>
    </row>
    <row r="85" spans="1:2" x14ac:dyDescent="0.3">
      <c r="A85" s="16" t="s">
        <v>660</v>
      </c>
      <c r="B85" s="10">
        <v>0.10465116279069768</v>
      </c>
    </row>
    <row r="86" spans="1:2" x14ac:dyDescent="0.3">
      <c r="A86" s="17" t="s">
        <v>733</v>
      </c>
      <c r="B86" s="10">
        <v>1.1627906976744186E-2</v>
      </c>
    </row>
    <row r="87" spans="1:2" x14ac:dyDescent="0.3">
      <c r="A87" s="17" t="s">
        <v>727</v>
      </c>
      <c r="B87" s="10">
        <v>1.1627906976744186E-2</v>
      </c>
    </row>
    <row r="88" spans="1:2" x14ac:dyDescent="0.3">
      <c r="A88" s="17" t="s">
        <v>731</v>
      </c>
      <c r="B88" s="10">
        <v>5.8139534883720929E-3</v>
      </c>
    </row>
    <row r="89" spans="1:2" x14ac:dyDescent="0.3">
      <c r="A89" s="17" t="s">
        <v>732</v>
      </c>
      <c r="B89" s="10">
        <v>5.8139534883720929E-3</v>
      </c>
    </row>
    <row r="90" spans="1:2" x14ac:dyDescent="0.3">
      <c r="A90" s="17" t="s">
        <v>729</v>
      </c>
      <c r="B90" s="10">
        <v>2.9069767441860465E-2</v>
      </c>
    </row>
    <row r="91" spans="1:2" x14ac:dyDescent="0.3">
      <c r="A91" s="17" t="s">
        <v>730</v>
      </c>
      <c r="B91" s="10">
        <v>5.8139534883720929E-3</v>
      </c>
    </row>
    <row r="92" spans="1:2" x14ac:dyDescent="0.3">
      <c r="A92" s="17" t="s">
        <v>728</v>
      </c>
      <c r="B92" s="10">
        <v>3.4883720930232558E-2</v>
      </c>
    </row>
    <row r="93" spans="1:2" x14ac:dyDescent="0.3">
      <c r="A93" s="16" t="s">
        <v>1438</v>
      </c>
      <c r="B93" s="10">
        <v>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BB6AF-D2BC-4470-9D7E-18BA714B19B0}">
  <dimension ref="A1:AA633"/>
  <sheetViews>
    <sheetView topLeftCell="M1" workbookViewId="0">
      <selection activeCell="Z14" sqref="Z14"/>
    </sheetView>
  </sheetViews>
  <sheetFormatPr defaultRowHeight="15" x14ac:dyDescent="0.3"/>
  <cols>
    <col min="1" max="1" width="16.375" customWidth="1"/>
    <col min="2" max="2" width="12" customWidth="1"/>
    <col min="3" max="3" width="17.625" customWidth="1"/>
    <col min="4" max="4" width="10.25" customWidth="1"/>
    <col min="5" max="5" width="11.25" customWidth="1"/>
    <col min="6" max="6" width="16.375" customWidth="1"/>
    <col min="7" max="7" width="11.25" customWidth="1"/>
    <col min="8" max="8" width="18.25" customWidth="1"/>
    <col min="9" max="9" width="9.75" customWidth="1"/>
    <col min="10" max="10" width="11.375" customWidth="1"/>
    <col min="11" max="12" width="17.625" customWidth="1"/>
    <col min="13" max="13" width="8.625" customWidth="1"/>
    <col min="14" max="14" width="16.375" customWidth="1"/>
    <col min="15" max="15" width="13.5" customWidth="1"/>
    <col min="16" max="16" width="16.5" customWidth="1"/>
    <col min="17" max="17" width="12.625" customWidth="1"/>
    <col min="18" max="18" width="20.5" customWidth="1"/>
    <col min="19" max="19" width="13" customWidth="1"/>
    <col min="20" max="20" width="13.625" customWidth="1"/>
    <col min="23" max="23" width="22.5" customWidth="1"/>
    <col min="24" max="25" width="15.875" customWidth="1"/>
    <col min="26" max="26" width="15.625" customWidth="1"/>
    <col min="27" max="27" width="10.875" customWidth="1"/>
  </cols>
  <sheetData>
    <row r="1" spans="1:27" ht="16.5" x14ac:dyDescent="0.3">
      <c r="A1" s="3" t="s">
        <v>0</v>
      </c>
      <c r="B1" s="5" t="s">
        <v>1</v>
      </c>
      <c r="C1" s="5" t="s">
        <v>1433</v>
      </c>
      <c r="D1" s="3" t="s">
        <v>10</v>
      </c>
      <c r="E1" s="7" t="s">
        <v>11</v>
      </c>
      <c r="F1" s="7" t="s">
        <v>1480</v>
      </c>
      <c r="G1" s="7" t="s">
        <v>12</v>
      </c>
      <c r="H1" s="7" t="s">
        <v>1426</v>
      </c>
      <c r="I1" s="7" t="s">
        <v>1436</v>
      </c>
      <c r="J1" s="9" t="s">
        <v>13</v>
      </c>
      <c r="K1" s="9" t="s">
        <v>1425</v>
      </c>
      <c r="L1" s="9" t="s">
        <v>1477</v>
      </c>
      <c r="M1" s="11" t="s">
        <v>14</v>
      </c>
      <c r="N1" s="29" t="s">
        <v>1481</v>
      </c>
      <c r="O1" s="13" t="s">
        <v>1429</v>
      </c>
      <c r="P1" s="13" t="s">
        <v>1478</v>
      </c>
      <c r="Q1" s="13" t="s">
        <v>1430</v>
      </c>
      <c r="R1" s="13" t="s">
        <v>1482</v>
      </c>
      <c r="S1" s="13" t="s">
        <v>1431</v>
      </c>
      <c r="T1" s="13" t="s">
        <v>1479</v>
      </c>
      <c r="W1" s="31" t="s">
        <v>1488</v>
      </c>
      <c r="X1" s="32"/>
    </row>
    <row r="2" spans="1:27" ht="16.5" x14ac:dyDescent="0.3">
      <c r="A2" s="4" t="s">
        <v>620</v>
      </c>
      <c r="B2" s="6">
        <v>45038</v>
      </c>
      <c r="C2" s="14">
        <v>45038</v>
      </c>
      <c r="D2" s="4" t="s">
        <v>1338</v>
      </c>
      <c r="E2" s="8">
        <v>1209.22</v>
      </c>
      <c r="F2" s="8">
        <f>(E2*(1+$X$3))</f>
        <v>1390.6029999999998</v>
      </c>
      <c r="G2" s="8">
        <v>1404.33</v>
      </c>
      <c r="H2" s="8">
        <v>1404.33</v>
      </c>
      <c r="I2" s="8" t="s">
        <v>1469</v>
      </c>
      <c r="J2" s="10">
        <v>0.10299999999999999</v>
      </c>
      <c r="K2" s="10">
        <v>0.10299999999999999</v>
      </c>
      <c r="L2" s="10">
        <f>MIN(K2, $X$2)</f>
        <v>0.10299999999999999</v>
      </c>
      <c r="M2" s="12">
        <v>11</v>
      </c>
      <c r="N2" s="12">
        <f>(M2*(1+$X$4))</f>
        <v>13.2</v>
      </c>
      <c r="O2" s="8">
        <v>13856.52411</v>
      </c>
      <c r="P2" s="8">
        <f>(H2*N2*(1-L2))</f>
        <v>16627.828932</v>
      </c>
      <c r="Q2" s="8">
        <v>13301.42</v>
      </c>
      <c r="R2" s="8">
        <f>F2*N2</f>
        <v>18355.959599999998</v>
      </c>
      <c r="S2" s="8">
        <v>555.10411000000022</v>
      </c>
      <c r="T2" s="8">
        <f>P2-R2</f>
        <v>-1728.130667999998</v>
      </c>
      <c r="W2" s="25" t="s">
        <v>1474</v>
      </c>
      <c r="X2" s="30">
        <v>0.25</v>
      </c>
    </row>
    <row r="3" spans="1:27" ht="16.5" x14ac:dyDescent="0.3">
      <c r="A3" s="4" t="s">
        <v>464</v>
      </c>
      <c r="B3" s="6">
        <v>45129</v>
      </c>
      <c r="C3" s="14">
        <v>45129</v>
      </c>
      <c r="D3" s="4" t="s">
        <v>1183</v>
      </c>
      <c r="E3" s="8">
        <v>946.99</v>
      </c>
      <c r="F3" s="8">
        <f t="shared" ref="F3:F66" si="0">(E3*(1+$X$3))</f>
        <v>1089.0384999999999</v>
      </c>
      <c r="G3" s="8">
        <v>2132.19</v>
      </c>
      <c r="H3" s="8">
        <v>2132.19</v>
      </c>
      <c r="I3" s="8" t="s">
        <v>1470</v>
      </c>
      <c r="J3" s="10">
        <v>0.16500000000000001</v>
      </c>
      <c r="K3" s="10">
        <v>0.16500000000000001</v>
      </c>
      <c r="L3" s="10">
        <f t="shared" ref="L3:L66" si="1">MIN(K3, $X$2)</f>
        <v>0.16500000000000001</v>
      </c>
      <c r="M3" s="12">
        <v>7</v>
      </c>
      <c r="N3" s="12">
        <f t="shared" ref="N3:N66" si="2">(M3*(1+$X$4))</f>
        <v>8.4</v>
      </c>
      <c r="O3" s="8">
        <v>12462.65055</v>
      </c>
      <c r="P3" s="8">
        <f t="shared" ref="P3:P66" si="3">(H3*N3*(1-L3))</f>
        <v>14955.18066</v>
      </c>
      <c r="Q3" s="8">
        <v>6628.93</v>
      </c>
      <c r="R3" s="8">
        <f t="shared" ref="R3:R66" si="4">F3*N3</f>
        <v>9147.9233999999997</v>
      </c>
      <c r="S3" s="8">
        <v>5833.72055</v>
      </c>
      <c r="T3" s="8">
        <f t="shared" ref="T3:T66" si="5">P3-R3</f>
        <v>5807.2572600000003</v>
      </c>
      <c r="W3" s="25" t="s">
        <v>1475</v>
      </c>
      <c r="X3" s="30">
        <v>0.15</v>
      </c>
    </row>
    <row r="4" spans="1:27" ht="16.5" x14ac:dyDescent="0.3">
      <c r="A4" s="4" t="s">
        <v>22</v>
      </c>
      <c r="B4" s="6">
        <v>44941</v>
      </c>
      <c r="C4" s="14">
        <v>44941</v>
      </c>
      <c r="D4" s="4" t="s">
        <v>741</v>
      </c>
      <c r="E4" s="8">
        <v>28.38</v>
      </c>
      <c r="F4" s="8">
        <f t="shared" si="0"/>
        <v>32.636999999999993</v>
      </c>
      <c r="G4" s="8">
        <v>47.22</v>
      </c>
      <c r="H4" s="8">
        <v>47.22</v>
      </c>
      <c r="I4" s="8" t="s">
        <v>1471</v>
      </c>
      <c r="J4" s="10">
        <v>0.19400000000000001</v>
      </c>
      <c r="K4" s="10">
        <v>0.19400000000000001</v>
      </c>
      <c r="L4" s="10">
        <f t="shared" si="1"/>
        <v>0.19400000000000001</v>
      </c>
      <c r="M4" s="12">
        <v>18</v>
      </c>
      <c r="N4" s="12">
        <f t="shared" si="2"/>
        <v>21.599999999999998</v>
      </c>
      <c r="O4" s="8">
        <v>685.06776000000002</v>
      </c>
      <c r="P4" s="8">
        <f t="shared" si="3"/>
        <v>822.08131199999991</v>
      </c>
      <c r="Q4" s="8">
        <v>510.84</v>
      </c>
      <c r="R4" s="8">
        <f t="shared" si="4"/>
        <v>704.95919999999978</v>
      </c>
      <c r="S4" s="8">
        <v>174.22776000000005</v>
      </c>
      <c r="T4" s="8">
        <f t="shared" si="5"/>
        <v>117.12211200000013</v>
      </c>
      <c r="W4" s="25" t="s">
        <v>1476</v>
      </c>
      <c r="X4" s="30">
        <v>0.2</v>
      </c>
    </row>
    <row r="5" spans="1:27" ht="16.5" x14ac:dyDescent="0.3">
      <c r="A5" s="4" t="s">
        <v>533</v>
      </c>
      <c r="B5" s="6">
        <v>45047</v>
      </c>
      <c r="C5" s="14">
        <v>45047</v>
      </c>
      <c r="D5" s="4" t="s">
        <v>1252</v>
      </c>
      <c r="E5" s="8">
        <v>327.97</v>
      </c>
      <c r="F5" s="8">
        <f t="shared" si="0"/>
        <v>377.16550000000001</v>
      </c>
      <c r="G5" s="8">
        <v>299.94</v>
      </c>
      <c r="H5" s="8">
        <v>299.94</v>
      </c>
      <c r="I5" s="8" t="s">
        <v>1471</v>
      </c>
      <c r="J5" s="10">
        <v>4.9000000000000002E-2</v>
      </c>
      <c r="K5" s="10">
        <v>4.9000000000000002E-2</v>
      </c>
      <c r="L5" s="10">
        <f t="shared" si="1"/>
        <v>4.9000000000000002E-2</v>
      </c>
      <c r="M5" s="12">
        <v>3</v>
      </c>
      <c r="N5" s="12">
        <f t="shared" si="2"/>
        <v>3.5999999999999996</v>
      </c>
      <c r="O5" s="8">
        <v>855.72881999999993</v>
      </c>
      <c r="P5" s="8">
        <f t="shared" si="3"/>
        <v>1026.8745839999999</v>
      </c>
      <c r="Q5" s="8">
        <v>983.91000000000008</v>
      </c>
      <c r="R5" s="8">
        <f t="shared" si="4"/>
        <v>1357.7957999999999</v>
      </c>
      <c r="S5" s="8">
        <v>-128.18118000000015</v>
      </c>
      <c r="T5" s="8">
        <f t="shared" si="5"/>
        <v>-330.92121599999996</v>
      </c>
      <c r="X5" s="18"/>
    </row>
    <row r="6" spans="1:27" ht="16.5" x14ac:dyDescent="0.3">
      <c r="A6" s="4" t="s">
        <v>588</v>
      </c>
      <c r="B6" s="6">
        <v>45279</v>
      </c>
      <c r="C6" s="14">
        <v>45279</v>
      </c>
      <c r="D6" s="4" t="s">
        <v>1306</v>
      </c>
      <c r="E6" s="8">
        <v>856.1</v>
      </c>
      <c r="F6" s="8">
        <f t="shared" si="0"/>
        <v>984.51499999999999</v>
      </c>
      <c r="G6" s="8">
        <v>901.48</v>
      </c>
      <c r="H6" s="8">
        <v>901.48</v>
      </c>
      <c r="I6" s="8" t="s">
        <v>1469</v>
      </c>
      <c r="J6" s="10">
        <v>5.6000000000000001E-2</v>
      </c>
      <c r="K6" s="10">
        <v>5.6000000000000001E-2</v>
      </c>
      <c r="L6" s="10">
        <f t="shared" si="1"/>
        <v>5.6000000000000001E-2</v>
      </c>
      <c r="M6" s="12">
        <v>17</v>
      </c>
      <c r="N6" s="12">
        <f t="shared" si="2"/>
        <v>20.399999999999999</v>
      </c>
      <c r="O6" s="8">
        <v>14466.95104</v>
      </c>
      <c r="P6" s="8">
        <f t="shared" si="3"/>
        <v>17360.341247999997</v>
      </c>
      <c r="Q6" s="8">
        <v>14553.7</v>
      </c>
      <c r="R6" s="8">
        <f t="shared" si="4"/>
        <v>20084.106</v>
      </c>
      <c r="S6" s="8">
        <v>-86.748960000000807</v>
      </c>
      <c r="T6" s="8">
        <f t="shared" si="5"/>
        <v>-2723.7647520000028</v>
      </c>
    </row>
    <row r="7" spans="1:27" ht="16.5" x14ac:dyDescent="0.3">
      <c r="A7" s="4" t="s">
        <v>61</v>
      </c>
      <c r="B7" s="6">
        <v>45100</v>
      </c>
      <c r="C7" s="14">
        <v>45100</v>
      </c>
      <c r="D7" s="4" t="s">
        <v>780</v>
      </c>
      <c r="E7" s="8">
        <v>337.75</v>
      </c>
      <c r="F7" s="8">
        <f t="shared" si="0"/>
        <v>388.41249999999997</v>
      </c>
      <c r="G7" s="8">
        <v>548.89</v>
      </c>
      <c r="H7" s="8">
        <v>548.89</v>
      </c>
      <c r="I7" s="8" t="s">
        <v>1471</v>
      </c>
      <c r="J7" s="10">
        <v>0</v>
      </c>
      <c r="K7" s="10">
        <v>0</v>
      </c>
      <c r="L7" s="10">
        <f t="shared" si="1"/>
        <v>0</v>
      </c>
      <c r="M7" s="12">
        <v>13</v>
      </c>
      <c r="N7" s="12">
        <f t="shared" si="2"/>
        <v>15.6</v>
      </c>
      <c r="O7" s="8">
        <v>7135.57</v>
      </c>
      <c r="P7" s="8">
        <f t="shared" si="3"/>
        <v>8562.6839999999993</v>
      </c>
      <c r="Q7" s="8">
        <v>4390.75</v>
      </c>
      <c r="R7" s="8">
        <f t="shared" si="4"/>
        <v>6059.2349999999997</v>
      </c>
      <c r="S7" s="8">
        <v>2744.8199999999997</v>
      </c>
      <c r="T7" s="8">
        <f t="shared" si="5"/>
        <v>2503.4489999999996</v>
      </c>
    </row>
    <row r="8" spans="1:27" ht="16.5" x14ac:dyDescent="0.3">
      <c r="A8" s="4" t="s">
        <v>382</v>
      </c>
      <c r="B8" s="6">
        <v>45194</v>
      </c>
      <c r="C8" s="14">
        <v>45194</v>
      </c>
      <c r="D8" s="4" t="s">
        <v>1102</v>
      </c>
      <c r="E8" s="8">
        <v>1279.56</v>
      </c>
      <c r="F8" s="8">
        <f t="shared" si="0"/>
        <v>1471.4939999999999</v>
      </c>
      <c r="G8" s="8">
        <v>3083.8</v>
      </c>
      <c r="H8" s="8">
        <v>3083.8</v>
      </c>
      <c r="I8" s="8" t="s">
        <v>1470</v>
      </c>
      <c r="J8" s="10">
        <v>0.106</v>
      </c>
      <c r="K8" s="10">
        <v>0.106</v>
      </c>
      <c r="L8" s="10">
        <f t="shared" si="1"/>
        <v>0.106</v>
      </c>
      <c r="M8" s="12">
        <v>5</v>
      </c>
      <c r="N8" s="12">
        <f t="shared" si="2"/>
        <v>6</v>
      </c>
      <c r="O8" s="8">
        <v>13784.586000000001</v>
      </c>
      <c r="P8" s="8">
        <f t="shared" si="3"/>
        <v>16541.503200000003</v>
      </c>
      <c r="Q8" s="8">
        <v>6397.7999999999993</v>
      </c>
      <c r="R8" s="8">
        <f t="shared" si="4"/>
        <v>8828.9639999999999</v>
      </c>
      <c r="S8" s="8">
        <v>7386.7860000000019</v>
      </c>
      <c r="T8" s="8">
        <f t="shared" si="5"/>
        <v>7712.5392000000029</v>
      </c>
      <c r="W8" s="24"/>
      <c r="X8" s="25" t="s">
        <v>1483</v>
      </c>
      <c r="Y8" s="25" t="s">
        <v>1484</v>
      </c>
      <c r="Z8" s="25" t="s">
        <v>1487</v>
      </c>
      <c r="AA8" s="25" t="s">
        <v>1460</v>
      </c>
    </row>
    <row r="9" spans="1:27" ht="16.5" x14ac:dyDescent="0.3">
      <c r="A9" s="4" t="s">
        <v>216</v>
      </c>
      <c r="B9" s="6">
        <v>45153</v>
      </c>
      <c r="C9" s="14">
        <v>45153</v>
      </c>
      <c r="D9" s="4" t="s">
        <v>936</v>
      </c>
      <c r="E9" s="8">
        <v>590.33000000000004</v>
      </c>
      <c r="F9" s="8">
        <f t="shared" si="0"/>
        <v>678.87950000000001</v>
      </c>
      <c r="G9" s="8">
        <v>973.04</v>
      </c>
      <c r="H9" s="8">
        <v>973.04</v>
      </c>
      <c r="I9" s="8" t="s">
        <v>1469</v>
      </c>
      <c r="J9" s="10">
        <v>0</v>
      </c>
      <c r="K9" s="10">
        <v>0</v>
      </c>
      <c r="L9" s="10">
        <f t="shared" si="1"/>
        <v>0</v>
      </c>
      <c r="M9" s="12">
        <v>26</v>
      </c>
      <c r="N9" s="12">
        <f t="shared" si="2"/>
        <v>31.2</v>
      </c>
      <c r="O9" s="8">
        <v>25299.040000000001</v>
      </c>
      <c r="P9" s="8">
        <f t="shared" si="3"/>
        <v>30358.847999999998</v>
      </c>
      <c r="Q9" s="8">
        <v>15348.580000000002</v>
      </c>
      <c r="R9" s="8">
        <f t="shared" si="4"/>
        <v>21181.040399999998</v>
      </c>
      <c r="S9" s="8">
        <v>9950.4599999999991</v>
      </c>
      <c r="T9" s="8">
        <f t="shared" si="5"/>
        <v>9177.8076000000001</v>
      </c>
      <c r="W9" s="25" t="s">
        <v>1485</v>
      </c>
      <c r="X9" s="26">
        <f>SUM(O2:O633)</f>
        <v>10945767.912949994</v>
      </c>
      <c r="Y9" s="26">
        <f>SUM(P2:P633)</f>
        <v>13158241.715855971</v>
      </c>
      <c r="Z9" s="26">
        <f>Y9-X9</f>
        <v>2212473.8029059768</v>
      </c>
      <c r="AA9" s="33">
        <f>Z9/X9</f>
        <v>0.20213052391585862</v>
      </c>
    </row>
    <row r="10" spans="1:27" ht="16.5" x14ac:dyDescent="0.3">
      <c r="A10" s="4" t="s">
        <v>566</v>
      </c>
      <c r="B10" s="6">
        <v>44988</v>
      </c>
      <c r="C10" s="14">
        <v>44988</v>
      </c>
      <c r="D10" s="4" t="s">
        <v>1284</v>
      </c>
      <c r="E10" s="8">
        <v>1171.17</v>
      </c>
      <c r="F10" s="8">
        <f t="shared" si="0"/>
        <v>1346.8454999999999</v>
      </c>
      <c r="G10" s="8">
        <v>2030.64</v>
      </c>
      <c r="H10" s="8">
        <v>2030.64</v>
      </c>
      <c r="I10" s="8" t="s">
        <v>1470</v>
      </c>
      <c r="J10" s="10">
        <v>0.157</v>
      </c>
      <c r="K10" s="10">
        <v>0.157</v>
      </c>
      <c r="L10" s="10">
        <f t="shared" si="1"/>
        <v>0.157</v>
      </c>
      <c r="M10" s="12">
        <v>11</v>
      </c>
      <c r="N10" s="12">
        <f t="shared" si="2"/>
        <v>13.2</v>
      </c>
      <c r="O10" s="8">
        <v>18830.12472</v>
      </c>
      <c r="P10" s="8">
        <f t="shared" si="3"/>
        <v>22596.149664</v>
      </c>
      <c r="Q10" s="8">
        <v>12882.87</v>
      </c>
      <c r="R10" s="8">
        <f t="shared" si="4"/>
        <v>17778.360599999996</v>
      </c>
      <c r="S10" s="8">
        <v>5947.254719999999</v>
      </c>
      <c r="T10" s="8">
        <f t="shared" si="5"/>
        <v>4817.7890640000041</v>
      </c>
      <c r="W10" s="25" t="s">
        <v>1486</v>
      </c>
      <c r="X10" s="26">
        <f>SUM(S2:S633)</f>
        <v>3418020.2029499956</v>
      </c>
      <c r="Y10" s="26">
        <f>SUM(T2:T633)</f>
        <v>2769949.8760560001</v>
      </c>
      <c r="Z10" s="26">
        <f>Y10-X10</f>
        <v>-648070.32689399552</v>
      </c>
      <c r="AA10" s="33">
        <f>Z10/Y10</f>
        <v>-0.23396464047817067</v>
      </c>
    </row>
    <row r="11" spans="1:27" ht="16.5" x14ac:dyDescent="0.3">
      <c r="A11" s="4" t="s">
        <v>339</v>
      </c>
      <c r="B11" s="6">
        <v>45053</v>
      </c>
      <c r="C11" s="14">
        <v>45053</v>
      </c>
      <c r="D11" s="4" t="s">
        <v>1059</v>
      </c>
      <c r="E11" s="8">
        <v>653.86</v>
      </c>
      <c r="F11" s="8">
        <f t="shared" si="0"/>
        <v>751.93899999999996</v>
      </c>
      <c r="G11" s="8">
        <v>931.84</v>
      </c>
      <c r="H11" s="8">
        <v>931.84</v>
      </c>
      <c r="I11" s="8" t="s">
        <v>1469</v>
      </c>
      <c r="J11" s="10">
        <v>0.121</v>
      </c>
      <c r="K11" s="10">
        <v>0.121</v>
      </c>
      <c r="L11" s="10">
        <f t="shared" si="1"/>
        <v>0.121</v>
      </c>
      <c r="M11" s="12">
        <v>12</v>
      </c>
      <c r="N11" s="12">
        <f t="shared" si="2"/>
        <v>14.399999999999999</v>
      </c>
      <c r="O11" s="8">
        <v>9829.0483199999999</v>
      </c>
      <c r="P11" s="8">
        <f t="shared" si="3"/>
        <v>11794.857984</v>
      </c>
      <c r="Q11" s="8">
        <v>7846.32</v>
      </c>
      <c r="R11" s="8">
        <f t="shared" si="4"/>
        <v>10827.921599999998</v>
      </c>
      <c r="S11" s="8">
        <v>1982.7283200000002</v>
      </c>
      <c r="T11" s="8">
        <f t="shared" si="5"/>
        <v>966.93638400000236</v>
      </c>
    </row>
    <row r="12" spans="1:27" ht="16.5" x14ac:dyDescent="0.3">
      <c r="A12" s="4" t="s">
        <v>453</v>
      </c>
      <c r="B12" s="6">
        <v>44978</v>
      </c>
      <c r="C12" s="14">
        <v>44978</v>
      </c>
      <c r="D12" s="4" t="s">
        <v>1172</v>
      </c>
      <c r="E12" s="8">
        <v>352.65</v>
      </c>
      <c r="F12" s="8">
        <f t="shared" si="0"/>
        <v>405.54749999999996</v>
      </c>
      <c r="G12" s="8">
        <v>485.86</v>
      </c>
      <c r="H12" s="8">
        <v>485.86</v>
      </c>
      <c r="I12" s="8" t="s">
        <v>1471</v>
      </c>
      <c r="J12" s="10">
        <v>4.1000000000000002E-2</v>
      </c>
      <c r="K12" s="10">
        <v>4.1000000000000002E-2</v>
      </c>
      <c r="L12" s="10">
        <f t="shared" si="1"/>
        <v>4.1000000000000002E-2</v>
      </c>
      <c r="M12" s="12">
        <v>6</v>
      </c>
      <c r="N12" s="12">
        <f t="shared" si="2"/>
        <v>7.1999999999999993</v>
      </c>
      <c r="O12" s="8">
        <v>2795.6384399999997</v>
      </c>
      <c r="P12" s="8">
        <f t="shared" si="3"/>
        <v>3354.7661279999993</v>
      </c>
      <c r="Q12" s="8">
        <v>2115.8999999999996</v>
      </c>
      <c r="R12" s="8">
        <f t="shared" si="4"/>
        <v>2919.9419999999996</v>
      </c>
      <c r="S12" s="8">
        <v>679.73844000000008</v>
      </c>
      <c r="T12" s="8">
        <f t="shared" si="5"/>
        <v>434.82412799999975</v>
      </c>
    </row>
    <row r="13" spans="1:27" ht="16.5" x14ac:dyDescent="0.3">
      <c r="A13" s="4" t="s">
        <v>181</v>
      </c>
      <c r="B13" s="6">
        <v>45034</v>
      </c>
      <c r="C13" s="14">
        <v>45034</v>
      </c>
      <c r="D13" s="4" t="s">
        <v>900</v>
      </c>
      <c r="E13" s="8">
        <v>329.03</v>
      </c>
      <c r="F13" s="8">
        <f t="shared" si="0"/>
        <v>378.38449999999995</v>
      </c>
      <c r="G13" s="8">
        <v>391.15</v>
      </c>
      <c r="H13" s="8">
        <v>391.15</v>
      </c>
      <c r="I13" s="8" t="s">
        <v>1471</v>
      </c>
      <c r="J13" s="10">
        <v>0.19700000000000001</v>
      </c>
      <c r="K13" s="10">
        <v>0.19700000000000001</v>
      </c>
      <c r="L13" s="10">
        <f t="shared" si="1"/>
        <v>0.19700000000000001</v>
      </c>
      <c r="M13" s="12">
        <v>46</v>
      </c>
      <c r="N13" s="12">
        <f t="shared" si="2"/>
        <v>55.199999999999996</v>
      </c>
      <c r="O13" s="8">
        <v>14448.298699999998</v>
      </c>
      <c r="P13" s="8">
        <f t="shared" si="3"/>
        <v>17337.958439999995</v>
      </c>
      <c r="Q13" s="8">
        <v>15135.38</v>
      </c>
      <c r="R13" s="8">
        <f t="shared" si="4"/>
        <v>20886.824399999994</v>
      </c>
      <c r="S13" s="8">
        <v>-687.08130000000165</v>
      </c>
      <c r="T13" s="8">
        <f t="shared" si="5"/>
        <v>-3548.8659599999992</v>
      </c>
    </row>
    <row r="14" spans="1:27" ht="16.5" x14ac:dyDescent="0.3">
      <c r="A14" s="4" t="s">
        <v>95</v>
      </c>
      <c r="B14" s="6">
        <v>44965</v>
      </c>
      <c r="C14" s="14">
        <v>44965</v>
      </c>
      <c r="D14" s="4" t="s">
        <v>814</v>
      </c>
      <c r="E14" s="8">
        <v>1410.05</v>
      </c>
      <c r="F14" s="8">
        <f t="shared" si="0"/>
        <v>1621.5574999999999</v>
      </c>
      <c r="G14" s="8">
        <v>2763.95</v>
      </c>
      <c r="H14" s="8">
        <v>2763.95</v>
      </c>
      <c r="I14" s="8" t="s">
        <v>1470</v>
      </c>
      <c r="J14" s="10">
        <v>0.161</v>
      </c>
      <c r="K14" s="10">
        <v>0.161</v>
      </c>
      <c r="L14" s="10">
        <f t="shared" si="1"/>
        <v>0.161</v>
      </c>
      <c r="M14" s="12">
        <v>26</v>
      </c>
      <c r="N14" s="12">
        <f t="shared" si="2"/>
        <v>31.2</v>
      </c>
      <c r="O14" s="8">
        <v>60292.805299999993</v>
      </c>
      <c r="P14" s="8">
        <f t="shared" si="3"/>
        <v>72351.366359999985</v>
      </c>
      <c r="Q14" s="8">
        <v>36661.299999999996</v>
      </c>
      <c r="R14" s="8">
        <f t="shared" si="4"/>
        <v>50592.593999999997</v>
      </c>
      <c r="S14" s="8">
        <v>23631.505299999997</v>
      </c>
      <c r="T14" s="8">
        <f t="shared" si="5"/>
        <v>21758.772359999988</v>
      </c>
    </row>
    <row r="15" spans="1:27" ht="16.5" x14ac:dyDescent="0.3">
      <c r="A15" s="4" t="s">
        <v>376</v>
      </c>
      <c r="B15" s="6">
        <v>45108</v>
      </c>
      <c r="C15" s="14">
        <v>45108</v>
      </c>
      <c r="D15" s="4" t="s">
        <v>1096</v>
      </c>
      <c r="E15" s="8">
        <v>834.26</v>
      </c>
      <c r="F15" s="8">
        <f t="shared" si="0"/>
        <v>959.39899999999989</v>
      </c>
      <c r="G15" s="8">
        <v>1780.56</v>
      </c>
      <c r="H15" s="8">
        <v>1780.56</v>
      </c>
      <c r="I15" s="8" t="s">
        <v>1470</v>
      </c>
      <c r="J15" s="10">
        <v>1.4E-2</v>
      </c>
      <c r="K15" s="10">
        <v>1.4E-2</v>
      </c>
      <c r="L15" s="10">
        <f t="shared" si="1"/>
        <v>1.4E-2</v>
      </c>
      <c r="M15" s="12">
        <v>47</v>
      </c>
      <c r="N15" s="12">
        <f t="shared" si="2"/>
        <v>56.4</v>
      </c>
      <c r="O15" s="8">
        <v>82514.711519999997</v>
      </c>
      <c r="P15" s="8">
        <f t="shared" si="3"/>
        <v>99017.653823999994</v>
      </c>
      <c r="Q15" s="8">
        <v>39210.22</v>
      </c>
      <c r="R15" s="8">
        <f t="shared" si="4"/>
        <v>54110.103599999995</v>
      </c>
      <c r="S15" s="8">
        <v>43304.491519999996</v>
      </c>
      <c r="T15" s="8">
        <f t="shared" si="5"/>
        <v>44907.550223999999</v>
      </c>
    </row>
    <row r="16" spans="1:27" ht="16.5" x14ac:dyDescent="0.3">
      <c r="A16" s="4" t="s">
        <v>343</v>
      </c>
      <c r="B16" s="6">
        <v>45221</v>
      </c>
      <c r="C16" s="14">
        <v>45221</v>
      </c>
      <c r="D16" s="4" t="s">
        <v>1063</v>
      </c>
      <c r="E16" s="8">
        <v>1373.31</v>
      </c>
      <c r="F16" s="8">
        <f t="shared" si="0"/>
        <v>1579.3064999999999</v>
      </c>
      <c r="G16" s="8">
        <v>3154.14</v>
      </c>
      <c r="H16" s="8">
        <v>3154.14</v>
      </c>
      <c r="I16" s="8" t="s">
        <v>1470</v>
      </c>
      <c r="J16" s="10">
        <v>0.2</v>
      </c>
      <c r="K16" s="10">
        <v>0.2</v>
      </c>
      <c r="L16" s="10">
        <f t="shared" si="1"/>
        <v>0.2</v>
      </c>
      <c r="M16" s="12">
        <v>11</v>
      </c>
      <c r="N16" s="12">
        <f t="shared" si="2"/>
        <v>13.2</v>
      </c>
      <c r="O16" s="8">
        <v>27756.432000000001</v>
      </c>
      <c r="P16" s="8">
        <f t="shared" si="3"/>
        <v>33307.718399999998</v>
      </c>
      <c r="Q16" s="8">
        <v>15106.41</v>
      </c>
      <c r="R16" s="8">
        <f t="shared" si="4"/>
        <v>20846.845799999999</v>
      </c>
      <c r="S16" s="8">
        <v>12650.022000000001</v>
      </c>
      <c r="T16" s="8">
        <f t="shared" si="5"/>
        <v>12460.872599999999</v>
      </c>
    </row>
    <row r="17" spans="1:20" ht="16.5" x14ac:dyDescent="0.3">
      <c r="A17" s="4" t="s">
        <v>315</v>
      </c>
      <c r="B17" s="6">
        <v>45204</v>
      </c>
      <c r="C17" s="14">
        <v>45204</v>
      </c>
      <c r="D17" s="4" t="s">
        <v>1035</v>
      </c>
      <c r="E17" s="8">
        <v>649.91</v>
      </c>
      <c r="F17" s="8">
        <f t="shared" si="0"/>
        <v>747.39649999999995</v>
      </c>
      <c r="G17" s="8">
        <v>1360.12</v>
      </c>
      <c r="H17" s="8">
        <v>1360.12</v>
      </c>
      <c r="I17" s="8" t="s">
        <v>1469</v>
      </c>
      <c r="J17" s="10">
        <v>0.19400000000000001</v>
      </c>
      <c r="K17" s="10">
        <v>0.19400000000000001</v>
      </c>
      <c r="L17" s="10">
        <f t="shared" si="1"/>
        <v>0.19400000000000001</v>
      </c>
      <c r="M17" s="12">
        <v>9</v>
      </c>
      <c r="N17" s="12">
        <f t="shared" si="2"/>
        <v>10.799999999999999</v>
      </c>
      <c r="O17" s="8">
        <v>9866.3104799999983</v>
      </c>
      <c r="P17" s="8">
        <f t="shared" si="3"/>
        <v>11839.572575999999</v>
      </c>
      <c r="Q17" s="8">
        <v>5849.19</v>
      </c>
      <c r="R17" s="8">
        <f t="shared" si="4"/>
        <v>8071.8821999999982</v>
      </c>
      <c r="S17" s="8">
        <v>4017.1204799999987</v>
      </c>
      <c r="T17" s="8">
        <f t="shared" si="5"/>
        <v>3767.6903760000005</v>
      </c>
    </row>
    <row r="18" spans="1:20" ht="16.5" x14ac:dyDescent="0.3">
      <c r="A18" s="4" t="s">
        <v>468</v>
      </c>
      <c r="B18" s="6">
        <v>45070</v>
      </c>
      <c r="C18" s="14">
        <v>45070</v>
      </c>
      <c r="D18" s="4" t="s">
        <v>1187</v>
      </c>
      <c r="E18" s="8">
        <v>813.97</v>
      </c>
      <c r="F18" s="8">
        <f t="shared" si="0"/>
        <v>936.06549999999993</v>
      </c>
      <c r="G18" s="8">
        <v>1568.83</v>
      </c>
      <c r="H18" s="8">
        <v>1568.83</v>
      </c>
      <c r="I18" s="8" t="s">
        <v>1469</v>
      </c>
      <c r="J18" s="10">
        <v>1.7000000000000001E-2</v>
      </c>
      <c r="K18" s="10">
        <v>1.7000000000000001E-2</v>
      </c>
      <c r="L18" s="10">
        <f t="shared" si="1"/>
        <v>1.7000000000000001E-2</v>
      </c>
      <c r="M18" s="12">
        <v>15</v>
      </c>
      <c r="N18" s="12">
        <f t="shared" si="2"/>
        <v>18</v>
      </c>
      <c r="O18" s="8">
        <v>23132.398349999996</v>
      </c>
      <c r="P18" s="8">
        <f t="shared" si="3"/>
        <v>27758.878019999996</v>
      </c>
      <c r="Q18" s="8">
        <v>12209.550000000001</v>
      </c>
      <c r="R18" s="8">
        <f t="shared" si="4"/>
        <v>16849.179</v>
      </c>
      <c r="S18" s="8">
        <v>10922.848349999995</v>
      </c>
      <c r="T18" s="8">
        <f t="shared" si="5"/>
        <v>10909.699019999996</v>
      </c>
    </row>
    <row r="19" spans="1:20" ht="16.5" x14ac:dyDescent="0.3">
      <c r="A19" s="4" t="s">
        <v>592</v>
      </c>
      <c r="B19" s="6">
        <v>45092</v>
      </c>
      <c r="C19" s="14">
        <v>45092</v>
      </c>
      <c r="D19" s="4" t="s">
        <v>1310</v>
      </c>
      <c r="E19" s="8">
        <v>751.28</v>
      </c>
      <c r="F19" s="8">
        <f t="shared" si="0"/>
        <v>863.97199999999987</v>
      </c>
      <c r="G19" s="8">
        <v>1111.8800000000001</v>
      </c>
      <c r="H19" s="8">
        <v>1111.8800000000001</v>
      </c>
      <c r="I19" s="8" t="s">
        <v>1469</v>
      </c>
      <c r="J19" s="10">
        <v>0.13500000000000001</v>
      </c>
      <c r="K19" s="10">
        <v>0.13500000000000001</v>
      </c>
      <c r="L19" s="10">
        <f t="shared" si="1"/>
        <v>0.13500000000000001</v>
      </c>
      <c r="M19" s="12">
        <v>7</v>
      </c>
      <c r="N19" s="12">
        <f t="shared" si="2"/>
        <v>8.4</v>
      </c>
      <c r="O19" s="8">
        <v>6732.4334000000008</v>
      </c>
      <c r="P19" s="8">
        <f t="shared" si="3"/>
        <v>8078.9200800000008</v>
      </c>
      <c r="Q19" s="8">
        <v>5258.96</v>
      </c>
      <c r="R19" s="8">
        <f t="shared" si="4"/>
        <v>7257.3647999999994</v>
      </c>
      <c r="S19" s="8">
        <v>1473.4734000000008</v>
      </c>
      <c r="T19" s="8">
        <f t="shared" si="5"/>
        <v>821.5552800000014</v>
      </c>
    </row>
    <row r="20" spans="1:20" ht="16.5" x14ac:dyDescent="0.3">
      <c r="A20" s="4" t="s">
        <v>208</v>
      </c>
      <c r="B20" s="6">
        <v>45050</v>
      </c>
      <c r="C20" s="14">
        <v>45050</v>
      </c>
      <c r="D20" s="4" t="s">
        <v>928</v>
      </c>
      <c r="E20" s="8">
        <v>249.71</v>
      </c>
      <c r="F20" s="8">
        <f t="shared" si="0"/>
        <v>287.16649999999998</v>
      </c>
      <c r="G20" s="8">
        <v>361.33</v>
      </c>
      <c r="H20" s="8">
        <v>361.33</v>
      </c>
      <c r="I20" s="8" t="s">
        <v>1471</v>
      </c>
      <c r="J20" s="10">
        <v>9.4E-2</v>
      </c>
      <c r="K20" s="10">
        <v>9.4E-2</v>
      </c>
      <c r="L20" s="10">
        <f t="shared" si="1"/>
        <v>9.4E-2</v>
      </c>
      <c r="M20" s="12">
        <v>12</v>
      </c>
      <c r="N20" s="12">
        <f t="shared" si="2"/>
        <v>14.399999999999999</v>
      </c>
      <c r="O20" s="8">
        <v>3928.3797600000003</v>
      </c>
      <c r="P20" s="8">
        <f t="shared" si="3"/>
        <v>4714.0557119999994</v>
      </c>
      <c r="Q20" s="8">
        <v>2996.52</v>
      </c>
      <c r="R20" s="8">
        <f t="shared" si="4"/>
        <v>4135.1975999999995</v>
      </c>
      <c r="S20" s="8">
        <v>931.85976000000028</v>
      </c>
      <c r="T20" s="8">
        <f t="shared" si="5"/>
        <v>578.85811199999989</v>
      </c>
    </row>
    <row r="21" spans="1:20" ht="16.5" x14ac:dyDescent="0.3">
      <c r="A21" s="4" t="s">
        <v>137</v>
      </c>
      <c r="B21" s="6">
        <v>45289</v>
      </c>
      <c r="C21" s="14">
        <v>45289</v>
      </c>
      <c r="D21" s="4" t="s">
        <v>856</v>
      </c>
      <c r="E21" s="8">
        <v>1395.49</v>
      </c>
      <c r="F21" s="8">
        <f t="shared" si="0"/>
        <v>1604.8135</v>
      </c>
      <c r="G21" s="8">
        <v>1679.42</v>
      </c>
      <c r="H21" s="8">
        <v>1679.42</v>
      </c>
      <c r="I21" s="8" t="s">
        <v>1470</v>
      </c>
      <c r="J21" s="10">
        <v>0.20300000000000001</v>
      </c>
      <c r="K21" s="10">
        <v>0.20300000000000001</v>
      </c>
      <c r="L21" s="10">
        <f t="shared" si="1"/>
        <v>0.20300000000000001</v>
      </c>
      <c r="M21" s="12">
        <v>12</v>
      </c>
      <c r="N21" s="12">
        <f t="shared" si="2"/>
        <v>14.399999999999999</v>
      </c>
      <c r="O21" s="8">
        <v>16061.972879999999</v>
      </c>
      <c r="P21" s="8">
        <f t="shared" si="3"/>
        <v>19274.367455999996</v>
      </c>
      <c r="Q21" s="8">
        <v>16745.88</v>
      </c>
      <c r="R21" s="8">
        <f t="shared" si="4"/>
        <v>23109.314399999996</v>
      </c>
      <c r="S21" s="8">
        <v>-683.90712000000167</v>
      </c>
      <c r="T21" s="8">
        <f t="shared" si="5"/>
        <v>-3834.9469439999993</v>
      </c>
    </row>
    <row r="22" spans="1:20" ht="16.5" x14ac:dyDescent="0.3">
      <c r="A22" s="4" t="s">
        <v>347</v>
      </c>
      <c r="B22" s="6">
        <v>45245</v>
      </c>
      <c r="C22" s="14">
        <v>45245</v>
      </c>
      <c r="D22" s="4" t="s">
        <v>1067</v>
      </c>
      <c r="E22" s="8">
        <v>1184.99</v>
      </c>
      <c r="F22" s="8">
        <f t="shared" si="0"/>
        <v>1362.7384999999999</v>
      </c>
      <c r="G22" s="8">
        <v>1154.3399999999999</v>
      </c>
      <c r="H22" s="8">
        <v>1154.3399999999999</v>
      </c>
      <c r="I22" s="8" t="s">
        <v>1469</v>
      </c>
      <c r="J22" s="10">
        <v>2.8000000000000001E-2</v>
      </c>
      <c r="K22" s="10">
        <v>2.8000000000000001E-2</v>
      </c>
      <c r="L22" s="10">
        <f t="shared" si="1"/>
        <v>2.8000000000000001E-2</v>
      </c>
      <c r="M22" s="12">
        <v>5</v>
      </c>
      <c r="N22" s="12">
        <f t="shared" si="2"/>
        <v>6</v>
      </c>
      <c r="O22" s="8">
        <v>5610.0923999999995</v>
      </c>
      <c r="P22" s="8">
        <f t="shared" si="3"/>
        <v>6732.1108799999993</v>
      </c>
      <c r="Q22" s="8">
        <v>5924.95</v>
      </c>
      <c r="R22" s="8">
        <f t="shared" si="4"/>
        <v>8176.4309999999996</v>
      </c>
      <c r="S22" s="8">
        <v>-314.85760000000028</v>
      </c>
      <c r="T22" s="8">
        <f t="shared" si="5"/>
        <v>-1444.3201200000003</v>
      </c>
    </row>
    <row r="23" spans="1:20" ht="16.5" x14ac:dyDescent="0.3">
      <c r="A23" s="4" t="s">
        <v>454</v>
      </c>
      <c r="B23" s="6">
        <v>45063</v>
      </c>
      <c r="C23" s="14">
        <v>45063</v>
      </c>
      <c r="D23" s="4" t="s">
        <v>1173</v>
      </c>
      <c r="E23" s="8">
        <v>979.59</v>
      </c>
      <c r="F23" s="8">
        <f t="shared" si="0"/>
        <v>1126.5284999999999</v>
      </c>
      <c r="G23" s="8">
        <v>2210.94</v>
      </c>
      <c r="H23" s="8">
        <v>2210.94</v>
      </c>
      <c r="I23" s="8" t="s">
        <v>1470</v>
      </c>
      <c r="J23" s="10">
        <v>0.15</v>
      </c>
      <c r="K23" s="10">
        <v>0.15</v>
      </c>
      <c r="L23" s="10">
        <f t="shared" si="1"/>
        <v>0.15</v>
      </c>
      <c r="M23" s="12">
        <v>11</v>
      </c>
      <c r="N23" s="12">
        <f t="shared" si="2"/>
        <v>13.2</v>
      </c>
      <c r="O23" s="8">
        <v>20672.289000000001</v>
      </c>
      <c r="P23" s="8">
        <f t="shared" si="3"/>
        <v>24806.746799999997</v>
      </c>
      <c r="Q23" s="8">
        <v>10775.49</v>
      </c>
      <c r="R23" s="8">
        <f t="shared" si="4"/>
        <v>14870.176199999998</v>
      </c>
      <c r="S23" s="8">
        <v>9896.7990000000009</v>
      </c>
      <c r="T23" s="8">
        <f t="shared" si="5"/>
        <v>9936.5705999999991</v>
      </c>
    </row>
    <row r="24" spans="1:20" ht="16.5" x14ac:dyDescent="0.3">
      <c r="A24" s="4" t="s">
        <v>472</v>
      </c>
      <c r="B24" s="6">
        <v>45260</v>
      </c>
      <c r="C24" s="14">
        <v>45260</v>
      </c>
      <c r="D24" s="4" t="s">
        <v>1191</v>
      </c>
      <c r="E24" s="8">
        <v>174.74</v>
      </c>
      <c r="F24" s="8">
        <f t="shared" si="0"/>
        <v>200.95099999999999</v>
      </c>
      <c r="G24" s="8">
        <v>415.96</v>
      </c>
      <c r="H24" s="8">
        <v>415.96</v>
      </c>
      <c r="I24" s="8" t="s">
        <v>1471</v>
      </c>
      <c r="J24" s="10">
        <v>0.125</v>
      </c>
      <c r="K24" s="10">
        <v>0.125</v>
      </c>
      <c r="L24" s="10">
        <f t="shared" si="1"/>
        <v>0.125</v>
      </c>
      <c r="M24" s="12">
        <v>21</v>
      </c>
      <c r="N24" s="12">
        <f t="shared" si="2"/>
        <v>25.2</v>
      </c>
      <c r="O24" s="8">
        <v>7643.2649999999994</v>
      </c>
      <c r="P24" s="8">
        <f t="shared" si="3"/>
        <v>9171.9179999999997</v>
      </c>
      <c r="Q24" s="8">
        <v>3669.54</v>
      </c>
      <c r="R24" s="8">
        <f t="shared" si="4"/>
        <v>5063.9651999999996</v>
      </c>
      <c r="S24" s="8">
        <v>3973.7249999999995</v>
      </c>
      <c r="T24" s="8">
        <f t="shared" si="5"/>
        <v>4107.9528</v>
      </c>
    </row>
    <row r="25" spans="1:20" ht="16.5" x14ac:dyDescent="0.3">
      <c r="A25" s="4" t="s">
        <v>163</v>
      </c>
      <c r="B25" s="6">
        <v>45183</v>
      </c>
      <c r="C25" s="14">
        <v>45183</v>
      </c>
      <c r="D25" s="4" t="s">
        <v>882</v>
      </c>
      <c r="E25" s="8">
        <v>376.83</v>
      </c>
      <c r="F25" s="8">
        <f t="shared" si="0"/>
        <v>433.35449999999997</v>
      </c>
      <c r="G25" s="8">
        <v>732.88</v>
      </c>
      <c r="H25" s="8">
        <v>732.88</v>
      </c>
      <c r="I25" s="8" t="s">
        <v>1471</v>
      </c>
      <c r="J25" s="10">
        <v>0.188</v>
      </c>
      <c r="K25" s="10">
        <v>0.188</v>
      </c>
      <c r="L25" s="10">
        <f t="shared" si="1"/>
        <v>0.188</v>
      </c>
      <c r="M25" s="12">
        <v>25</v>
      </c>
      <c r="N25" s="12">
        <f t="shared" si="2"/>
        <v>30</v>
      </c>
      <c r="O25" s="8">
        <v>14877.464000000002</v>
      </c>
      <c r="P25" s="8">
        <f t="shared" si="3"/>
        <v>17852.956800000004</v>
      </c>
      <c r="Q25" s="8">
        <v>9420.75</v>
      </c>
      <c r="R25" s="8">
        <f t="shared" si="4"/>
        <v>13000.634999999998</v>
      </c>
      <c r="S25" s="8">
        <v>5456.7140000000018</v>
      </c>
      <c r="T25" s="8">
        <f t="shared" si="5"/>
        <v>4852.3218000000052</v>
      </c>
    </row>
    <row r="26" spans="1:20" ht="16.5" x14ac:dyDescent="0.3">
      <c r="A26" s="4" t="s">
        <v>239</v>
      </c>
      <c r="B26" s="6">
        <v>45279</v>
      </c>
      <c r="C26" s="14">
        <v>45279</v>
      </c>
      <c r="D26" s="4" t="s">
        <v>959</v>
      </c>
      <c r="E26" s="8">
        <v>1080.43</v>
      </c>
      <c r="F26" s="8">
        <f t="shared" si="0"/>
        <v>1242.4945</v>
      </c>
      <c r="G26" s="8">
        <v>2529.15</v>
      </c>
      <c r="H26" s="8">
        <v>2529.15</v>
      </c>
      <c r="I26" s="8" t="s">
        <v>1470</v>
      </c>
      <c r="J26" s="10">
        <v>0.14699999999999999</v>
      </c>
      <c r="K26" s="10">
        <v>0.14699999999999999</v>
      </c>
      <c r="L26" s="10">
        <f t="shared" si="1"/>
        <v>0.14699999999999999</v>
      </c>
      <c r="M26" s="12">
        <v>10</v>
      </c>
      <c r="N26" s="12">
        <f t="shared" si="2"/>
        <v>12</v>
      </c>
      <c r="O26" s="8">
        <v>21573.6495</v>
      </c>
      <c r="P26" s="8">
        <f t="shared" si="3"/>
        <v>25888.379400000002</v>
      </c>
      <c r="Q26" s="8">
        <v>10804.300000000001</v>
      </c>
      <c r="R26" s="8">
        <f t="shared" si="4"/>
        <v>14909.934000000001</v>
      </c>
      <c r="S26" s="8">
        <v>10769.349499999998</v>
      </c>
      <c r="T26" s="8">
        <f t="shared" si="5"/>
        <v>10978.445400000001</v>
      </c>
    </row>
    <row r="27" spans="1:20" ht="16.5" x14ac:dyDescent="0.3">
      <c r="A27" s="4" t="s">
        <v>205</v>
      </c>
      <c r="B27" s="6">
        <v>45146</v>
      </c>
      <c r="C27" s="14">
        <v>45146</v>
      </c>
      <c r="D27" s="4" t="s">
        <v>925</v>
      </c>
      <c r="E27" s="8">
        <v>446.69</v>
      </c>
      <c r="F27" s="8">
        <f t="shared" si="0"/>
        <v>513.69349999999997</v>
      </c>
      <c r="G27" s="8">
        <v>967.25</v>
      </c>
      <c r="H27" s="8">
        <v>967.25</v>
      </c>
      <c r="I27" s="8" t="s">
        <v>1469</v>
      </c>
      <c r="J27" s="10">
        <v>9.4E-2</v>
      </c>
      <c r="K27" s="10">
        <v>9.4E-2</v>
      </c>
      <c r="L27" s="10">
        <f t="shared" si="1"/>
        <v>9.4E-2</v>
      </c>
      <c r="M27" s="12">
        <v>10</v>
      </c>
      <c r="N27" s="12">
        <f t="shared" si="2"/>
        <v>12</v>
      </c>
      <c r="O27" s="8">
        <v>8763.2849999999999</v>
      </c>
      <c r="P27" s="8">
        <f t="shared" si="3"/>
        <v>10515.942000000001</v>
      </c>
      <c r="Q27" s="8">
        <v>4466.8999999999996</v>
      </c>
      <c r="R27" s="8">
        <f t="shared" si="4"/>
        <v>6164.3220000000001</v>
      </c>
      <c r="S27" s="8">
        <v>4296.3850000000002</v>
      </c>
      <c r="T27" s="8">
        <f t="shared" si="5"/>
        <v>4351.6200000000008</v>
      </c>
    </row>
    <row r="28" spans="1:20" ht="16.5" x14ac:dyDescent="0.3">
      <c r="A28" s="4" t="s">
        <v>362</v>
      </c>
      <c r="B28" s="6">
        <v>45281</v>
      </c>
      <c r="C28" s="14">
        <v>45281</v>
      </c>
      <c r="D28" s="4" t="s">
        <v>1082</v>
      </c>
      <c r="E28" s="8">
        <v>932.61</v>
      </c>
      <c r="F28" s="8">
        <f t="shared" si="0"/>
        <v>1072.5014999999999</v>
      </c>
      <c r="G28" s="8">
        <v>1982.98</v>
      </c>
      <c r="H28" s="8">
        <v>1982.98</v>
      </c>
      <c r="I28" s="8" t="s">
        <v>1470</v>
      </c>
      <c r="J28" s="10">
        <v>0.14399999999999999</v>
      </c>
      <c r="K28" s="10">
        <v>0.14399999999999999</v>
      </c>
      <c r="L28" s="10">
        <f t="shared" si="1"/>
        <v>0.14399999999999999</v>
      </c>
      <c r="M28" s="12">
        <v>16</v>
      </c>
      <c r="N28" s="12">
        <f t="shared" si="2"/>
        <v>19.2</v>
      </c>
      <c r="O28" s="8">
        <v>27158.894079999998</v>
      </c>
      <c r="P28" s="8">
        <f t="shared" si="3"/>
        <v>32590.672896</v>
      </c>
      <c r="Q28" s="8">
        <v>14921.76</v>
      </c>
      <c r="R28" s="8">
        <f t="shared" si="4"/>
        <v>20592.028799999996</v>
      </c>
      <c r="S28" s="8">
        <v>12237.134079999998</v>
      </c>
      <c r="T28" s="8">
        <f t="shared" si="5"/>
        <v>11998.644096000004</v>
      </c>
    </row>
    <row r="29" spans="1:20" ht="16.5" x14ac:dyDescent="0.3">
      <c r="A29" s="4" t="s">
        <v>293</v>
      </c>
      <c r="B29" s="6">
        <v>45229</v>
      </c>
      <c r="C29" s="14">
        <v>45229</v>
      </c>
      <c r="D29" s="4" t="s">
        <v>1013</v>
      </c>
      <c r="E29" s="8">
        <v>953.46</v>
      </c>
      <c r="F29" s="8">
        <f t="shared" si="0"/>
        <v>1096.479</v>
      </c>
      <c r="G29" s="8">
        <v>2066.75</v>
      </c>
      <c r="H29" s="8">
        <v>2066.75</v>
      </c>
      <c r="I29" s="8" t="s">
        <v>1470</v>
      </c>
      <c r="J29" s="10">
        <v>0.13800000000000001</v>
      </c>
      <c r="K29" s="10">
        <v>0.13800000000000001</v>
      </c>
      <c r="L29" s="10">
        <f t="shared" si="1"/>
        <v>0.13800000000000001</v>
      </c>
      <c r="M29" s="12">
        <v>5</v>
      </c>
      <c r="N29" s="12">
        <f t="shared" si="2"/>
        <v>6</v>
      </c>
      <c r="O29" s="8">
        <v>8907.6924999999992</v>
      </c>
      <c r="P29" s="8">
        <f t="shared" si="3"/>
        <v>10689.231</v>
      </c>
      <c r="Q29" s="8">
        <v>4767.3</v>
      </c>
      <c r="R29" s="8">
        <f t="shared" si="4"/>
        <v>6578.8739999999998</v>
      </c>
      <c r="S29" s="8">
        <v>4140.392499999999</v>
      </c>
      <c r="T29" s="8">
        <f t="shared" si="5"/>
        <v>4110.357</v>
      </c>
    </row>
    <row r="30" spans="1:20" ht="16.5" x14ac:dyDescent="0.3">
      <c r="A30" s="4" t="s">
        <v>365</v>
      </c>
      <c r="B30" s="6">
        <v>45262</v>
      </c>
      <c r="C30" s="14">
        <v>45262</v>
      </c>
      <c r="D30" s="4" t="s">
        <v>1085</v>
      </c>
      <c r="E30" s="8">
        <v>879.08</v>
      </c>
      <c r="F30" s="8">
        <f t="shared" si="0"/>
        <v>1010.942</v>
      </c>
      <c r="G30" s="8">
        <v>1093.3900000000001</v>
      </c>
      <c r="H30" s="8">
        <v>1093.3900000000001</v>
      </c>
      <c r="I30" s="8" t="s">
        <v>1469</v>
      </c>
      <c r="J30" s="10">
        <v>0.113</v>
      </c>
      <c r="K30" s="10">
        <v>0.113</v>
      </c>
      <c r="L30" s="10">
        <f t="shared" si="1"/>
        <v>0.113</v>
      </c>
      <c r="M30" s="12">
        <v>17</v>
      </c>
      <c r="N30" s="12">
        <f t="shared" si="2"/>
        <v>20.399999999999999</v>
      </c>
      <c r="O30" s="8">
        <v>16487.22781</v>
      </c>
      <c r="P30" s="8">
        <f t="shared" si="3"/>
        <v>19784.673372000001</v>
      </c>
      <c r="Q30" s="8">
        <v>14944.36</v>
      </c>
      <c r="R30" s="8">
        <f t="shared" si="4"/>
        <v>20623.216799999998</v>
      </c>
      <c r="S30" s="8">
        <v>1542.8678099999997</v>
      </c>
      <c r="T30" s="8">
        <f t="shared" si="5"/>
        <v>-838.54342799999722</v>
      </c>
    </row>
    <row r="31" spans="1:20" ht="16.5" x14ac:dyDescent="0.3">
      <c r="A31" s="4" t="s">
        <v>550</v>
      </c>
      <c r="B31" s="6">
        <v>45108</v>
      </c>
      <c r="C31" s="14">
        <v>45108</v>
      </c>
      <c r="D31" s="4" t="s">
        <v>1269</v>
      </c>
      <c r="E31" s="8">
        <v>479.5</v>
      </c>
      <c r="F31" s="8">
        <f t="shared" si="0"/>
        <v>551.42499999999995</v>
      </c>
      <c r="G31" s="8">
        <v>656.66</v>
      </c>
      <c r="H31" s="8">
        <v>656.66</v>
      </c>
      <c r="I31" s="8" t="s">
        <v>1471</v>
      </c>
      <c r="J31" s="10">
        <v>0.14899999999999999</v>
      </c>
      <c r="K31" s="10">
        <v>0.14899999999999999</v>
      </c>
      <c r="L31" s="10">
        <f t="shared" si="1"/>
        <v>0.14899999999999999</v>
      </c>
      <c r="M31" s="12">
        <v>14</v>
      </c>
      <c r="N31" s="12">
        <f t="shared" si="2"/>
        <v>16.8</v>
      </c>
      <c r="O31" s="8">
        <v>7823.4472399999995</v>
      </c>
      <c r="P31" s="8">
        <f t="shared" si="3"/>
        <v>9388.1366880000005</v>
      </c>
      <c r="Q31" s="8">
        <v>6713</v>
      </c>
      <c r="R31" s="8">
        <f t="shared" si="4"/>
        <v>9263.94</v>
      </c>
      <c r="S31" s="8">
        <v>1110.4472399999995</v>
      </c>
      <c r="T31" s="8">
        <f t="shared" si="5"/>
        <v>124.19668799999999</v>
      </c>
    </row>
    <row r="32" spans="1:20" ht="16.5" x14ac:dyDescent="0.3">
      <c r="A32" s="4" t="s">
        <v>69</v>
      </c>
      <c r="B32" s="6">
        <v>45168</v>
      </c>
      <c r="C32" s="14">
        <v>45168</v>
      </c>
      <c r="D32" s="4" t="s">
        <v>788</v>
      </c>
      <c r="E32" s="8">
        <v>44.42</v>
      </c>
      <c r="F32" s="8">
        <f t="shared" si="0"/>
        <v>51.082999999999998</v>
      </c>
      <c r="G32" s="8">
        <v>41.9</v>
      </c>
      <c r="H32" s="8">
        <v>41.9</v>
      </c>
      <c r="I32" s="8" t="s">
        <v>1471</v>
      </c>
      <c r="J32" s="10">
        <v>0.14399999999999999</v>
      </c>
      <c r="K32" s="10">
        <v>0.14399999999999999</v>
      </c>
      <c r="L32" s="10">
        <f t="shared" si="1"/>
        <v>0.14399999999999999</v>
      </c>
      <c r="M32" s="12">
        <v>6</v>
      </c>
      <c r="N32" s="12">
        <f t="shared" si="2"/>
        <v>7.1999999999999993</v>
      </c>
      <c r="O32" s="8">
        <v>215.19839999999996</v>
      </c>
      <c r="P32" s="8">
        <f t="shared" si="3"/>
        <v>258.23807999999997</v>
      </c>
      <c r="Q32" s="8">
        <v>266.52</v>
      </c>
      <c r="R32" s="8">
        <f t="shared" si="4"/>
        <v>367.79759999999993</v>
      </c>
      <c r="S32" s="8">
        <v>-51.321600000000018</v>
      </c>
      <c r="T32" s="8">
        <f t="shared" si="5"/>
        <v>-109.55951999999996</v>
      </c>
    </row>
    <row r="33" spans="1:20" ht="16.5" x14ac:dyDescent="0.3">
      <c r="A33" s="4" t="s">
        <v>80</v>
      </c>
      <c r="B33" s="6">
        <v>45263</v>
      </c>
      <c r="C33" s="14">
        <v>45263</v>
      </c>
      <c r="D33" s="4" t="s">
        <v>799</v>
      </c>
      <c r="E33" s="8">
        <v>1303.1099999999999</v>
      </c>
      <c r="F33" s="8">
        <f t="shared" si="0"/>
        <v>1498.5764999999997</v>
      </c>
      <c r="G33" s="8">
        <v>1145.67</v>
      </c>
      <c r="H33" s="8">
        <v>1145.67</v>
      </c>
      <c r="I33" s="8" t="s">
        <v>1469</v>
      </c>
      <c r="J33" s="10">
        <v>0.184</v>
      </c>
      <c r="K33" s="10">
        <v>0.184</v>
      </c>
      <c r="L33" s="10">
        <f t="shared" si="1"/>
        <v>0.184</v>
      </c>
      <c r="M33" s="12">
        <v>13</v>
      </c>
      <c r="N33" s="12">
        <f t="shared" si="2"/>
        <v>15.6</v>
      </c>
      <c r="O33" s="8">
        <v>12153.267360000002</v>
      </c>
      <c r="P33" s="8">
        <f t="shared" si="3"/>
        <v>14583.920832000002</v>
      </c>
      <c r="Q33" s="8">
        <v>16940.43</v>
      </c>
      <c r="R33" s="8">
        <f t="shared" si="4"/>
        <v>23377.793399999995</v>
      </c>
      <c r="S33" s="8">
        <v>-4787.1626399999986</v>
      </c>
      <c r="T33" s="8">
        <f t="shared" si="5"/>
        <v>-8793.8725679999934</v>
      </c>
    </row>
    <row r="34" spans="1:20" ht="16.5" x14ac:dyDescent="0.3">
      <c r="A34" s="4" t="s">
        <v>178</v>
      </c>
      <c r="B34" s="6">
        <v>45010</v>
      </c>
      <c r="C34" s="14">
        <v>45010</v>
      </c>
      <c r="D34" s="4" t="s">
        <v>897</v>
      </c>
      <c r="E34" s="8">
        <v>135.12</v>
      </c>
      <c r="F34" s="8">
        <f t="shared" si="0"/>
        <v>155.38800000000001</v>
      </c>
      <c r="G34" s="8">
        <v>301.7</v>
      </c>
      <c r="H34" s="8">
        <v>301.7</v>
      </c>
      <c r="I34" s="8" t="s">
        <v>1471</v>
      </c>
      <c r="J34" s="10">
        <v>0.14000000000000001</v>
      </c>
      <c r="K34" s="10">
        <v>0.14000000000000001</v>
      </c>
      <c r="L34" s="10">
        <f t="shared" si="1"/>
        <v>0.14000000000000001</v>
      </c>
      <c r="M34" s="12">
        <v>47</v>
      </c>
      <c r="N34" s="12">
        <f t="shared" si="2"/>
        <v>56.4</v>
      </c>
      <c r="O34" s="8">
        <v>12194.714</v>
      </c>
      <c r="P34" s="8">
        <f t="shared" si="3"/>
        <v>14633.656799999997</v>
      </c>
      <c r="Q34" s="8">
        <v>6350.64</v>
      </c>
      <c r="R34" s="8">
        <f t="shared" si="4"/>
        <v>8763.8832000000002</v>
      </c>
      <c r="S34" s="8">
        <v>5844.0739999999996</v>
      </c>
      <c r="T34" s="8">
        <f t="shared" si="5"/>
        <v>5869.7735999999968</v>
      </c>
    </row>
    <row r="35" spans="1:20" ht="16.5" x14ac:dyDescent="0.3">
      <c r="A35" s="4" t="s">
        <v>485</v>
      </c>
      <c r="B35" s="6">
        <v>45167</v>
      </c>
      <c r="C35" s="14">
        <v>45167</v>
      </c>
      <c r="D35" s="4" t="s">
        <v>1204</v>
      </c>
      <c r="E35" s="8">
        <v>784.46</v>
      </c>
      <c r="F35" s="8">
        <f t="shared" si="0"/>
        <v>902.12900000000002</v>
      </c>
      <c r="G35" s="8">
        <v>1843.51</v>
      </c>
      <c r="H35" s="8">
        <v>1843.51</v>
      </c>
      <c r="I35" s="8" t="s">
        <v>1470</v>
      </c>
      <c r="J35" s="10">
        <v>0.13800000000000001</v>
      </c>
      <c r="K35" s="10">
        <v>0.13800000000000001</v>
      </c>
      <c r="L35" s="10">
        <f t="shared" si="1"/>
        <v>0.13800000000000001</v>
      </c>
      <c r="M35" s="12">
        <v>23</v>
      </c>
      <c r="N35" s="12">
        <f t="shared" si="2"/>
        <v>27.599999999999998</v>
      </c>
      <c r="O35" s="8">
        <v>36549.429260000004</v>
      </c>
      <c r="P35" s="8">
        <f t="shared" si="3"/>
        <v>43859.315111999997</v>
      </c>
      <c r="Q35" s="8">
        <v>18042.580000000002</v>
      </c>
      <c r="R35" s="8">
        <f t="shared" si="4"/>
        <v>24898.760399999999</v>
      </c>
      <c r="S35" s="8">
        <v>18506.849260000003</v>
      </c>
      <c r="T35" s="8">
        <f t="shared" si="5"/>
        <v>18960.554711999997</v>
      </c>
    </row>
    <row r="36" spans="1:20" ht="16.5" x14ac:dyDescent="0.3">
      <c r="A36" s="4" t="s">
        <v>595</v>
      </c>
      <c r="B36" s="6">
        <v>45080</v>
      </c>
      <c r="C36" s="14">
        <v>45080</v>
      </c>
      <c r="D36" s="4" t="s">
        <v>1313</v>
      </c>
      <c r="E36" s="8">
        <v>860.4</v>
      </c>
      <c r="F36" s="8">
        <f t="shared" si="0"/>
        <v>989.45999999999992</v>
      </c>
      <c r="G36" s="8">
        <v>2066.6</v>
      </c>
      <c r="H36" s="8">
        <v>2066.6</v>
      </c>
      <c r="I36" s="8" t="s">
        <v>1470</v>
      </c>
      <c r="J36" s="10">
        <v>0.01</v>
      </c>
      <c r="K36" s="10">
        <v>0.01</v>
      </c>
      <c r="L36" s="10">
        <f t="shared" si="1"/>
        <v>0.01</v>
      </c>
      <c r="M36" s="12">
        <v>3</v>
      </c>
      <c r="N36" s="12">
        <f t="shared" si="2"/>
        <v>3.5999999999999996</v>
      </c>
      <c r="O36" s="8">
        <v>6137.8019999999988</v>
      </c>
      <c r="P36" s="8">
        <f t="shared" si="3"/>
        <v>7365.3623999999991</v>
      </c>
      <c r="Q36" s="8">
        <v>2581.1999999999998</v>
      </c>
      <c r="R36" s="8">
        <f t="shared" si="4"/>
        <v>3562.0559999999996</v>
      </c>
      <c r="S36" s="8">
        <v>3556.601999999999</v>
      </c>
      <c r="T36" s="8">
        <f t="shared" si="5"/>
        <v>3803.3063999999995</v>
      </c>
    </row>
    <row r="37" spans="1:20" ht="16.5" x14ac:dyDescent="0.3">
      <c r="A37" s="4" t="s">
        <v>640</v>
      </c>
      <c r="B37" s="6">
        <v>45282</v>
      </c>
      <c r="C37" s="14">
        <v>45282</v>
      </c>
      <c r="D37" s="4" t="s">
        <v>1358</v>
      </c>
      <c r="E37" s="8">
        <v>1346.81</v>
      </c>
      <c r="F37" s="8">
        <f t="shared" si="0"/>
        <v>1548.8314999999998</v>
      </c>
      <c r="G37" s="8">
        <v>978.09</v>
      </c>
      <c r="H37" s="8">
        <v>978.09</v>
      </c>
      <c r="I37" s="8" t="s">
        <v>1469</v>
      </c>
      <c r="J37" s="10">
        <v>0.159</v>
      </c>
      <c r="K37" s="10">
        <v>0.159</v>
      </c>
      <c r="L37" s="10">
        <f t="shared" si="1"/>
        <v>0.159</v>
      </c>
      <c r="M37" s="12">
        <v>17</v>
      </c>
      <c r="N37" s="12">
        <f t="shared" si="2"/>
        <v>20.399999999999999</v>
      </c>
      <c r="O37" s="8">
        <v>13983.752729999998</v>
      </c>
      <c r="P37" s="8">
        <f t="shared" si="3"/>
        <v>16780.503275999999</v>
      </c>
      <c r="Q37" s="8">
        <v>22895.77</v>
      </c>
      <c r="R37" s="8">
        <f t="shared" si="4"/>
        <v>31596.162599999992</v>
      </c>
      <c r="S37" s="8">
        <v>-8912.0172700000021</v>
      </c>
      <c r="T37" s="8">
        <f t="shared" si="5"/>
        <v>-14815.659323999993</v>
      </c>
    </row>
    <row r="38" spans="1:20" ht="16.5" x14ac:dyDescent="0.3">
      <c r="A38" s="4" t="s">
        <v>121</v>
      </c>
      <c r="B38" s="6">
        <v>45057</v>
      </c>
      <c r="C38" s="14">
        <v>45057</v>
      </c>
      <c r="D38" s="4" t="s">
        <v>840</v>
      </c>
      <c r="E38" s="8">
        <v>12.85</v>
      </c>
      <c r="F38" s="8">
        <f t="shared" si="0"/>
        <v>14.777499999999998</v>
      </c>
      <c r="G38" s="8">
        <v>15.41</v>
      </c>
      <c r="H38" s="8">
        <v>15.41</v>
      </c>
      <c r="I38" s="8" t="s">
        <v>1471</v>
      </c>
      <c r="J38" s="10">
        <v>0.13700000000000001</v>
      </c>
      <c r="K38" s="10">
        <v>0.13700000000000001</v>
      </c>
      <c r="L38" s="10">
        <f t="shared" si="1"/>
        <v>0.13700000000000001</v>
      </c>
      <c r="M38" s="12">
        <v>39</v>
      </c>
      <c r="N38" s="12">
        <f t="shared" si="2"/>
        <v>46.8</v>
      </c>
      <c r="O38" s="8">
        <v>518.65436999999997</v>
      </c>
      <c r="P38" s="8">
        <f t="shared" si="3"/>
        <v>622.38524399999994</v>
      </c>
      <c r="Q38" s="8">
        <v>501.15</v>
      </c>
      <c r="R38" s="8">
        <f t="shared" si="4"/>
        <v>691.58699999999988</v>
      </c>
      <c r="S38" s="8">
        <v>17.504369999999994</v>
      </c>
      <c r="T38" s="8">
        <f t="shared" si="5"/>
        <v>-69.201755999999932</v>
      </c>
    </row>
    <row r="39" spans="1:20" ht="16.5" x14ac:dyDescent="0.3">
      <c r="A39" s="4" t="s">
        <v>284</v>
      </c>
      <c r="B39" s="6">
        <v>45141</v>
      </c>
      <c r="C39" s="14">
        <v>45141</v>
      </c>
      <c r="D39" s="4" t="s">
        <v>1004</v>
      </c>
      <c r="E39" s="8">
        <v>232.73</v>
      </c>
      <c r="F39" s="8">
        <f t="shared" si="0"/>
        <v>267.63949999999994</v>
      </c>
      <c r="G39" s="8">
        <v>334.19</v>
      </c>
      <c r="H39" s="8">
        <v>334.19</v>
      </c>
      <c r="I39" s="8" t="s">
        <v>1471</v>
      </c>
      <c r="J39" s="10">
        <v>0.13400000000000001</v>
      </c>
      <c r="K39" s="10">
        <v>0.13400000000000001</v>
      </c>
      <c r="L39" s="10">
        <f t="shared" si="1"/>
        <v>0.13400000000000001</v>
      </c>
      <c r="M39" s="12">
        <v>25</v>
      </c>
      <c r="N39" s="12">
        <f t="shared" si="2"/>
        <v>30</v>
      </c>
      <c r="O39" s="8">
        <v>7235.2134999999998</v>
      </c>
      <c r="P39" s="8">
        <f t="shared" si="3"/>
        <v>8682.2561999999998</v>
      </c>
      <c r="Q39" s="8">
        <v>5818.25</v>
      </c>
      <c r="R39" s="8">
        <f t="shared" si="4"/>
        <v>8029.1849999999986</v>
      </c>
      <c r="S39" s="8">
        <v>1416.9634999999998</v>
      </c>
      <c r="T39" s="8">
        <f t="shared" si="5"/>
        <v>653.07120000000123</v>
      </c>
    </row>
    <row r="40" spans="1:20" ht="16.5" x14ac:dyDescent="0.3">
      <c r="A40" s="4" t="s">
        <v>271</v>
      </c>
      <c r="B40" s="6">
        <v>45035</v>
      </c>
      <c r="C40" s="14">
        <v>45035</v>
      </c>
      <c r="D40" s="4" t="s">
        <v>991</v>
      </c>
      <c r="E40" s="8">
        <v>516.96</v>
      </c>
      <c r="F40" s="8">
        <f t="shared" si="0"/>
        <v>594.50400000000002</v>
      </c>
      <c r="G40" s="8">
        <v>745.38</v>
      </c>
      <c r="H40" s="8">
        <v>745.38</v>
      </c>
      <c r="I40" s="8" t="s">
        <v>1471</v>
      </c>
      <c r="J40" s="10">
        <v>0.19700000000000001</v>
      </c>
      <c r="K40" s="10">
        <v>0.19700000000000001</v>
      </c>
      <c r="L40" s="10">
        <f t="shared" si="1"/>
        <v>0.19700000000000001</v>
      </c>
      <c r="M40" s="12">
        <v>4</v>
      </c>
      <c r="N40" s="12">
        <f t="shared" si="2"/>
        <v>4.8</v>
      </c>
      <c r="O40" s="8">
        <v>2394.1605599999998</v>
      </c>
      <c r="P40" s="8">
        <f t="shared" si="3"/>
        <v>2872.9926719999999</v>
      </c>
      <c r="Q40" s="8">
        <v>2067.84</v>
      </c>
      <c r="R40" s="8">
        <f t="shared" si="4"/>
        <v>2853.6192000000001</v>
      </c>
      <c r="S40" s="8">
        <v>326.32055999999966</v>
      </c>
      <c r="T40" s="8">
        <f t="shared" si="5"/>
        <v>19.373471999999765</v>
      </c>
    </row>
    <row r="41" spans="1:20" ht="16.5" x14ac:dyDescent="0.3">
      <c r="A41" s="4" t="s">
        <v>104</v>
      </c>
      <c r="B41" s="6">
        <v>45106</v>
      </c>
      <c r="C41" s="14">
        <v>45106</v>
      </c>
      <c r="D41" s="4" t="s">
        <v>823</v>
      </c>
      <c r="E41" s="8">
        <v>55.65</v>
      </c>
      <c r="F41" s="8">
        <f t="shared" si="0"/>
        <v>63.997499999999995</v>
      </c>
      <c r="G41" s="8">
        <v>83.57</v>
      </c>
      <c r="H41" s="8">
        <v>83.57</v>
      </c>
      <c r="I41" s="8" t="s">
        <v>1471</v>
      </c>
      <c r="J41" s="10">
        <v>6.6000000000000003E-2</v>
      </c>
      <c r="K41" s="10">
        <v>6.6000000000000003E-2</v>
      </c>
      <c r="L41" s="10">
        <f t="shared" si="1"/>
        <v>6.6000000000000003E-2</v>
      </c>
      <c r="M41" s="12">
        <v>8</v>
      </c>
      <c r="N41" s="12">
        <f t="shared" si="2"/>
        <v>9.6</v>
      </c>
      <c r="O41" s="8">
        <v>624.43503999999996</v>
      </c>
      <c r="P41" s="8">
        <f t="shared" si="3"/>
        <v>749.32204799999988</v>
      </c>
      <c r="Q41" s="8">
        <v>445.2</v>
      </c>
      <c r="R41" s="8">
        <f t="shared" si="4"/>
        <v>614.37599999999998</v>
      </c>
      <c r="S41" s="8">
        <v>179.23503999999997</v>
      </c>
      <c r="T41" s="8">
        <f t="shared" si="5"/>
        <v>134.94604799999991</v>
      </c>
    </row>
    <row r="42" spans="1:20" ht="16.5" x14ac:dyDescent="0.3">
      <c r="A42" s="4" t="s">
        <v>354</v>
      </c>
      <c r="B42" s="6">
        <v>45131</v>
      </c>
      <c r="C42" s="14">
        <v>45131</v>
      </c>
      <c r="D42" s="4" t="s">
        <v>1074</v>
      </c>
      <c r="E42" s="8">
        <v>661.45</v>
      </c>
      <c r="F42" s="8">
        <f t="shared" si="0"/>
        <v>760.66750000000002</v>
      </c>
      <c r="G42" s="8">
        <v>1634.86</v>
      </c>
      <c r="H42" s="8">
        <v>1634.86</v>
      </c>
      <c r="I42" s="8" t="s">
        <v>1470</v>
      </c>
      <c r="J42" s="10">
        <v>0.56499999999999995</v>
      </c>
      <c r="K42" s="10">
        <v>0.3</v>
      </c>
      <c r="L42" s="10">
        <f t="shared" si="1"/>
        <v>0.25</v>
      </c>
      <c r="M42" s="12">
        <v>24</v>
      </c>
      <c r="N42" s="12">
        <f t="shared" si="2"/>
        <v>28.799999999999997</v>
      </c>
      <c r="O42" s="8">
        <v>27465.647999999997</v>
      </c>
      <c r="P42" s="8">
        <f t="shared" si="3"/>
        <v>35312.975999999995</v>
      </c>
      <c r="Q42" s="8">
        <v>15874.800000000001</v>
      </c>
      <c r="R42" s="8">
        <f t="shared" si="4"/>
        <v>21907.223999999998</v>
      </c>
      <c r="S42" s="8">
        <v>11590.847999999996</v>
      </c>
      <c r="T42" s="8">
        <f t="shared" si="5"/>
        <v>13405.751999999997</v>
      </c>
    </row>
    <row r="43" spans="1:20" ht="16.5" x14ac:dyDescent="0.3">
      <c r="A43" s="4" t="s">
        <v>39</v>
      </c>
      <c r="B43" s="6">
        <v>44964</v>
      </c>
      <c r="C43" s="14">
        <v>44964</v>
      </c>
      <c r="D43" s="4" t="s">
        <v>758</v>
      </c>
      <c r="E43" s="8">
        <v>948.55</v>
      </c>
      <c r="F43" s="8">
        <f t="shared" si="0"/>
        <v>1090.8324999999998</v>
      </c>
      <c r="G43" s="8">
        <v>2089.16</v>
      </c>
      <c r="H43" s="8">
        <v>2089.16</v>
      </c>
      <c r="I43" s="8" t="s">
        <v>1470</v>
      </c>
      <c r="J43" s="10">
        <v>7.0000000000000001E-3</v>
      </c>
      <c r="K43" s="10">
        <v>7.0000000000000001E-3</v>
      </c>
      <c r="L43" s="10">
        <f t="shared" si="1"/>
        <v>7.0000000000000001E-3</v>
      </c>
      <c r="M43" s="12">
        <v>12</v>
      </c>
      <c r="N43" s="12">
        <f t="shared" si="2"/>
        <v>14.399999999999999</v>
      </c>
      <c r="O43" s="8">
        <v>24894.430559999997</v>
      </c>
      <c r="P43" s="8">
        <f t="shared" si="3"/>
        <v>29873.316671999994</v>
      </c>
      <c r="Q43" s="8">
        <v>11382.599999999999</v>
      </c>
      <c r="R43" s="8">
        <f t="shared" si="4"/>
        <v>15707.987999999996</v>
      </c>
      <c r="S43" s="8">
        <v>13511.830559999999</v>
      </c>
      <c r="T43" s="8">
        <f t="shared" si="5"/>
        <v>14165.328671999998</v>
      </c>
    </row>
    <row r="44" spans="1:20" ht="16.5" x14ac:dyDescent="0.3">
      <c r="A44" s="4" t="s">
        <v>235</v>
      </c>
      <c r="B44" s="6">
        <v>45194</v>
      </c>
      <c r="C44" s="14">
        <v>45194</v>
      </c>
      <c r="D44" s="4" t="s">
        <v>955</v>
      </c>
      <c r="E44" s="8">
        <v>145.58000000000001</v>
      </c>
      <c r="F44" s="8">
        <f t="shared" si="0"/>
        <v>167.417</v>
      </c>
      <c r="G44" s="8">
        <v>228.15</v>
      </c>
      <c r="H44" s="8">
        <v>228.15</v>
      </c>
      <c r="I44" s="8" t="s">
        <v>1471</v>
      </c>
      <c r="J44" s="10">
        <v>0.20399999999999999</v>
      </c>
      <c r="K44" s="10">
        <v>0.20399999999999999</v>
      </c>
      <c r="L44" s="10">
        <f t="shared" si="1"/>
        <v>0.20399999999999999</v>
      </c>
      <c r="M44" s="12">
        <v>5</v>
      </c>
      <c r="N44" s="12">
        <f t="shared" si="2"/>
        <v>6</v>
      </c>
      <c r="O44" s="8">
        <v>908.03700000000003</v>
      </c>
      <c r="P44" s="8">
        <f t="shared" si="3"/>
        <v>1089.6444000000001</v>
      </c>
      <c r="Q44" s="8">
        <v>727.90000000000009</v>
      </c>
      <c r="R44" s="8">
        <f t="shared" si="4"/>
        <v>1004.502</v>
      </c>
      <c r="S44" s="8">
        <v>180.13699999999994</v>
      </c>
      <c r="T44" s="8">
        <f t="shared" si="5"/>
        <v>85.14240000000018</v>
      </c>
    </row>
    <row r="45" spans="1:20" ht="16.5" x14ac:dyDescent="0.3">
      <c r="A45" s="4" t="s">
        <v>296</v>
      </c>
      <c r="B45" s="6">
        <v>45153</v>
      </c>
      <c r="C45" s="14">
        <v>45153</v>
      </c>
      <c r="D45" s="4" t="s">
        <v>1016</v>
      </c>
      <c r="E45" s="8">
        <v>91.85</v>
      </c>
      <c r="F45" s="8">
        <f t="shared" si="0"/>
        <v>105.62749999999998</v>
      </c>
      <c r="G45" s="8">
        <v>111.29</v>
      </c>
      <c r="H45" s="8">
        <v>111.29</v>
      </c>
      <c r="I45" s="8" t="s">
        <v>1471</v>
      </c>
      <c r="J45" s="10">
        <v>0</v>
      </c>
      <c r="K45" s="10">
        <v>0</v>
      </c>
      <c r="L45" s="10">
        <f t="shared" si="1"/>
        <v>0</v>
      </c>
      <c r="M45" s="12">
        <v>6</v>
      </c>
      <c r="N45" s="12">
        <f t="shared" si="2"/>
        <v>7.1999999999999993</v>
      </c>
      <c r="O45" s="8">
        <v>667.74</v>
      </c>
      <c r="P45" s="8">
        <f t="shared" si="3"/>
        <v>801.28800000000001</v>
      </c>
      <c r="Q45" s="8">
        <v>551.09999999999991</v>
      </c>
      <c r="R45" s="8">
        <f t="shared" si="4"/>
        <v>760.5179999999998</v>
      </c>
      <c r="S45" s="8">
        <v>116.6400000000001</v>
      </c>
      <c r="T45" s="8">
        <f t="shared" si="5"/>
        <v>40.770000000000209</v>
      </c>
    </row>
    <row r="46" spans="1:20" ht="16.5" x14ac:dyDescent="0.3">
      <c r="A46" s="4" t="s">
        <v>265</v>
      </c>
      <c r="B46" s="6">
        <v>44989</v>
      </c>
      <c r="C46" s="14">
        <v>44989</v>
      </c>
      <c r="D46" s="4" t="s">
        <v>985</v>
      </c>
      <c r="E46" s="8">
        <v>481.71</v>
      </c>
      <c r="F46" s="8">
        <f t="shared" si="0"/>
        <v>553.96649999999988</v>
      </c>
      <c r="G46" s="8">
        <v>912.45</v>
      </c>
      <c r="H46" s="8">
        <v>912.45</v>
      </c>
      <c r="I46" s="8" t="s">
        <v>1469</v>
      </c>
      <c r="J46" s="10">
        <v>0.20300000000000001</v>
      </c>
      <c r="K46" s="10">
        <v>0.20300000000000001</v>
      </c>
      <c r="L46" s="10">
        <f t="shared" si="1"/>
        <v>0.20300000000000001</v>
      </c>
      <c r="M46" s="12">
        <v>24</v>
      </c>
      <c r="N46" s="12">
        <f t="shared" si="2"/>
        <v>28.799999999999997</v>
      </c>
      <c r="O46" s="8">
        <v>17453.3436</v>
      </c>
      <c r="P46" s="8">
        <f t="shared" si="3"/>
        <v>20944.012319999998</v>
      </c>
      <c r="Q46" s="8">
        <v>11561.039999999999</v>
      </c>
      <c r="R46" s="8">
        <f t="shared" si="4"/>
        <v>15954.235199999996</v>
      </c>
      <c r="S46" s="8">
        <v>5892.3036000000011</v>
      </c>
      <c r="T46" s="8">
        <f t="shared" si="5"/>
        <v>4989.7771200000025</v>
      </c>
    </row>
    <row r="47" spans="1:20" ht="16.5" x14ac:dyDescent="0.3">
      <c r="A47" s="4" t="s">
        <v>391</v>
      </c>
      <c r="B47" s="6">
        <v>44998</v>
      </c>
      <c r="C47" s="14">
        <v>44998</v>
      </c>
      <c r="D47" s="4" t="s">
        <v>1111</v>
      </c>
      <c r="E47" s="8">
        <v>1113.7</v>
      </c>
      <c r="F47" s="8">
        <f t="shared" si="0"/>
        <v>1280.7549999999999</v>
      </c>
      <c r="G47" s="8">
        <v>1620.6</v>
      </c>
      <c r="H47" s="8">
        <v>1620.6</v>
      </c>
      <c r="I47" s="8" t="s">
        <v>1470</v>
      </c>
      <c r="J47" s="10">
        <v>0.13900000000000001</v>
      </c>
      <c r="K47" s="10">
        <v>0.13900000000000001</v>
      </c>
      <c r="L47" s="10">
        <f t="shared" si="1"/>
        <v>0.13900000000000001</v>
      </c>
      <c r="M47" s="12">
        <v>11</v>
      </c>
      <c r="N47" s="12">
        <f t="shared" si="2"/>
        <v>13.2</v>
      </c>
      <c r="O47" s="8">
        <v>15348.702599999999</v>
      </c>
      <c r="P47" s="8">
        <f t="shared" si="3"/>
        <v>18418.44312</v>
      </c>
      <c r="Q47" s="8">
        <v>12250.7</v>
      </c>
      <c r="R47" s="8">
        <f t="shared" si="4"/>
        <v>16905.965999999997</v>
      </c>
      <c r="S47" s="8">
        <v>3098.002599999998</v>
      </c>
      <c r="T47" s="8">
        <f t="shared" si="5"/>
        <v>1512.4771200000032</v>
      </c>
    </row>
    <row r="48" spans="1:20" ht="16.5" x14ac:dyDescent="0.3">
      <c r="A48" s="4" t="s">
        <v>555</v>
      </c>
      <c r="B48" s="6">
        <v>45115</v>
      </c>
      <c r="C48" s="14">
        <v>45115</v>
      </c>
      <c r="D48" s="4" t="s">
        <v>1273</v>
      </c>
      <c r="E48" s="8">
        <v>1258.72</v>
      </c>
      <c r="F48" s="8">
        <f t="shared" si="0"/>
        <v>1447.528</v>
      </c>
      <c r="G48" s="8">
        <v>2797.41</v>
      </c>
      <c r="H48" s="8">
        <v>2797.41</v>
      </c>
      <c r="I48" s="8" t="s">
        <v>1470</v>
      </c>
      <c r="J48" s="10">
        <v>0</v>
      </c>
      <c r="K48" s="10">
        <v>0</v>
      </c>
      <c r="L48" s="10">
        <f t="shared" si="1"/>
        <v>0</v>
      </c>
      <c r="M48" s="12">
        <v>7</v>
      </c>
      <c r="N48" s="12">
        <f t="shared" si="2"/>
        <v>8.4</v>
      </c>
      <c r="O48" s="8">
        <v>19581.87</v>
      </c>
      <c r="P48" s="8">
        <f t="shared" si="3"/>
        <v>23498.243999999999</v>
      </c>
      <c r="Q48" s="8">
        <v>8811.0400000000009</v>
      </c>
      <c r="R48" s="8">
        <f t="shared" si="4"/>
        <v>12159.235200000001</v>
      </c>
      <c r="S48" s="8">
        <v>10770.829999999998</v>
      </c>
      <c r="T48" s="8">
        <f t="shared" si="5"/>
        <v>11339.008799999998</v>
      </c>
    </row>
    <row r="49" spans="1:20" ht="16.5" x14ac:dyDescent="0.3">
      <c r="A49" s="4" t="s">
        <v>187</v>
      </c>
      <c r="B49" s="6">
        <v>44981</v>
      </c>
      <c r="C49" s="14">
        <v>44981</v>
      </c>
      <c r="D49" s="4" t="s">
        <v>906</v>
      </c>
      <c r="E49" s="8">
        <v>6.85</v>
      </c>
      <c r="F49" s="8">
        <f t="shared" si="0"/>
        <v>7.8774999999999986</v>
      </c>
      <c r="G49" s="8">
        <v>10.18</v>
      </c>
      <c r="H49" s="8">
        <v>10.18</v>
      </c>
      <c r="I49" s="8" t="s">
        <v>1471</v>
      </c>
      <c r="J49" s="10">
        <v>4.7E-2</v>
      </c>
      <c r="K49" s="10">
        <v>4.7E-2</v>
      </c>
      <c r="L49" s="10">
        <f t="shared" si="1"/>
        <v>4.7E-2</v>
      </c>
      <c r="M49" s="12">
        <v>10</v>
      </c>
      <c r="N49" s="12">
        <f t="shared" si="2"/>
        <v>12</v>
      </c>
      <c r="O49" s="8">
        <v>97.0154</v>
      </c>
      <c r="P49" s="8">
        <f t="shared" si="3"/>
        <v>116.41847999999999</v>
      </c>
      <c r="Q49" s="8">
        <v>68.5</v>
      </c>
      <c r="R49" s="8">
        <f t="shared" si="4"/>
        <v>94.529999999999987</v>
      </c>
      <c r="S49" s="8">
        <v>28.5154</v>
      </c>
      <c r="T49" s="8">
        <f t="shared" si="5"/>
        <v>21.888480000000001</v>
      </c>
    </row>
    <row r="50" spans="1:20" ht="16.5" x14ac:dyDescent="0.3">
      <c r="A50" s="4" t="s">
        <v>240</v>
      </c>
      <c r="B50" s="6">
        <v>45137</v>
      </c>
      <c r="C50" s="14">
        <v>45137</v>
      </c>
      <c r="D50" s="4" t="s">
        <v>960</v>
      </c>
      <c r="E50" s="8">
        <v>1352.44</v>
      </c>
      <c r="F50" s="8">
        <f t="shared" si="0"/>
        <v>1555.306</v>
      </c>
      <c r="G50" s="8">
        <v>2698.01</v>
      </c>
      <c r="H50" s="8">
        <v>2698.01</v>
      </c>
      <c r="I50" s="8" t="s">
        <v>1470</v>
      </c>
      <c r="J50" s="10">
        <v>0.13100000000000001</v>
      </c>
      <c r="K50" s="10">
        <v>0.13100000000000001</v>
      </c>
      <c r="L50" s="10">
        <f t="shared" si="1"/>
        <v>0.13100000000000001</v>
      </c>
      <c r="M50" s="12">
        <v>13</v>
      </c>
      <c r="N50" s="12">
        <f t="shared" si="2"/>
        <v>15.6</v>
      </c>
      <c r="O50" s="8">
        <v>30479.418970000002</v>
      </c>
      <c r="P50" s="8">
        <f t="shared" si="3"/>
        <v>36575.302764000007</v>
      </c>
      <c r="Q50" s="8">
        <v>17581.72</v>
      </c>
      <c r="R50" s="8">
        <f t="shared" si="4"/>
        <v>24262.7736</v>
      </c>
      <c r="S50" s="8">
        <v>12897.698970000001</v>
      </c>
      <c r="T50" s="8">
        <f t="shared" si="5"/>
        <v>12312.529164000007</v>
      </c>
    </row>
    <row r="51" spans="1:20" ht="16.5" x14ac:dyDescent="0.3">
      <c r="A51" s="4" t="s">
        <v>93</v>
      </c>
      <c r="B51" s="6">
        <v>45091</v>
      </c>
      <c r="C51" s="14">
        <v>45091</v>
      </c>
      <c r="D51" s="4" t="s">
        <v>812</v>
      </c>
      <c r="E51" s="8">
        <v>357.36</v>
      </c>
      <c r="F51" s="8">
        <f t="shared" si="0"/>
        <v>410.964</v>
      </c>
      <c r="G51" s="8">
        <v>703.62</v>
      </c>
      <c r="H51" s="8">
        <v>703.62</v>
      </c>
      <c r="I51" s="8" t="s">
        <v>1471</v>
      </c>
      <c r="J51" s="10">
        <v>0.25700000000000001</v>
      </c>
      <c r="K51" s="10">
        <v>0.25700000000000001</v>
      </c>
      <c r="L51" s="10">
        <f t="shared" si="1"/>
        <v>0.25</v>
      </c>
      <c r="M51" s="12">
        <v>20</v>
      </c>
      <c r="N51" s="12">
        <f t="shared" si="2"/>
        <v>24</v>
      </c>
      <c r="O51" s="8">
        <v>10455.7932</v>
      </c>
      <c r="P51" s="8">
        <f t="shared" si="3"/>
        <v>12665.16</v>
      </c>
      <c r="Q51" s="8">
        <v>7147.2000000000007</v>
      </c>
      <c r="R51" s="8">
        <f t="shared" si="4"/>
        <v>9863.1360000000004</v>
      </c>
      <c r="S51" s="8">
        <v>3308.5931999999993</v>
      </c>
      <c r="T51" s="8">
        <f t="shared" si="5"/>
        <v>2802.0239999999994</v>
      </c>
    </row>
    <row r="52" spans="1:20" ht="16.5" x14ac:dyDescent="0.3">
      <c r="A52" s="4" t="s">
        <v>64</v>
      </c>
      <c r="B52" s="6">
        <v>45117</v>
      </c>
      <c r="C52" s="14">
        <v>45117</v>
      </c>
      <c r="D52" s="4" t="s">
        <v>783</v>
      </c>
      <c r="E52" s="8">
        <v>1303.56</v>
      </c>
      <c r="F52" s="8">
        <f t="shared" si="0"/>
        <v>1499.0939999999998</v>
      </c>
      <c r="G52" s="8">
        <v>1791.37</v>
      </c>
      <c r="H52" s="8">
        <v>1791.37</v>
      </c>
      <c r="I52" s="8" t="s">
        <v>1470</v>
      </c>
      <c r="J52" s="10">
        <v>0.126</v>
      </c>
      <c r="K52" s="10">
        <v>0.126</v>
      </c>
      <c r="L52" s="10">
        <f t="shared" si="1"/>
        <v>0.126</v>
      </c>
      <c r="M52" s="12">
        <v>22</v>
      </c>
      <c r="N52" s="12">
        <f t="shared" si="2"/>
        <v>26.4</v>
      </c>
      <c r="O52" s="8">
        <v>34444.462359999998</v>
      </c>
      <c r="P52" s="8">
        <f t="shared" si="3"/>
        <v>41333.354831999997</v>
      </c>
      <c r="Q52" s="8">
        <v>28678.32</v>
      </c>
      <c r="R52" s="8">
        <f t="shared" si="4"/>
        <v>39576.08159999999</v>
      </c>
      <c r="S52" s="8">
        <v>5766.142359999998</v>
      </c>
      <c r="T52" s="8">
        <f t="shared" si="5"/>
        <v>1757.2732320000068</v>
      </c>
    </row>
    <row r="53" spans="1:20" ht="16.5" x14ac:dyDescent="0.3">
      <c r="A53" s="4" t="s">
        <v>618</v>
      </c>
      <c r="B53" s="6">
        <v>45026</v>
      </c>
      <c r="C53" s="14">
        <v>45026</v>
      </c>
      <c r="D53" s="4" t="s">
        <v>1336</v>
      </c>
      <c r="E53" s="8">
        <v>405.66</v>
      </c>
      <c r="F53" s="8">
        <f t="shared" si="0"/>
        <v>466.50900000000001</v>
      </c>
      <c r="G53" s="8">
        <v>962.51</v>
      </c>
      <c r="H53" s="8">
        <v>962.51</v>
      </c>
      <c r="I53" s="8" t="s">
        <v>1469</v>
      </c>
      <c r="J53" s="10">
        <v>0.19</v>
      </c>
      <c r="K53" s="10">
        <v>0.19</v>
      </c>
      <c r="L53" s="10">
        <f t="shared" si="1"/>
        <v>0.19</v>
      </c>
      <c r="M53" s="12">
        <v>7</v>
      </c>
      <c r="N53" s="12">
        <f t="shared" si="2"/>
        <v>8.4</v>
      </c>
      <c r="O53" s="8">
        <v>5457.4317000000001</v>
      </c>
      <c r="P53" s="8">
        <f t="shared" si="3"/>
        <v>6548.9180400000005</v>
      </c>
      <c r="Q53" s="8">
        <v>2839.6200000000003</v>
      </c>
      <c r="R53" s="8">
        <f t="shared" si="4"/>
        <v>3918.6756000000005</v>
      </c>
      <c r="S53" s="8">
        <v>2617.8116999999997</v>
      </c>
      <c r="T53" s="8">
        <f t="shared" si="5"/>
        <v>2630.24244</v>
      </c>
    </row>
    <row r="54" spans="1:20" ht="16.5" x14ac:dyDescent="0.3">
      <c r="A54" s="4" t="s">
        <v>241</v>
      </c>
      <c r="B54" s="6">
        <v>45203</v>
      </c>
      <c r="C54" s="14">
        <v>45203</v>
      </c>
      <c r="D54" s="4" t="s">
        <v>961</v>
      </c>
      <c r="E54" s="8">
        <v>1239.8399999999999</v>
      </c>
      <c r="F54" s="8">
        <f t="shared" si="0"/>
        <v>1425.8159999999998</v>
      </c>
      <c r="G54" s="8">
        <v>1482.75</v>
      </c>
      <c r="H54" s="8">
        <v>1482.75</v>
      </c>
      <c r="I54" s="8" t="s">
        <v>1469</v>
      </c>
      <c r="J54" s="10">
        <v>6.7000000000000004E-2</v>
      </c>
      <c r="K54" s="10">
        <v>6.7000000000000004E-2</v>
      </c>
      <c r="L54" s="10">
        <f t="shared" si="1"/>
        <v>6.7000000000000004E-2</v>
      </c>
      <c r="M54" s="12">
        <v>4</v>
      </c>
      <c r="N54" s="12">
        <f t="shared" si="2"/>
        <v>4.8</v>
      </c>
      <c r="O54" s="8">
        <v>5533.6230000000005</v>
      </c>
      <c r="P54" s="8">
        <f t="shared" si="3"/>
        <v>6640.3476000000001</v>
      </c>
      <c r="Q54" s="8">
        <v>4959.3599999999997</v>
      </c>
      <c r="R54" s="8">
        <f t="shared" si="4"/>
        <v>6843.9167999999991</v>
      </c>
      <c r="S54" s="8">
        <v>574.26300000000083</v>
      </c>
      <c r="T54" s="8">
        <f t="shared" si="5"/>
        <v>-203.569199999999</v>
      </c>
    </row>
    <row r="55" spans="1:20" ht="16.5" x14ac:dyDescent="0.3">
      <c r="A55" s="4" t="s">
        <v>183</v>
      </c>
      <c r="B55" s="6">
        <v>45206</v>
      </c>
      <c r="C55" s="14">
        <v>45206</v>
      </c>
      <c r="D55" s="4" t="s">
        <v>902</v>
      </c>
      <c r="E55" s="8">
        <v>906.81</v>
      </c>
      <c r="F55" s="8">
        <f t="shared" si="0"/>
        <v>1042.8314999999998</v>
      </c>
      <c r="G55" s="8">
        <v>1395.56</v>
      </c>
      <c r="H55" s="8">
        <v>1395.56</v>
      </c>
      <c r="I55" s="8" t="s">
        <v>1469</v>
      </c>
      <c r="J55" s="10">
        <v>0.185</v>
      </c>
      <c r="K55" s="10">
        <v>0.185</v>
      </c>
      <c r="L55" s="10">
        <f t="shared" si="1"/>
        <v>0.185</v>
      </c>
      <c r="M55" s="12">
        <v>6</v>
      </c>
      <c r="N55" s="12">
        <f t="shared" si="2"/>
        <v>7.1999999999999993</v>
      </c>
      <c r="O55" s="8">
        <v>6824.2884000000004</v>
      </c>
      <c r="P55" s="8">
        <f t="shared" si="3"/>
        <v>8189.1460799999986</v>
      </c>
      <c r="Q55" s="8">
        <v>5440.86</v>
      </c>
      <c r="R55" s="8">
        <f t="shared" si="4"/>
        <v>7508.3867999999975</v>
      </c>
      <c r="S55" s="8">
        <v>1383.4284000000007</v>
      </c>
      <c r="T55" s="8">
        <f t="shared" si="5"/>
        <v>680.75928000000113</v>
      </c>
    </row>
    <row r="56" spans="1:20" ht="16.5" x14ac:dyDescent="0.3">
      <c r="A56" s="4" t="s">
        <v>60</v>
      </c>
      <c r="B56" s="6">
        <v>45035</v>
      </c>
      <c r="C56" s="14">
        <v>45035</v>
      </c>
      <c r="D56" s="4" t="s">
        <v>779</v>
      </c>
      <c r="E56" s="8">
        <v>826.55</v>
      </c>
      <c r="F56" s="8">
        <f t="shared" si="0"/>
        <v>950.53249999999991</v>
      </c>
      <c r="G56" s="8">
        <v>1397.05</v>
      </c>
      <c r="H56" s="8">
        <v>1397.05</v>
      </c>
      <c r="I56" s="8" t="s">
        <v>1469</v>
      </c>
      <c r="J56" s="10">
        <v>0.16900000000000001</v>
      </c>
      <c r="K56" s="10">
        <v>0.16900000000000001</v>
      </c>
      <c r="L56" s="10">
        <f t="shared" si="1"/>
        <v>0.16900000000000001</v>
      </c>
      <c r="M56" s="12">
        <v>28</v>
      </c>
      <c r="N56" s="12">
        <f t="shared" si="2"/>
        <v>33.6</v>
      </c>
      <c r="O56" s="8">
        <v>32506.559399999998</v>
      </c>
      <c r="P56" s="8">
        <f t="shared" si="3"/>
        <v>39007.871279999999</v>
      </c>
      <c r="Q56" s="8">
        <v>23143.399999999998</v>
      </c>
      <c r="R56" s="8">
        <f t="shared" si="4"/>
        <v>31937.892</v>
      </c>
      <c r="S56" s="8">
        <v>9363.1594000000005</v>
      </c>
      <c r="T56" s="8">
        <f t="shared" si="5"/>
        <v>7069.9792799999996</v>
      </c>
    </row>
    <row r="57" spans="1:20" ht="16.5" x14ac:dyDescent="0.3">
      <c r="A57" s="4" t="s">
        <v>159</v>
      </c>
      <c r="B57" s="6">
        <v>45112</v>
      </c>
      <c r="C57" s="14">
        <v>45112</v>
      </c>
      <c r="D57" s="4" t="s">
        <v>878</v>
      </c>
      <c r="E57" s="8">
        <v>578.85</v>
      </c>
      <c r="F57" s="8">
        <f t="shared" si="0"/>
        <v>665.67750000000001</v>
      </c>
      <c r="G57" s="8">
        <v>998.76</v>
      </c>
      <c r="H57" s="8">
        <v>998.76</v>
      </c>
      <c r="I57" s="8" t="s">
        <v>1469</v>
      </c>
      <c r="J57" s="10">
        <v>8.2000000000000003E-2</v>
      </c>
      <c r="K57" s="10">
        <v>8.2000000000000003E-2</v>
      </c>
      <c r="L57" s="10">
        <f t="shared" si="1"/>
        <v>8.2000000000000003E-2</v>
      </c>
      <c r="M57" s="12">
        <v>28</v>
      </c>
      <c r="N57" s="12">
        <f t="shared" si="2"/>
        <v>33.6</v>
      </c>
      <c r="O57" s="8">
        <v>25672.127039999999</v>
      </c>
      <c r="P57" s="8">
        <f t="shared" si="3"/>
        <v>30806.552448000006</v>
      </c>
      <c r="Q57" s="8">
        <v>16207.800000000001</v>
      </c>
      <c r="R57" s="8">
        <f t="shared" si="4"/>
        <v>22366.764000000003</v>
      </c>
      <c r="S57" s="8">
        <v>9464.3270399999983</v>
      </c>
      <c r="T57" s="8">
        <f t="shared" si="5"/>
        <v>8439.788448000003</v>
      </c>
    </row>
    <row r="58" spans="1:20" ht="16.5" x14ac:dyDescent="0.3">
      <c r="A58" s="4" t="s">
        <v>198</v>
      </c>
      <c r="B58" s="6">
        <v>45157</v>
      </c>
      <c r="C58" s="14">
        <v>45157</v>
      </c>
      <c r="D58" s="4" t="s">
        <v>917</v>
      </c>
      <c r="E58" s="8">
        <v>790.63</v>
      </c>
      <c r="F58" s="8">
        <f t="shared" si="0"/>
        <v>909.22449999999992</v>
      </c>
      <c r="G58" s="8">
        <v>1382.31</v>
      </c>
      <c r="H58" s="8">
        <v>1382.31</v>
      </c>
      <c r="I58" s="8" t="s">
        <v>1469</v>
      </c>
      <c r="J58" s="10">
        <v>0.10100000000000001</v>
      </c>
      <c r="K58" s="10">
        <v>0.10100000000000001</v>
      </c>
      <c r="L58" s="10">
        <f t="shared" si="1"/>
        <v>0.10100000000000001</v>
      </c>
      <c r="M58" s="12">
        <v>7</v>
      </c>
      <c r="N58" s="12">
        <f t="shared" si="2"/>
        <v>8.4</v>
      </c>
      <c r="O58" s="8">
        <v>8698.8768300000011</v>
      </c>
      <c r="P58" s="8">
        <f t="shared" si="3"/>
        <v>10438.652196000001</v>
      </c>
      <c r="Q58" s="8">
        <v>5534.41</v>
      </c>
      <c r="R58" s="8">
        <f t="shared" si="4"/>
        <v>7637.4857999999995</v>
      </c>
      <c r="S58" s="8">
        <v>3164.4668300000012</v>
      </c>
      <c r="T58" s="8">
        <f t="shared" si="5"/>
        <v>2801.1663960000014</v>
      </c>
    </row>
    <row r="59" spans="1:20" ht="16.5" x14ac:dyDescent="0.3">
      <c r="A59" s="4" t="s">
        <v>589</v>
      </c>
      <c r="B59" s="6">
        <v>45042</v>
      </c>
      <c r="C59" s="14">
        <v>45042</v>
      </c>
      <c r="D59" s="4" t="s">
        <v>1307</v>
      </c>
      <c r="E59" s="8">
        <v>81.489999999999995</v>
      </c>
      <c r="F59" s="8">
        <f t="shared" si="0"/>
        <v>93.713499999999982</v>
      </c>
      <c r="G59" s="8">
        <v>113.08</v>
      </c>
      <c r="H59" s="8">
        <v>113.08</v>
      </c>
      <c r="I59" s="8" t="s">
        <v>1471</v>
      </c>
      <c r="J59" s="10">
        <v>0.121</v>
      </c>
      <c r="K59" s="10">
        <v>0.121</v>
      </c>
      <c r="L59" s="10">
        <f t="shared" si="1"/>
        <v>0.121</v>
      </c>
      <c r="M59" s="12">
        <v>5</v>
      </c>
      <c r="N59" s="12">
        <f t="shared" si="2"/>
        <v>6</v>
      </c>
      <c r="O59" s="8">
        <v>496.98660000000001</v>
      </c>
      <c r="P59" s="8">
        <f t="shared" si="3"/>
        <v>596.38391999999999</v>
      </c>
      <c r="Q59" s="8">
        <v>407.45</v>
      </c>
      <c r="R59" s="8">
        <f t="shared" si="4"/>
        <v>562.28099999999995</v>
      </c>
      <c r="S59" s="8">
        <v>89.536600000000021</v>
      </c>
      <c r="T59" s="8">
        <f t="shared" si="5"/>
        <v>34.10292000000004</v>
      </c>
    </row>
    <row r="60" spans="1:20" ht="16.5" x14ac:dyDescent="0.3">
      <c r="A60" s="4" t="s">
        <v>96</v>
      </c>
      <c r="B60" s="6">
        <v>45157</v>
      </c>
      <c r="C60" s="14">
        <v>45157</v>
      </c>
      <c r="D60" s="4" t="s">
        <v>815</v>
      </c>
      <c r="E60" s="8">
        <v>1183.95</v>
      </c>
      <c r="F60" s="8">
        <f t="shared" si="0"/>
        <v>1361.5425</v>
      </c>
      <c r="G60" s="8">
        <v>1503.53</v>
      </c>
      <c r="H60" s="8">
        <v>1503.53</v>
      </c>
      <c r="I60" s="8" t="s">
        <v>1469</v>
      </c>
      <c r="J60" s="10">
        <v>0.24099999999999999</v>
      </c>
      <c r="K60" s="10">
        <v>0.24099999999999999</v>
      </c>
      <c r="L60" s="10">
        <f t="shared" si="1"/>
        <v>0.24099999999999999</v>
      </c>
      <c r="M60" s="12">
        <v>16</v>
      </c>
      <c r="N60" s="12">
        <f t="shared" si="2"/>
        <v>19.2</v>
      </c>
      <c r="O60" s="8">
        <v>18258.868320000001</v>
      </c>
      <c r="P60" s="8">
        <f t="shared" si="3"/>
        <v>21910.641983999998</v>
      </c>
      <c r="Q60" s="8">
        <v>18943.2</v>
      </c>
      <c r="R60" s="8">
        <f t="shared" si="4"/>
        <v>26141.615999999998</v>
      </c>
      <c r="S60" s="8">
        <v>-684.33167999999932</v>
      </c>
      <c r="T60" s="8">
        <f t="shared" si="5"/>
        <v>-4230.9740160000001</v>
      </c>
    </row>
    <row r="61" spans="1:20" ht="16.5" x14ac:dyDescent="0.3">
      <c r="A61" s="4" t="s">
        <v>527</v>
      </c>
      <c r="B61" s="6">
        <v>45078</v>
      </c>
      <c r="C61" s="14">
        <v>45078</v>
      </c>
      <c r="D61" s="4" t="s">
        <v>1246</v>
      </c>
      <c r="E61" s="8">
        <v>804.17</v>
      </c>
      <c r="F61" s="8">
        <f t="shared" si="0"/>
        <v>924.79549999999983</v>
      </c>
      <c r="G61" s="8">
        <v>1072.29</v>
      </c>
      <c r="H61" s="8">
        <v>1072.29</v>
      </c>
      <c r="I61" s="8" t="s">
        <v>1469</v>
      </c>
      <c r="J61" s="10">
        <v>3.2000000000000001E-2</v>
      </c>
      <c r="K61" s="10">
        <v>3.2000000000000001E-2</v>
      </c>
      <c r="L61" s="10">
        <f t="shared" si="1"/>
        <v>3.2000000000000001E-2</v>
      </c>
      <c r="M61" s="12">
        <v>5</v>
      </c>
      <c r="N61" s="12">
        <f t="shared" si="2"/>
        <v>6</v>
      </c>
      <c r="O61" s="8">
        <v>5189.8836000000001</v>
      </c>
      <c r="P61" s="8">
        <f t="shared" si="3"/>
        <v>6227.8603199999998</v>
      </c>
      <c r="Q61" s="8">
        <v>4020.85</v>
      </c>
      <c r="R61" s="8">
        <f t="shared" si="4"/>
        <v>5548.7729999999992</v>
      </c>
      <c r="S61" s="8">
        <v>1169.0336000000002</v>
      </c>
      <c r="T61" s="8">
        <f t="shared" si="5"/>
        <v>679.08732000000055</v>
      </c>
    </row>
    <row r="62" spans="1:20" ht="16.5" x14ac:dyDescent="0.3">
      <c r="A62" s="4" t="s">
        <v>577</v>
      </c>
      <c r="B62" s="6">
        <v>45029</v>
      </c>
      <c r="C62" s="14">
        <v>45029</v>
      </c>
      <c r="D62" s="4" t="s">
        <v>1295</v>
      </c>
      <c r="E62" s="8">
        <v>671.05</v>
      </c>
      <c r="F62" s="8">
        <f t="shared" si="0"/>
        <v>771.70749999999987</v>
      </c>
      <c r="G62" s="8">
        <v>1645.48</v>
      </c>
      <c r="H62" s="8">
        <v>1645.48</v>
      </c>
      <c r="I62" s="8" t="s">
        <v>1470</v>
      </c>
      <c r="J62" s="10">
        <v>0.13700000000000001</v>
      </c>
      <c r="K62" s="10">
        <v>0.13700000000000001</v>
      </c>
      <c r="L62" s="10">
        <f t="shared" si="1"/>
        <v>0.13700000000000001</v>
      </c>
      <c r="M62" s="12">
        <v>6</v>
      </c>
      <c r="N62" s="12">
        <f t="shared" si="2"/>
        <v>7.1999999999999993</v>
      </c>
      <c r="O62" s="8">
        <v>8520.2954399999999</v>
      </c>
      <c r="P62" s="8">
        <f t="shared" si="3"/>
        <v>10224.354527999998</v>
      </c>
      <c r="Q62" s="8">
        <v>4026.2999999999997</v>
      </c>
      <c r="R62" s="8">
        <f t="shared" si="4"/>
        <v>5556.2939999999981</v>
      </c>
      <c r="S62" s="8">
        <v>4493.9954400000006</v>
      </c>
      <c r="T62" s="8">
        <f t="shared" si="5"/>
        <v>4668.060528</v>
      </c>
    </row>
    <row r="63" spans="1:20" ht="16.5" x14ac:dyDescent="0.3">
      <c r="A63" s="4" t="s">
        <v>330</v>
      </c>
      <c r="B63" s="6">
        <v>45052</v>
      </c>
      <c r="C63" s="14">
        <v>45052</v>
      </c>
      <c r="D63" s="4" t="s">
        <v>1050</v>
      </c>
      <c r="E63" s="8">
        <v>291.18</v>
      </c>
      <c r="F63" s="8">
        <f t="shared" si="0"/>
        <v>334.85699999999997</v>
      </c>
      <c r="G63" s="8">
        <v>479.54</v>
      </c>
      <c r="H63" s="8">
        <v>479.54</v>
      </c>
      <c r="I63" s="8" t="s">
        <v>1471</v>
      </c>
      <c r="J63" s="10">
        <v>0.14099999999999999</v>
      </c>
      <c r="K63" s="10">
        <v>0.14099999999999999</v>
      </c>
      <c r="L63" s="10">
        <f t="shared" si="1"/>
        <v>0.14099999999999999</v>
      </c>
      <c r="M63" s="12">
        <v>22</v>
      </c>
      <c r="N63" s="12">
        <f t="shared" si="2"/>
        <v>26.4</v>
      </c>
      <c r="O63" s="8">
        <v>9062.34692</v>
      </c>
      <c r="P63" s="8">
        <f t="shared" si="3"/>
        <v>10874.816304</v>
      </c>
      <c r="Q63" s="8">
        <v>6405.96</v>
      </c>
      <c r="R63" s="8">
        <f t="shared" si="4"/>
        <v>8840.2247999999981</v>
      </c>
      <c r="S63" s="8">
        <v>2656.3869199999999</v>
      </c>
      <c r="T63" s="8">
        <f t="shared" si="5"/>
        <v>2034.5915040000018</v>
      </c>
    </row>
    <row r="64" spans="1:20" ht="16.5" x14ac:dyDescent="0.3">
      <c r="A64" s="4" t="s">
        <v>406</v>
      </c>
      <c r="B64" s="6">
        <v>45208</v>
      </c>
      <c r="C64" s="14">
        <v>45208</v>
      </c>
      <c r="D64" s="4" t="s">
        <v>1125</v>
      </c>
      <c r="E64" s="8">
        <v>1132.03</v>
      </c>
      <c r="F64" s="8">
        <f t="shared" si="0"/>
        <v>1301.8344999999999</v>
      </c>
      <c r="G64" s="8">
        <v>2137.21</v>
      </c>
      <c r="H64" s="8">
        <v>2137.21</v>
      </c>
      <c r="I64" s="8" t="s">
        <v>1470</v>
      </c>
      <c r="J64" s="10">
        <v>0.35699999999999998</v>
      </c>
      <c r="K64" s="10">
        <v>0.3</v>
      </c>
      <c r="L64" s="10">
        <f t="shared" si="1"/>
        <v>0.25</v>
      </c>
      <c r="M64" s="12">
        <v>35</v>
      </c>
      <c r="N64" s="12">
        <f t="shared" si="2"/>
        <v>42</v>
      </c>
      <c r="O64" s="8">
        <v>52361.645000000004</v>
      </c>
      <c r="P64" s="8">
        <f t="shared" si="3"/>
        <v>67322.115000000005</v>
      </c>
      <c r="Q64" s="8">
        <v>39621.049999999996</v>
      </c>
      <c r="R64" s="8">
        <f t="shared" si="4"/>
        <v>54677.048999999999</v>
      </c>
      <c r="S64" s="8">
        <v>12740.595000000008</v>
      </c>
      <c r="T64" s="8">
        <f t="shared" si="5"/>
        <v>12645.066000000006</v>
      </c>
    </row>
    <row r="65" spans="1:20" ht="16.5" x14ac:dyDescent="0.3">
      <c r="A65" s="4" t="s">
        <v>303</v>
      </c>
      <c r="B65" s="6">
        <v>45125</v>
      </c>
      <c r="C65" s="14">
        <v>45125</v>
      </c>
      <c r="D65" s="4" t="s">
        <v>1023</v>
      </c>
      <c r="E65" s="8">
        <v>1271.56</v>
      </c>
      <c r="F65" s="8">
        <f t="shared" si="0"/>
        <v>1462.2939999999999</v>
      </c>
      <c r="G65" s="8">
        <v>995.47</v>
      </c>
      <c r="H65" s="8">
        <v>995.47</v>
      </c>
      <c r="I65" s="8" t="s">
        <v>1469</v>
      </c>
      <c r="J65" s="10">
        <v>0.192</v>
      </c>
      <c r="K65" s="10">
        <v>0.192</v>
      </c>
      <c r="L65" s="10">
        <f t="shared" si="1"/>
        <v>0.192</v>
      </c>
      <c r="M65" s="12">
        <v>13</v>
      </c>
      <c r="N65" s="12">
        <f t="shared" si="2"/>
        <v>15.6</v>
      </c>
      <c r="O65" s="8">
        <v>10456.416880000001</v>
      </c>
      <c r="P65" s="8">
        <f t="shared" si="3"/>
        <v>12547.700256000002</v>
      </c>
      <c r="Q65" s="8">
        <v>16530.28</v>
      </c>
      <c r="R65" s="8">
        <f t="shared" si="4"/>
        <v>22811.786399999997</v>
      </c>
      <c r="S65" s="8">
        <v>-6073.8631199999982</v>
      </c>
      <c r="T65" s="8">
        <f t="shared" si="5"/>
        <v>-10264.086143999995</v>
      </c>
    </row>
    <row r="66" spans="1:20" ht="16.5" x14ac:dyDescent="0.3">
      <c r="A66" s="4" t="s">
        <v>287</v>
      </c>
      <c r="B66" s="6">
        <v>45131</v>
      </c>
      <c r="C66" s="14">
        <v>45131</v>
      </c>
      <c r="D66" s="4" t="s">
        <v>1007</v>
      </c>
      <c r="E66" s="8">
        <v>1082.3800000000001</v>
      </c>
      <c r="F66" s="8">
        <f t="shared" si="0"/>
        <v>1244.7370000000001</v>
      </c>
      <c r="G66" s="8">
        <v>1766.55</v>
      </c>
      <c r="H66" s="8">
        <v>1766.55</v>
      </c>
      <c r="I66" s="8" t="s">
        <v>1470</v>
      </c>
      <c r="J66" s="10">
        <v>0.16400000000000001</v>
      </c>
      <c r="K66" s="10">
        <v>0.16400000000000001</v>
      </c>
      <c r="L66" s="10">
        <f t="shared" si="1"/>
        <v>0.16400000000000001</v>
      </c>
      <c r="M66" s="12">
        <v>20</v>
      </c>
      <c r="N66" s="12">
        <f t="shared" si="2"/>
        <v>24</v>
      </c>
      <c r="O66" s="8">
        <v>29536.716</v>
      </c>
      <c r="P66" s="8">
        <f t="shared" si="3"/>
        <v>35444.059199999996</v>
      </c>
      <c r="Q66" s="8">
        <v>21647.600000000002</v>
      </c>
      <c r="R66" s="8">
        <f t="shared" si="4"/>
        <v>29873.688000000002</v>
      </c>
      <c r="S66" s="8">
        <v>7889.1159999999982</v>
      </c>
      <c r="T66" s="8">
        <f t="shared" si="5"/>
        <v>5570.3711999999941</v>
      </c>
    </row>
    <row r="67" spans="1:20" ht="16.5" x14ac:dyDescent="0.3">
      <c r="A67" s="4" t="s">
        <v>17</v>
      </c>
      <c r="B67" s="6">
        <v>44985</v>
      </c>
      <c r="C67" s="14">
        <v>44985</v>
      </c>
      <c r="D67" s="4" t="s">
        <v>736</v>
      </c>
      <c r="E67" s="8">
        <v>1460.76</v>
      </c>
      <c r="F67" s="8">
        <f t="shared" ref="F67:F130" si="6">(E67*(1+$X$3))</f>
        <v>1679.8739999999998</v>
      </c>
      <c r="G67" s="8">
        <v>-30.66</v>
      </c>
      <c r="H67" s="8">
        <v>30.66</v>
      </c>
      <c r="I67" s="8" t="s">
        <v>1471</v>
      </c>
      <c r="J67" s="10">
        <v>0.13100000000000001</v>
      </c>
      <c r="K67" s="10">
        <v>0.13100000000000001</v>
      </c>
      <c r="L67" s="10">
        <f t="shared" ref="L67:L130" si="7">MIN(K67, $X$2)</f>
        <v>0.13100000000000001</v>
      </c>
      <c r="M67" s="12">
        <v>12</v>
      </c>
      <c r="N67" s="12">
        <f t="shared" ref="N67:N130" si="8">(M67*(1+$X$4))</f>
        <v>14.399999999999999</v>
      </c>
      <c r="O67" s="8">
        <v>319.72248000000002</v>
      </c>
      <c r="P67" s="8">
        <f t="shared" ref="P67:P130" si="9">(H67*N67*(1-L67))</f>
        <v>383.66697599999998</v>
      </c>
      <c r="Q67" s="8">
        <v>17529.12</v>
      </c>
      <c r="R67" s="8">
        <f t="shared" ref="R67:R130" si="10">F67*N67</f>
        <v>24190.185599999993</v>
      </c>
      <c r="S67" s="8">
        <v>-17209.397519999999</v>
      </c>
      <c r="T67" s="8">
        <f t="shared" ref="T67:T130" si="11">P67-R67</f>
        <v>-23806.518623999993</v>
      </c>
    </row>
    <row r="68" spans="1:20" ht="16.5" x14ac:dyDescent="0.3">
      <c r="A68" s="4" t="s">
        <v>107</v>
      </c>
      <c r="B68" s="6">
        <v>45101</v>
      </c>
      <c r="C68" s="14">
        <v>45101</v>
      </c>
      <c r="D68" s="4" t="s">
        <v>826</v>
      </c>
      <c r="E68" s="8">
        <v>804.01</v>
      </c>
      <c r="F68" s="8">
        <f t="shared" si="6"/>
        <v>924.61149999999986</v>
      </c>
      <c r="G68" s="8">
        <v>1405.07</v>
      </c>
      <c r="H68" s="8">
        <v>1405.07</v>
      </c>
      <c r="I68" s="8" t="s">
        <v>1469</v>
      </c>
      <c r="J68" s="10">
        <v>9.6000000000000002E-2</v>
      </c>
      <c r="K68" s="10">
        <v>9.6000000000000002E-2</v>
      </c>
      <c r="L68" s="10">
        <f t="shared" si="7"/>
        <v>9.6000000000000002E-2</v>
      </c>
      <c r="M68" s="12">
        <v>8</v>
      </c>
      <c r="N68" s="12">
        <f t="shared" si="8"/>
        <v>9.6</v>
      </c>
      <c r="O68" s="8">
        <v>10161.46624</v>
      </c>
      <c r="P68" s="8">
        <f t="shared" si="9"/>
        <v>12193.759488</v>
      </c>
      <c r="Q68" s="8">
        <v>6432.08</v>
      </c>
      <c r="R68" s="8">
        <f t="shared" si="10"/>
        <v>8876.2703999999976</v>
      </c>
      <c r="S68" s="8">
        <v>3729.3862399999998</v>
      </c>
      <c r="T68" s="8">
        <f t="shared" si="11"/>
        <v>3317.4890880000021</v>
      </c>
    </row>
    <row r="69" spans="1:20" ht="16.5" x14ac:dyDescent="0.3">
      <c r="A69" s="4" t="s">
        <v>307</v>
      </c>
      <c r="B69" s="6">
        <v>45161</v>
      </c>
      <c r="C69" s="14">
        <v>45161</v>
      </c>
      <c r="D69" s="4" t="s">
        <v>1027</v>
      </c>
      <c r="E69" s="8">
        <v>209.81</v>
      </c>
      <c r="F69" s="8">
        <f t="shared" si="6"/>
        <v>241.28149999999999</v>
      </c>
      <c r="G69" s="8">
        <v>523</v>
      </c>
      <c r="H69" s="8">
        <v>523</v>
      </c>
      <c r="I69" s="8" t="s">
        <v>1471</v>
      </c>
      <c r="J69" s="10">
        <v>5.8999999999999997E-2</v>
      </c>
      <c r="K69" s="10">
        <v>5.8999999999999997E-2</v>
      </c>
      <c r="L69" s="10">
        <f t="shared" si="7"/>
        <v>5.8999999999999997E-2</v>
      </c>
      <c r="M69" s="12">
        <v>15</v>
      </c>
      <c r="N69" s="12">
        <f t="shared" si="8"/>
        <v>18</v>
      </c>
      <c r="O69" s="8">
        <v>7382.1450000000004</v>
      </c>
      <c r="P69" s="8">
        <f t="shared" si="9"/>
        <v>8858.5740000000005</v>
      </c>
      <c r="Q69" s="8">
        <v>3147.15</v>
      </c>
      <c r="R69" s="8">
        <f t="shared" si="10"/>
        <v>4343.067</v>
      </c>
      <c r="S69" s="8">
        <v>4234.9950000000008</v>
      </c>
      <c r="T69" s="8">
        <f t="shared" si="11"/>
        <v>4515.5070000000005</v>
      </c>
    </row>
    <row r="70" spans="1:20" ht="16.5" x14ac:dyDescent="0.3">
      <c r="A70" s="4" t="s">
        <v>449</v>
      </c>
      <c r="B70" s="6">
        <v>45217</v>
      </c>
      <c r="C70" s="14">
        <v>45217</v>
      </c>
      <c r="D70" s="4" t="s">
        <v>1168</v>
      </c>
      <c r="E70" s="8">
        <v>774.12</v>
      </c>
      <c r="F70" s="8">
        <f t="shared" si="6"/>
        <v>890.23799999999994</v>
      </c>
      <c r="G70" s="8">
        <v>908.3</v>
      </c>
      <c r="H70" s="8">
        <v>908.3</v>
      </c>
      <c r="I70" s="8" t="s">
        <v>1469</v>
      </c>
      <c r="J70" s="10">
        <v>0</v>
      </c>
      <c r="K70" s="10">
        <v>0</v>
      </c>
      <c r="L70" s="10">
        <f t="shared" si="7"/>
        <v>0</v>
      </c>
      <c r="M70" s="12">
        <v>30</v>
      </c>
      <c r="N70" s="12">
        <f t="shared" si="8"/>
        <v>36</v>
      </c>
      <c r="O70" s="8">
        <v>27249</v>
      </c>
      <c r="P70" s="8">
        <f t="shared" si="9"/>
        <v>32698.799999999999</v>
      </c>
      <c r="Q70" s="8">
        <v>23223.599999999999</v>
      </c>
      <c r="R70" s="8">
        <f t="shared" si="10"/>
        <v>32048.567999999999</v>
      </c>
      <c r="S70" s="8">
        <v>4025.4000000000015</v>
      </c>
      <c r="T70" s="8">
        <f t="shared" si="11"/>
        <v>650.23199999999997</v>
      </c>
    </row>
    <row r="71" spans="1:20" ht="16.5" x14ac:dyDescent="0.3">
      <c r="A71" s="4" t="s">
        <v>600</v>
      </c>
      <c r="B71" s="6">
        <v>45049</v>
      </c>
      <c r="C71" s="14">
        <v>45049</v>
      </c>
      <c r="D71" s="4" t="s">
        <v>1318</v>
      </c>
      <c r="E71" s="8">
        <v>64.5</v>
      </c>
      <c r="F71" s="8">
        <f t="shared" si="6"/>
        <v>74.174999999999997</v>
      </c>
      <c r="G71" s="8">
        <v>123.62</v>
      </c>
      <c r="H71" s="8">
        <v>123.62</v>
      </c>
      <c r="I71" s="8" t="s">
        <v>1471</v>
      </c>
      <c r="J71" s="10">
        <v>0</v>
      </c>
      <c r="K71" s="10">
        <v>0</v>
      </c>
      <c r="L71" s="10">
        <f t="shared" si="7"/>
        <v>0</v>
      </c>
      <c r="M71" s="12">
        <v>3</v>
      </c>
      <c r="N71" s="12">
        <f t="shared" si="8"/>
        <v>3.5999999999999996</v>
      </c>
      <c r="O71" s="8">
        <v>370.86</v>
      </c>
      <c r="P71" s="8">
        <f t="shared" si="9"/>
        <v>445.03199999999998</v>
      </c>
      <c r="Q71" s="8">
        <v>193.5</v>
      </c>
      <c r="R71" s="8">
        <f t="shared" si="10"/>
        <v>267.02999999999997</v>
      </c>
      <c r="S71" s="8">
        <v>177.36</v>
      </c>
      <c r="T71" s="8">
        <f t="shared" si="11"/>
        <v>178.00200000000001</v>
      </c>
    </row>
    <row r="72" spans="1:20" ht="16.5" x14ac:dyDescent="0.3">
      <c r="A72" s="4" t="s">
        <v>214</v>
      </c>
      <c r="B72" s="6">
        <v>44939</v>
      </c>
      <c r="C72" s="14">
        <v>44939</v>
      </c>
      <c r="D72" s="4" t="s">
        <v>934</v>
      </c>
      <c r="E72" s="8">
        <v>833.57</v>
      </c>
      <c r="F72" s="8">
        <f t="shared" si="6"/>
        <v>958.60550000000001</v>
      </c>
      <c r="G72" s="8">
        <v>881.57</v>
      </c>
      <c r="H72" s="8">
        <v>881.57</v>
      </c>
      <c r="I72" s="8" t="s">
        <v>1469</v>
      </c>
      <c r="J72" s="10">
        <v>5.7000000000000002E-2</v>
      </c>
      <c r="K72" s="10">
        <v>5.7000000000000002E-2</v>
      </c>
      <c r="L72" s="10">
        <f t="shared" si="7"/>
        <v>5.7000000000000002E-2</v>
      </c>
      <c r="M72" s="12">
        <v>18</v>
      </c>
      <c r="N72" s="12">
        <f t="shared" si="8"/>
        <v>21.599999999999998</v>
      </c>
      <c r="O72" s="8">
        <v>14963.769179999999</v>
      </c>
      <c r="P72" s="8">
        <f t="shared" si="9"/>
        <v>17956.523015999999</v>
      </c>
      <c r="Q72" s="8">
        <v>15004.26</v>
      </c>
      <c r="R72" s="8">
        <f t="shared" si="10"/>
        <v>20705.878799999999</v>
      </c>
      <c r="S72" s="8">
        <v>-40.490820000000895</v>
      </c>
      <c r="T72" s="8">
        <f t="shared" si="11"/>
        <v>-2749.3557839999994</v>
      </c>
    </row>
    <row r="73" spans="1:20" ht="16.5" x14ac:dyDescent="0.3">
      <c r="A73" s="4" t="s">
        <v>89</v>
      </c>
      <c r="B73" s="6">
        <v>45066</v>
      </c>
      <c r="C73" s="14">
        <v>45066</v>
      </c>
      <c r="D73" s="4" t="s">
        <v>808</v>
      </c>
      <c r="E73" s="8">
        <v>917.88</v>
      </c>
      <c r="F73" s="8">
        <f t="shared" si="6"/>
        <v>1055.5619999999999</v>
      </c>
      <c r="G73" s="8">
        <v>1347.92</v>
      </c>
      <c r="H73" s="8">
        <v>1347.92</v>
      </c>
      <c r="I73" s="8" t="s">
        <v>1469</v>
      </c>
      <c r="J73" s="10">
        <v>0.34300000000000003</v>
      </c>
      <c r="K73" s="10">
        <v>0.3</v>
      </c>
      <c r="L73" s="10">
        <f t="shared" si="7"/>
        <v>0.25</v>
      </c>
      <c r="M73" s="12">
        <v>5</v>
      </c>
      <c r="N73" s="12">
        <f t="shared" si="8"/>
        <v>6</v>
      </c>
      <c r="O73" s="8">
        <v>4717.72</v>
      </c>
      <c r="P73" s="8">
        <f t="shared" si="9"/>
        <v>6065.64</v>
      </c>
      <c r="Q73" s="8">
        <v>4589.3999999999996</v>
      </c>
      <c r="R73" s="8">
        <f t="shared" si="10"/>
        <v>6333.3719999999994</v>
      </c>
      <c r="S73" s="8">
        <v>128.32000000000062</v>
      </c>
      <c r="T73" s="8">
        <f t="shared" si="11"/>
        <v>-267.73199999999906</v>
      </c>
    </row>
    <row r="74" spans="1:20" ht="16.5" x14ac:dyDescent="0.3">
      <c r="A74" s="4" t="s">
        <v>378</v>
      </c>
      <c r="B74" s="6">
        <v>45082</v>
      </c>
      <c r="C74" s="14">
        <v>45082</v>
      </c>
      <c r="D74" s="4" t="s">
        <v>1098</v>
      </c>
      <c r="E74" s="8">
        <v>605.82000000000005</v>
      </c>
      <c r="F74" s="8">
        <f t="shared" si="6"/>
        <v>696.69299999999998</v>
      </c>
      <c r="G74" s="8">
        <v>771.12</v>
      </c>
      <c r="H74" s="8">
        <v>771.12</v>
      </c>
      <c r="I74" s="8" t="s">
        <v>1471</v>
      </c>
      <c r="J74" s="10">
        <v>0.13200000000000001</v>
      </c>
      <c r="K74" s="10">
        <v>0.13200000000000001</v>
      </c>
      <c r="L74" s="10">
        <f t="shared" si="7"/>
        <v>0.13200000000000001</v>
      </c>
      <c r="M74" s="12">
        <v>19</v>
      </c>
      <c r="N74" s="12">
        <f t="shared" si="8"/>
        <v>22.8</v>
      </c>
      <c r="O74" s="8">
        <v>12717.311040000001</v>
      </c>
      <c r="P74" s="8">
        <f t="shared" si="9"/>
        <v>15260.773248</v>
      </c>
      <c r="Q74" s="8">
        <v>11510.580000000002</v>
      </c>
      <c r="R74" s="8">
        <f t="shared" si="10"/>
        <v>15884.600399999999</v>
      </c>
      <c r="S74" s="8">
        <v>1206.7310399999988</v>
      </c>
      <c r="T74" s="8">
        <f t="shared" si="11"/>
        <v>-623.82715199999984</v>
      </c>
    </row>
    <row r="75" spans="1:20" ht="16.5" x14ac:dyDescent="0.3">
      <c r="A75" s="4" t="s">
        <v>219</v>
      </c>
      <c r="B75" s="6">
        <v>45035</v>
      </c>
      <c r="C75" s="14">
        <v>45035</v>
      </c>
      <c r="D75" s="4" t="s">
        <v>939</v>
      </c>
      <c r="E75" s="8">
        <v>1178.42</v>
      </c>
      <c r="F75" s="8">
        <f t="shared" si="6"/>
        <v>1355.183</v>
      </c>
      <c r="G75" s="8">
        <v>2446.56</v>
      </c>
      <c r="H75" s="8">
        <v>2446.56</v>
      </c>
      <c r="I75" s="8" t="s">
        <v>1470</v>
      </c>
      <c r="J75" s="10">
        <v>2.9000000000000001E-2</v>
      </c>
      <c r="K75" s="10">
        <v>2.9000000000000001E-2</v>
      </c>
      <c r="L75" s="10">
        <f t="shared" si="7"/>
        <v>2.9000000000000001E-2</v>
      </c>
      <c r="M75" s="12">
        <v>11</v>
      </c>
      <c r="N75" s="12">
        <f t="shared" si="8"/>
        <v>13.2</v>
      </c>
      <c r="O75" s="8">
        <v>26131.70736</v>
      </c>
      <c r="P75" s="8">
        <f t="shared" si="9"/>
        <v>31358.048831999997</v>
      </c>
      <c r="Q75" s="8">
        <v>12962.62</v>
      </c>
      <c r="R75" s="8">
        <f t="shared" si="10"/>
        <v>17888.4156</v>
      </c>
      <c r="S75" s="8">
        <v>13169.08736</v>
      </c>
      <c r="T75" s="8">
        <f t="shared" si="11"/>
        <v>13469.633231999996</v>
      </c>
    </row>
    <row r="76" spans="1:20" ht="16.5" x14ac:dyDescent="0.3">
      <c r="A76" s="4" t="s">
        <v>200</v>
      </c>
      <c r="B76" s="6">
        <v>45099</v>
      </c>
      <c r="C76" s="14">
        <v>45099</v>
      </c>
      <c r="D76" s="4" t="s">
        <v>919</v>
      </c>
      <c r="E76" s="8">
        <v>734.34</v>
      </c>
      <c r="F76" s="8">
        <f t="shared" si="6"/>
        <v>844.49099999999999</v>
      </c>
      <c r="G76" s="8">
        <v>887.9</v>
      </c>
      <c r="H76" s="8">
        <v>887.9</v>
      </c>
      <c r="I76" s="8" t="s">
        <v>1469</v>
      </c>
      <c r="J76" s="10">
        <v>2.5000000000000001E-2</v>
      </c>
      <c r="K76" s="10">
        <v>2.5000000000000001E-2</v>
      </c>
      <c r="L76" s="10">
        <f t="shared" si="7"/>
        <v>2.5000000000000001E-2</v>
      </c>
      <c r="M76" s="12">
        <v>12</v>
      </c>
      <c r="N76" s="12">
        <f t="shared" si="8"/>
        <v>14.399999999999999</v>
      </c>
      <c r="O76" s="8">
        <v>10388.429999999998</v>
      </c>
      <c r="P76" s="8">
        <f t="shared" si="9"/>
        <v>12466.115999999998</v>
      </c>
      <c r="Q76" s="8">
        <v>8812.08</v>
      </c>
      <c r="R76" s="8">
        <f t="shared" si="10"/>
        <v>12160.670399999999</v>
      </c>
      <c r="S76" s="8">
        <v>1576.3499999999985</v>
      </c>
      <c r="T76" s="8">
        <f t="shared" si="11"/>
        <v>305.4455999999991</v>
      </c>
    </row>
    <row r="77" spans="1:20" ht="16.5" x14ac:dyDescent="0.3">
      <c r="A77" s="4" t="s">
        <v>512</v>
      </c>
      <c r="B77" s="6">
        <v>45224</v>
      </c>
      <c r="C77" s="14">
        <v>45224</v>
      </c>
      <c r="D77" s="4" t="s">
        <v>1231</v>
      </c>
      <c r="E77" s="8">
        <v>509.31</v>
      </c>
      <c r="F77" s="8">
        <f t="shared" si="6"/>
        <v>585.70650000000001</v>
      </c>
      <c r="G77" s="8">
        <v>1145.9000000000001</v>
      </c>
      <c r="H77" s="8">
        <v>1145.9000000000001</v>
      </c>
      <c r="I77" s="8" t="s">
        <v>1469</v>
      </c>
      <c r="J77" s="10">
        <v>5.7000000000000002E-2</v>
      </c>
      <c r="K77" s="10">
        <v>5.7000000000000002E-2</v>
      </c>
      <c r="L77" s="10">
        <f t="shared" si="7"/>
        <v>5.7000000000000002E-2</v>
      </c>
      <c r="M77" s="12">
        <v>8</v>
      </c>
      <c r="N77" s="12">
        <f t="shared" si="8"/>
        <v>9.6</v>
      </c>
      <c r="O77" s="8">
        <v>8644.6696000000011</v>
      </c>
      <c r="P77" s="8">
        <f t="shared" si="9"/>
        <v>10373.603520000001</v>
      </c>
      <c r="Q77" s="8">
        <v>4074.48</v>
      </c>
      <c r="R77" s="8">
        <f t="shared" si="10"/>
        <v>5622.7824000000001</v>
      </c>
      <c r="S77" s="8">
        <v>4570.1896000000015</v>
      </c>
      <c r="T77" s="8">
        <f t="shared" si="11"/>
        <v>4750.8211200000005</v>
      </c>
    </row>
    <row r="78" spans="1:20" ht="16.5" x14ac:dyDescent="0.3">
      <c r="A78" s="4" t="s">
        <v>67</v>
      </c>
      <c r="B78" s="6">
        <v>45016</v>
      </c>
      <c r="C78" s="14">
        <v>45016</v>
      </c>
      <c r="D78" s="4" t="s">
        <v>786</v>
      </c>
      <c r="E78" s="8">
        <v>533.26</v>
      </c>
      <c r="F78" s="8">
        <f t="shared" si="6"/>
        <v>613.24899999999991</v>
      </c>
      <c r="G78" s="8">
        <v>385.72</v>
      </c>
      <c r="H78" s="8">
        <v>385.72</v>
      </c>
      <c r="I78" s="8" t="s">
        <v>1471</v>
      </c>
      <c r="J78" s="10">
        <v>0</v>
      </c>
      <c r="K78" s="10">
        <v>0</v>
      </c>
      <c r="L78" s="10">
        <f t="shared" si="7"/>
        <v>0</v>
      </c>
      <c r="M78" s="12">
        <v>15</v>
      </c>
      <c r="N78" s="12">
        <f t="shared" si="8"/>
        <v>18</v>
      </c>
      <c r="O78" s="8">
        <v>5785.8</v>
      </c>
      <c r="P78" s="8">
        <f t="shared" si="9"/>
        <v>6942.9600000000009</v>
      </c>
      <c r="Q78" s="8">
        <v>7998.9</v>
      </c>
      <c r="R78" s="8">
        <f t="shared" si="10"/>
        <v>11038.481999999998</v>
      </c>
      <c r="S78" s="8">
        <v>-2213.0999999999995</v>
      </c>
      <c r="T78" s="8">
        <f t="shared" si="11"/>
        <v>-4095.5219999999972</v>
      </c>
    </row>
    <row r="79" spans="1:20" ht="16.5" x14ac:dyDescent="0.3">
      <c r="A79" s="4" t="s">
        <v>114</v>
      </c>
      <c r="B79" s="6">
        <v>44985</v>
      </c>
      <c r="C79" s="14">
        <v>44985</v>
      </c>
      <c r="D79" s="4" t="s">
        <v>833</v>
      </c>
      <c r="E79" s="8">
        <v>1200.78</v>
      </c>
      <c r="F79" s="8">
        <f t="shared" si="6"/>
        <v>1380.8969999999999</v>
      </c>
      <c r="G79" s="8">
        <v>2001.17</v>
      </c>
      <c r="H79" s="8">
        <v>2001.17</v>
      </c>
      <c r="I79" s="8" t="s">
        <v>1470</v>
      </c>
      <c r="J79" s="10">
        <v>0.29199999999999998</v>
      </c>
      <c r="K79" s="10">
        <v>0.29199999999999998</v>
      </c>
      <c r="L79" s="10">
        <f t="shared" si="7"/>
        <v>0.25</v>
      </c>
      <c r="M79" s="12">
        <v>18</v>
      </c>
      <c r="N79" s="12">
        <f t="shared" si="8"/>
        <v>21.599999999999998</v>
      </c>
      <c r="O79" s="8">
        <v>25502.910479999999</v>
      </c>
      <c r="P79" s="8">
        <f t="shared" si="9"/>
        <v>32418.953999999998</v>
      </c>
      <c r="Q79" s="8">
        <v>21614.04</v>
      </c>
      <c r="R79" s="8">
        <f t="shared" si="10"/>
        <v>29827.375199999995</v>
      </c>
      <c r="S79" s="8">
        <v>3888.8704799999978</v>
      </c>
      <c r="T79" s="8">
        <f t="shared" si="11"/>
        <v>2591.578800000003</v>
      </c>
    </row>
    <row r="80" spans="1:20" ht="16.5" x14ac:dyDescent="0.3">
      <c r="A80" s="4" t="s">
        <v>133</v>
      </c>
      <c r="B80" s="6">
        <v>45086</v>
      </c>
      <c r="C80" s="14">
        <v>45086</v>
      </c>
      <c r="D80" s="4" t="s">
        <v>852</v>
      </c>
      <c r="E80" s="8">
        <v>339.61</v>
      </c>
      <c r="F80" s="8">
        <f t="shared" si="6"/>
        <v>390.55149999999998</v>
      </c>
      <c r="G80" s="8">
        <v>621.02</v>
      </c>
      <c r="H80" s="8">
        <v>621.02</v>
      </c>
      <c r="I80" s="8" t="s">
        <v>1471</v>
      </c>
      <c r="J80" s="10">
        <v>7.0999999999999994E-2</v>
      </c>
      <c r="K80" s="10">
        <v>7.0999999999999994E-2</v>
      </c>
      <c r="L80" s="10">
        <f t="shared" si="7"/>
        <v>7.0999999999999994E-2</v>
      </c>
      <c r="M80" s="12">
        <v>10</v>
      </c>
      <c r="N80" s="12">
        <f t="shared" si="8"/>
        <v>12</v>
      </c>
      <c r="O80" s="8">
        <v>5769.2758000000003</v>
      </c>
      <c r="P80" s="8">
        <f t="shared" si="9"/>
        <v>6923.1309600000004</v>
      </c>
      <c r="Q80" s="8">
        <v>3396.1000000000004</v>
      </c>
      <c r="R80" s="8">
        <f t="shared" si="10"/>
        <v>4686.6179999999995</v>
      </c>
      <c r="S80" s="8">
        <v>2373.1758</v>
      </c>
      <c r="T80" s="8">
        <f t="shared" si="11"/>
        <v>2236.5129600000009</v>
      </c>
    </row>
    <row r="81" spans="1:20" ht="16.5" x14ac:dyDescent="0.3">
      <c r="A81" s="4" t="s">
        <v>147</v>
      </c>
      <c r="B81" s="6">
        <v>44953</v>
      </c>
      <c r="C81" s="14">
        <v>44953</v>
      </c>
      <c r="D81" s="4" t="s">
        <v>866</v>
      </c>
      <c r="E81" s="8">
        <v>941.2</v>
      </c>
      <c r="F81" s="8">
        <f t="shared" si="6"/>
        <v>1082.3799999999999</v>
      </c>
      <c r="G81" s="8">
        <v>668.02</v>
      </c>
      <c r="H81" s="8">
        <v>668.02</v>
      </c>
      <c r="I81" s="8" t="s">
        <v>1471</v>
      </c>
      <c r="J81" s="10">
        <v>0.22</v>
      </c>
      <c r="K81" s="10">
        <v>0.22</v>
      </c>
      <c r="L81" s="10">
        <f t="shared" si="7"/>
        <v>0.22</v>
      </c>
      <c r="M81" s="12">
        <v>16</v>
      </c>
      <c r="N81" s="12">
        <f t="shared" si="8"/>
        <v>19.2</v>
      </c>
      <c r="O81" s="8">
        <v>8336.8896000000004</v>
      </c>
      <c r="P81" s="8">
        <f t="shared" si="9"/>
        <v>10004.267519999999</v>
      </c>
      <c r="Q81" s="8">
        <v>15059.2</v>
      </c>
      <c r="R81" s="8">
        <f t="shared" si="10"/>
        <v>20781.695999999996</v>
      </c>
      <c r="S81" s="8">
        <v>-6722.3104000000003</v>
      </c>
      <c r="T81" s="8">
        <f t="shared" si="11"/>
        <v>-10777.428479999997</v>
      </c>
    </row>
    <row r="82" spans="1:20" ht="16.5" x14ac:dyDescent="0.3">
      <c r="A82" s="4" t="s">
        <v>230</v>
      </c>
      <c r="B82" s="6">
        <v>45280</v>
      </c>
      <c r="C82" s="14">
        <v>45280</v>
      </c>
      <c r="D82" s="4" t="s">
        <v>950</v>
      </c>
      <c r="E82" s="8">
        <v>1085.6099999999999</v>
      </c>
      <c r="F82" s="8">
        <f t="shared" si="6"/>
        <v>1248.4514999999999</v>
      </c>
      <c r="G82" s="8">
        <v>1246.4100000000001</v>
      </c>
      <c r="H82" s="8">
        <v>1246.4100000000001</v>
      </c>
      <c r="I82" s="8" t="s">
        <v>1469</v>
      </c>
      <c r="J82" s="10">
        <v>0.113</v>
      </c>
      <c r="K82" s="10">
        <v>0.113</v>
      </c>
      <c r="L82" s="10">
        <f t="shared" si="7"/>
        <v>0.113</v>
      </c>
      <c r="M82" s="12">
        <v>7</v>
      </c>
      <c r="N82" s="12">
        <f t="shared" si="8"/>
        <v>8.4</v>
      </c>
      <c r="O82" s="8">
        <v>7738.9596900000006</v>
      </c>
      <c r="P82" s="8">
        <f t="shared" si="9"/>
        <v>9286.7516280000018</v>
      </c>
      <c r="Q82" s="8">
        <v>7599.2699999999995</v>
      </c>
      <c r="R82" s="8">
        <f t="shared" si="10"/>
        <v>10486.9926</v>
      </c>
      <c r="S82" s="8">
        <v>139.68969000000106</v>
      </c>
      <c r="T82" s="8">
        <f t="shared" si="11"/>
        <v>-1200.2409719999978</v>
      </c>
    </row>
    <row r="83" spans="1:20" ht="16.5" x14ac:dyDescent="0.3">
      <c r="A83" s="4" t="s">
        <v>510</v>
      </c>
      <c r="B83" s="6">
        <v>45097</v>
      </c>
      <c r="C83" s="14">
        <v>45097</v>
      </c>
      <c r="D83" s="4" t="s">
        <v>1229</v>
      </c>
      <c r="E83" s="8">
        <v>1292.8599999999999</v>
      </c>
      <c r="F83" s="8">
        <f t="shared" si="6"/>
        <v>1486.7889999999998</v>
      </c>
      <c r="G83" s="8">
        <v>2981.01</v>
      </c>
      <c r="H83" s="8">
        <v>2981.01</v>
      </c>
      <c r="I83" s="8" t="s">
        <v>1470</v>
      </c>
      <c r="J83" s="10">
        <v>0.14199999999999999</v>
      </c>
      <c r="K83" s="10">
        <v>0.14199999999999999</v>
      </c>
      <c r="L83" s="10">
        <f t="shared" si="7"/>
        <v>0.14199999999999999</v>
      </c>
      <c r="M83" s="12">
        <v>12</v>
      </c>
      <c r="N83" s="12">
        <f t="shared" si="8"/>
        <v>14.399999999999999</v>
      </c>
      <c r="O83" s="8">
        <v>30692.47896</v>
      </c>
      <c r="P83" s="8">
        <f t="shared" si="9"/>
        <v>36830.974752000002</v>
      </c>
      <c r="Q83" s="8">
        <v>15514.32</v>
      </c>
      <c r="R83" s="8">
        <f t="shared" si="10"/>
        <v>21409.761599999994</v>
      </c>
      <c r="S83" s="8">
        <v>15178.158960000001</v>
      </c>
      <c r="T83" s="8">
        <f t="shared" si="11"/>
        <v>15421.213152000008</v>
      </c>
    </row>
    <row r="84" spans="1:20" ht="16.5" x14ac:dyDescent="0.3">
      <c r="A84" s="4" t="s">
        <v>186</v>
      </c>
      <c r="B84" s="6">
        <v>45190</v>
      </c>
      <c r="C84" s="14">
        <v>45190</v>
      </c>
      <c r="D84" s="4" t="s">
        <v>905</v>
      </c>
      <c r="E84" s="8">
        <v>845.63</v>
      </c>
      <c r="F84" s="8">
        <f t="shared" si="6"/>
        <v>972.47449999999992</v>
      </c>
      <c r="G84" s="8">
        <v>2062.12</v>
      </c>
      <c r="H84" s="8">
        <v>2062.12</v>
      </c>
      <c r="I84" s="8" t="s">
        <v>1470</v>
      </c>
      <c r="J84" s="10">
        <v>0.13400000000000001</v>
      </c>
      <c r="K84" s="10">
        <v>0.13400000000000001</v>
      </c>
      <c r="L84" s="10">
        <f t="shared" si="7"/>
        <v>0.13400000000000001</v>
      </c>
      <c r="M84" s="12">
        <v>5</v>
      </c>
      <c r="N84" s="12">
        <f t="shared" si="8"/>
        <v>6</v>
      </c>
      <c r="O84" s="8">
        <v>8928.9795999999988</v>
      </c>
      <c r="P84" s="8">
        <f t="shared" si="9"/>
        <v>10714.775519999999</v>
      </c>
      <c r="Q84" s="8">
        <v>4228.1499999999996</v>
      </c>
      <c r="R84" s="8">
        <f t="shared" si="10"/>
        <v>5834.8469999999998</v>
      </c>
      <c r="S84" s="8">
        <v>4700.8295999999991</v>
      </c>
      <c r="T84" s="8">
        <f t="shared" si="11"/>
        <v>4879.9285199999995</v>
      </c>
    </row>
    <row r="85" spans="1:20" ht="16.5" x14ac:dyDescent="0.3">
      <c r="A85" s="4" t="s">
        <v>628</v>
      </c>
      <c r="B85" s="6">
        <v>45137</v>
      </c>
      <c r="C85" s="14">
        <v>45137</v>
      </c>
      <c r="D85" s="4" t="s">
        <v>1346</v>
      </c>
      <c r="E85" s="8">
        <v>1418.51</v>
      </c>
      <c r="F85" s="8">
        <f t="shared" si="6"/>
        <v>1631.2864999999999</v>
      </c>
      <c r="G85" s="8">
        <v>2789.61</v>
      </c>
      <c r="H85" s="8">
        <v>2789.61</v>
      </c>
      <c r="I85" s="8" t="s">
        <v>1470</v>
      </c>
      <c r="J85" s="10">
        <v>0.17100000000000001</v>
      </c>
      <c r="K85" s="10">
        <v>0.17100000000000001</v>
      </c>
      <c r="L85" s="10">
        <f t="shared" si="7"/>
        <v>0.17100000000000001</v>
      </c>
      <c r="M85" s="12">
        <v>8</v>
      </c>
      <c r="N85" s="12">
        <f t="shared" si="8"/>
        <v>9.6</v>
      </c>
      <c r="O85" s="8">
        <v>18500.693520000001</v>
      </c>
      <c r="P85" s="8">
        <f t="shared" si="9"/>
        <v>22200.832224000002</v>
      </c>
      <c r="Q85" s="8">
        <v>11348.08</v>
      </c>
      <c r="R85" s="8">
        <f t="shared" si="10"/>
        <v>15660.350399999999</v>
      </c>
      <c r="S85" s="8">
        <v>7152.6135200000008</v>
      </c>
      <c r="T85" s="8">
        <f t="shared" si="11"/>
        <v>6540.4818240000022</v>
      </c>
    </row>
    <row r="86" spans="1:20" ht="16.5" x14ac:dyDescent="0.3">
      <c r="A86" s="4" t="s">
        <v>558</v>
      </c>
      <c r="B86" s="6">
        <v>45108</v>
      </c>
      <c r="C86" s="14">
        <v>45108</v>
      </c>
      <c r="D86" s="4" t="s">
        <v>1276</v>
      </c>
      <c r="E86" s="8">
        <v>460.21</v>
      </c>
      <c r="F86" s="8">
        <f t="shared" si="6"/>
        <v>529.24149999999997</v>
      </c>
      <c r="G86" s="8">
        <v>1139.1500000000001</v>
      </c>
      <c r="H86" s="8">
        <v>1139.1500000000001</v>
      </c>
      <c r="I86" s="8" t="s">
        <v>1469</v>
      </c>
      <c r="J86" s="10">
        <v>0.115</v>
      </c>
      <c r="K86" s="10">
        <v>0.115</v>
      </c>
      <c r="L86" s="10">
        <f t="shared" si="7"/>
        <v>0.115</v>
      </c>
      <c r="M86" s="12">
        <v>14</v>
      </c>
      <c r="N86" s="12">
        <f t="shared" si="8"/>
        <v>16.8</v>
      </c>
      <c r="O86" s="8">
        <v>14114.068500000001</v>
      </c>
      <c r="P86" s="8">
        <f t="shared" si="9"/>
        <v>16936.8822</v>
      </c>
      <c r="Q86" s="8">
        <v>6442.94</v>
      </c>
      <c r="R86" s="8">
        <f t="shared" si="10"/>
        <v>8891.2572</v>
      </c>
      <c r="S86" s="8">
        <v>7671.1285000000016</v>
      </c>
      <c r="T86" s="8">
        <f t="shared" si="11"/>
        <v>8045.625</v>
      </c>
    </row>
    <row r="87" spans="1:20" ht="16.5" x14ac:dyDescent="0.3">
      <c r="A87" s="4" t="s">
        <v>644</v>
      </c>
      <c r="B87" s="6">
        <v>45249</v>
      </c>
      <c r="C87" s="14">
        <v>45249</v>
      </c>
      <c r="D87" s="4" t="s">
        <v>1362</v>
      </c>
      <c r="E87" s="8">
        <v>807.11</v>
      </c>
      <c r="F87" s="8">
        <f t="shared" si="6"/>
        <v>928.17649999999992</v>
      </c>
      <c r="G87" s="8">
        <v>1853.86</v>
      </c>
      <c r="H87" s="8">
        <v>1853.86</v>
      </c>
      <c r="I87" s="8" t="s">
        <v>1470</v>
      </c>
      <c r="J87" s="10">
        <v>0.13900000000000001</v>
      </c>
      <c r="K87" s="10">
        <v>0.13900000000000001</v>
      </c>
      <c r="L87" s="10">
        <f t="shared" si="7"/>
        <v>0.13900000000000001</v>
      </c>
      <c r="M87" s="12">
        <v>8</v>
      </c>
      <c r="N87" s="12">
        <f t="shared" si="8"/>
        <v>9.6</v>
      </c>
      <c r="O87" s="8">
        <v>12769.38768</v>
      </c>
      <c r="P87" s="8">
        <f t="shared" si="9"/>
        <v>15323.265215999998</v>
      </c>
      <c r="Q87" s="8">
        <v>6456.88</v>
      </c>
      <c r="R87" s="8">
        <f t="shared" si="10"/>
        <v>8910.4943999999996</v>
      </c>
      <c r="S87" s="8">
        <v>6312.5076799999997</v>
      </c>
      <c r="T87" s="8">
        <f t="shared" si="11"/>
        <v>6412.7708159999984</v>
      </c>
    </row>
    <row r="88" spans="1:20" ht="16.5" x14ac:dyDescent="0.3">
      <c r="A88" s="4" t="s">
        <v>535</v>
      </c>
      <c r="B88" s="6">
        <v>45056</v>
      </c>
      <c r="C88" s="14">
        <v>45056</v>
      </c>
      <c r="D88" s="4" t="s">
        <v>1254</v>
      </c>
      <c r="E88" s="8">
        <v>1286.1600000000001</v>
      </c>
      <c r="F88" s="8">
        <f t="shared" si="6"/>
        <v>1479.0840000000001</v>
      </c>
      <c r="G88" s="8">
        <v>3101.11</v>
      </c>
      <c r="H88" s="8">
        <v>3101.11</v>
      </c>
      <c r="I88" s="8" t="s">
        <v>1470</v>
      </c>
      <c r="J88" s="10">
        <v>0.1</v>
      </c>
      <c r="K88" s="10">
        <v>0.1</v>
      </c>
      <c r="L88" s="10">
        <f t="shared" si="7"/>
        <v>0.1</v>
      </c>
      <c r="M88" s="12">
        <v>23</v>
      </c>
      <c r="N88" s="12">
        <f t="shared" si="8"/>
        <v>27.599999999999998</v>
      </c>
      <c r="O88" s="8">
        <v>64192.976999999999</v>
      </c>
      <c r="P88" s="8">
        <f t="shared" si="9"/>
        <v>77031.572400000005</v>
      </c>
      <c r="Q88" s="8">
        <v>29581.68</v>
      </c>
      <c r="R88" s="8">
        <f t="shared" si="10"/>
        <v>40822.718399999998</v>
      </c>
      <c r="S88" s="8">
        <v>34611.296999999999</v>
      </c>
      <c r="T88" s="8">
        <f t="shared" si="11"/>
        <v>36208.854000000007</v>
      </c>
    </row>
    <row r="89" spans="1:20" ht="16.5" x14ac:dyDescent="0.3">
      <c r="A89" s="4" t="s">
        <v>562</v>
      </c>
      <c r="B89" s="6">
        <v>44985</v>
      </c>
      <c r="C89" s="14">
        <v>44985</v>
      </c>
      <c r="D89" s="4" t="s">
        <v>1280</v>
      </c>
      <c r="E89" s="8">
        <v>880.02</v>
      </c>
      <c r="F89" s="8">
        <f t="shared" si="6"/>
        <v>1012.0229999999999</v>
      </c>
      <c r="G89" s="8">
        <v>1251.21</v>
      </c>
      <c r="H89" s="8">
        <v>1251.21</v>
      </c>
      <c r="I89" s="8" t="s">
        <v>1469</v>
      </c>
      <c r="J89" s="10">
        <v>0.123</v>
      </c>
      <c r="K89" s="10">
        <v>0.123</v>
      </c>
      <c r="L89" s="10">
        <f t="shared" si="7"/>
        <v>0.123</v>
      </c>
      <c r="M89" s="12">
        <v>29</v>
      </c>
      <c r="N89" s="12">
        <f t="shared" si="8"/>
        <v>34.799999999999997</v>
      </c>
      <c r="O89" s="8">
        <v>31822.023930000003</v>
      </c>
      <c r="P89" s="8">
        <f t="shared" si="9"/>
        <v>38186.428716000002</v>
      </c>
      <c r="Q89" s="8">
        <v>25520.579999999998</v>
      </c>
      <c r="R89" s="8">
        <f t="shared" si="10"/>
        <v>35218.400399999991</v>
      </c>
      <c r="S89" s="8">
        <v>6301.4439300000049</v>
      </c>
      <c r="T89" s="8">
        <f t="shared" si="11"/>
        <v>2968.0283160000108</v>
      </c>
    </row>
    <row r="90" spans="1:20" ht="16.5" x14ac:dyDescent="0.3">
      <c r="A90" s="4" t="s">
        <v>270</v>
      </c>
      <c r="B90" s="6">
        <v>45204</v>
      </c>
      <c r="C90" s="14">
        <v>45204</v>
      </c>
      <c r="D90" s="4" t="s">
        <v>990</v>
      </c>
      <c r="E90" s="8">
        <v>1470.26</v>
      </c>
      <c r="F90" s="8">
        <f t="shared" si="6"/>
        <v>1690.7989999999998</v>
      </c>
      <c r="G90" s="8">
        <v>2562.5500000000002</v>
      </c>
      <c r="H90" s="8">
        <v>2562.5500000000002</v>
      </c>
      <c r="I90" s="8" t="s">
        <v>1470</v>
      </c>
      <c r="J90" s="10">
        <v>0.17299999999999999</v>
      </c>
      <c r="K90" s="10">
        <v>0.17299999999999999</v>
      </c>
      <c r="L90" s="10">
        <f t="shared" si="7"/>
        <v>0.17299999999999999</v>
      </c>
      <c r="M90" s="12">
        <v>9</v>
      </c>
      <c r="N90" s="12">
        <f t="shared" si="8"/>
        <v>10.799999999999999</v>
      </c>
      <c r="O90" s="8">
        <v>19073.059649999999</v>
      </c>
      <c r="P90" s="8">
        <f t="shared" si="9"/>
        <v>22887.671579999998</v>
      </c>
      <c r="Q90" s="8">
        <v>13232.34</v>
      </c>
      <c r="R90" s="8">
        <f t="shared" si="10"/>
        <v>18260.629199999996</v>
      </c>
      <c r="S90" s="8">
        <v>5840.7196499999991</v>
      </c>
      <c r="T90" s="8">
        <f t="shared" si="11"/>
        <v>4627.0423800000026</v>
      </c>
    </row>
    <row r="91" spans="1:20" ht="16.5" x14ac:dyDescent="0.3">
      <c r="A91" s="4" t="s">
        <v>366</v>
      </c>
      <c r="B91" s="6">
        <v>45121</v>
      </c>
      <c r="C91" s="14">
        <v>45121</v>
      </c>
      <c r="D91" s="4" t="s">
        <v>1086</v>
      </c>
      <c r="E91" s="8">
        <v>956.38</v>
      </c>
      <c r="F91" s="8">
        <f t="shared" si="6"/>
        <v>1099.837</v>
      </c>
      <c r="G91" s="8">
        <v>1454.22</v>
      </c>
      <c r="H91" s="8">
        <v>1454.22</v>
      </c>
      <c r="I91" s="8" t="s">
        <v>1469</v>
      </c>
      <c r="J91" s="10">
        <v>3.9E-2</v>
      </c>
      <c r="K91" s="10">
        <v>3.9E-2</v>
      </c>
      <c r="L91" s="10">
        <f t="shared" si="7"/>
        <v>3.9E-2</v>
      </c>
      <c r="M91" s="12">
        <v>19</v>
      </c>
      <c r="N91" s="12">
        <f t="shared" si="8"/>
        <v>22.8</v>
      </c>
      <c r="O91" s="8">
        <v>26552.60298</v>
      </c>
      <c r="P91" s="8">
        <f t="shared" si="9"/>
        <v>31863.123575999998</v>
      </c>
      <c r="Q91" s="8">
        <v>18171.22</v>
      </c>
      <c r="R91" s="8">
        <f t="shared" si="10"/>
        <v>25076.283599999999</v>
      </c>
      <c r="S91" s="8">
        <v>8381.3829799999985</v>
      </c>
      <c r="T91" s="8">
        <f t="shared" si="11"/>
        <v>6786.8399759999993</v>
      </c>
    </row>
    <row r="92" spans="1:20" ht="16.5" x14ac:dyDescent="0.3">
      <c r="A92" s="4" t="s">
        <v>79</v>
      </c>
      <c r="B92" s="6">
        <v>44972</v>
      </c>
      <c r="C92" s="14">
        <v>44972</v>
      </c>
      <c r="D92" s="4" t="s">
        <v>798</v>
      </c>
      <c r="E92" s="8">
        <v>498.5</v>
      </c>
      <c r="F92" s="8">
        <f t="shared" si="6"/>
        <v>573.27499999999998</v>
      </c>
      <c r="G92" s="8">
        <v>755.87</v>
      </c>
      <c r="H92" s="8">
        <v>755.87</v>
      </c>
      <c r="I92" s="8" t="s">
        <v>1471</v>
      </c>
      <c r="J92" s="10">
        <v>0.13</v>
      </c>
      <c r="K92" s="10">
        <v>0.13</v>
      </c>
      <c r="L92" s="10">
        <f t="shared" si="7"/>
        <v>0.13</v>
      </c>
      <c r="M92" s="12">
        <v>40</v>
      </c>
      <c r="N92" s="12">
        <f t="shared" si="8"/>
        <v>48</v>
      </c>
      <c r="O92" s="8">
        <v>26304.275999999998</v>
      </c>
      <c r="P92" s="8">
        <f t="shared" si="9"/>
        <v>31565.1312</v>
      </c>
      <c r="Q92" s="8">
        <v>19940</v>
      </c>
      <c r="R92" s="8">
        <f t="shared" si="10"/>
        <v>27517.199999999997</v>
      </c>
      <c r="S92" s="8">
        <v>6364.275999999998</v>
      </c>
      <c r="T92" s="8">
        <f t="shared" si="11"/>
        <v>4047.9312000000027</v>
      </c>
    </row>
    <row r="93" spans="1:20" ht="16.5" x14ac:dyDescent="0.3">
      <c r="A93" s="4" t="s">
        <v>561</v>
      </c>
      <c r="B93" s="6">
        <v>45177</v>
      </c>
      <c r="C93" s="14">
        <v>45177</v>
      </c>
      <c r="D93" s="4" t="s">
        <v>1279</v>
      </c>
      <c r="E93" s="8">
        <v>1299.03</v>
      </c>
      <c r="F93" s="8">
        <f t="shared" si="6"/>
        <v>1493.8844999999999</v>
      </c>
      <c r="G93" s="8">
        <v>2451.2199999999998</v>
      </c>
      <c r="H93" s="8">
        <v>2451.2199999999998</v>
      </c>
      <c r="I93" s="8" t="s">
        <v>1470</v>
      </c>
      <c r="J93" s="10">
        <v>0.20799999999999999</v>
      </c>
      <c r="K93" s="10">
        <v>0.20799999999999999</v>
      </c>
      <c r="L93" s="10">
        <f t="shared" si="7"/>
        <v>0.20799999999999999</v>
      </c>
      <c r="M93" s="12">
        <v>8</v>
      </c>
      <c r="N93" s="12">
        <f t="shared" si="8"/>
        <v>9.6</v>
      </c>
      <c r="O93" s="8">
        <v>15530.929919999999</v>
      </c>
      <c r="P93" s="8">
        <f t="shared" si="9"/>
        <v>18637.115903999998</v>
      </c>
      <c r="Q93" s="8">
        <v>10392.24</v>
      </c>
      <c r="R93" s="8">
        <f t="shared" si="10"/>
        <v>14341.291199999998</v>
      </c>
      <c r="S93" s="8">
        <v>5138.6899199999989</v>
      </c>
      <c r="T93" s="8">
        <f t="shared" si="11"/>
        <v>4295.8247040000006</v>
      </c>
    </row>
    <row r="94" spans="1:20" ht="16.5" x14ac:dyDescent="0.3">
      <c r="A94" s="4" t="s">
        <v>166</v>
      </c>
      <c r="B94" s="6">
        <v>45110</v>
      </c>
      <c r="C94" s="14">
        <v>45110</v>
      </c>
      <c r="D94" s="4" t="s">
        <v>885</v>
      </c>
      <c r="E94" s="8">
        <v>1001.96</v>
      </c>
      <c r="F94" s="8">
        <f t="shared" si="6"/>
        <v>1152.2539999999999</v>
      </c>
      <c r="G94" s="8">
        <v>1254.95</v>
      </c>
      <c r="H94" s="8">
        <v>1254.95</v>
      </c>
      <c r="I94" s="8" t="s">
        <v>1469</v>
      </c>
      <c r="J94" s="10">
        <v>4.4999999999999998E-2</v>
      </c>
      <c r="K94" s="10">
        <v>4.4999999999999998E-2</v>
      </c>
      <c r="L94" s="10">
        <f t="shared" si="7"/>
        <v>4.4999999999999998E-2</v>
      </c>
      <c r="M94" s="12">
        <v>18</v>
      </c>
      <c r="N94" s="12">
        <f t="shared" si="8"/>
        <v>21.599999999999998</v>
      </c>
      <c r="O94" s="8">
        <v>21572.590500000002</v>
      </c>
      <c r="P94" s="8">
        <f t="shared" si="9"/>
        <v>25887.108599999996</v>
      </c>
      <c r="Q94" s="8">
        <v>18035.28</v>
      </c>
      <c r="R94" s="8">
        <f t="shared" si="10"/>
        <v>24888.686399999995</v>
      </c>
      <c r="S94" s="8">
        <v>3537.3105000000032</v>
      </c>
      <c r="T94" s="8">
        <f t="shared" si="11"/>
        <v>998.42220000000088</v>
      </c>
    </row>
    <row r="95" spans="1:20" ht="16.5" x14ac:dyDescent="0.3">
      <c r="A95" s="4" t="s">
        <v>238</v>
      </c>
      <c r="B95" s="6">
        <v>45035</v>
      </c>
      <c r="C95" s="14">
        <v>45035</v>
      </c>
      <c r="D95" s="4" t="s">
        <v>958</v>
      </c>
      <c r="E95" s="8">
        <v>1089.1500000000001</v>
      </c>
      <c r="F95" s="8">
        <f t="shared" si="6"/>
        <v>1252.5225</v>
      </c>
      <c r="G95" s="8">
        <v>1088.2</v>
      </c>
      <c r="H95" s="8">
        <v>1088.2</v>
      </c>
      <c r="I95" s="8" t="s">
        <v>1469</v>
      </c>
      <c r="J95" s="10">
        <v>5.0999999999999997E-2</v>
      </c>
      <c r="K95" s="10">
        <v>5.0999999999999997E-2</v>
      </c>
      <c r="L95" s="10">
        <f t="shared" si="7"/>
        <v>5.0999999999999997E-2</v>
      </c>
      <c r="M95" s="12">
        <v>15</v>
      </c>
      <c r="N95" s="12">
        <f t="shared" si="8"/>
        <v>18</v>
      </c>
      <c r="O95" s="8">
        <v>15490.527</v>
      </c>
      <c r="P95" s="8">
        <f t="shared" si="9"/>
        <v>18588.632400000002</v>
      </c>
      <c r="Q95" s="8">
        <v>16337.250000000002</v>
      </c>
      <c r="R95" s="8">
        <f t="shared" si="10"/>
        <v>22545.404999999999</v>
      </c>
      <c r="S95" s="8">
        <v>-846.72300000000178</v>
      </c>
      <c r="T95" s="8">
        <f t="shared" si="11"/>
        <v>-3956.7725999999966</v>
      </c>
    </row>
    <row r="96" spans="1:20" ht="16.5" x14ac:dyDescent="0.3">
      <c r="A96" s="4" t="s">
        <v>630</v>
      </c>
      <c r="B96" s="6">
        <v>45208</v>
      </c>
      <c r="C96" s="14">
        <v>45208</v>
      </c>
      <c r="D96" s="4" t="s">
        <v>1348</v>
      </c>
      <c r="E96" s="8">
        <v>391.16</v>
      </c>
      <c r="F96" s="8">
        <f t="shared" si="6"/>
        <v>449.834</v>
      </c>
      <c r="G96" s="8">
        <v>902.47</v>
      </c>
      <c r="H96" s="8">
        <v>902.47</v>
      </c>
      <c r="I96" s="8" t="s">
        <v>1469</v>
      </c>
      <c r="J96" s="10">
        <v>4.0000000000000001E-3</v>
      </c>
      <c r="K96" s="10">
        <v>4.0000000000000001E-3</v>
      </c>
      <c r="L96" s="10">
        <f t="shared" si="7"/>
        <v>4.0000000000000001E-3</v>
      </c>
      <c r="M96" s="12">
        <v>12</v>
      </c>
      <c r="N96" s="12">
        <f t="shared" si="8"/>
        <v>14.399999999999999</v>
      </c>
      <c r="O96" s="8">
        <v>10786.32144</v>
      </c>
      <c r="P96" s="8">
        <f t="shared" si="9"/>
        <v>12943.585728</v>
      </c>
      <c r="Q96" s="8">
        <v>4693.92</v>
      </c>
      <c r="R96" s="8">
        <f t="shared" si="10"/>
        <v>6477.6095999999998</v>
      </c>
      <c r="S96" s="8">
        <v>6092.4014399999996</v>
      </c>
      <c r="T96" s="8">
        <f t="shared" si="11"/>
        <v>6465.9761280000002</v>
      </c>
    </row>
    <row r="97" spans="1:20" ht="16.5" x14ac:dyDescent="0.3">
      <c r="A97" s="4" t="s">
        <v>254</v>
      </c>
      <c r="B97" s="6">
        <v>45188</v>
      </c>
      <c r="C97" s="14">
        <v>45188</v>
      </c>
      <c r="D97" s="4" t="s">
        <v>974</v>
      </c>
      <c r="E97" s="8">
        <v>385.32</v>
      </c>
      <c r="F97" s="8">
        <f t="shared" si="6"/>
        <v>443.11799999999994</v>
      </c>
      <c r="G97" s="8">
        <v>606.76</v>
      </c>
      <c r="H97" s="8">
        <v>606.76</v>
      </c>
      <c r="I97" s="8" t="s">
        <v>1471</v>
      </c>
      <c r="J97" s="10">
        <v>8.5999999999999993E-2</v>
      </c>
      <c r="K97" s="10">
        <v>8.5999999999999993E-2</v>
      </c>
      <c r="L97" s="10">
        <f t="shared" si="7"/>
        <v>8.5999999999999993E-2</v>
      </c>
      <c r="M97" s="12">
        <v>8</v>
      </c>
      <c r="N97" s="12">
        <f t="shared" si="8"/>
        <v>9.6</v>
      </c>
      <c r="O97" s="8">
        <v>4436.6291200000005</v>
      </c>
      <c r="P97" s="8">
        <f t="shared" si="9"/>
        <v>5323.9549440000001</v>
      </c>
      <c r="Q97" s="8">
        <v>3082.56</v>
      </c>
      <c r="R97" s="8">
        <f t="shared" si="10"/>
        <v>4253.9327999999996</v>
      </c>
      <c r="S97" s="8">
        <v>1354.0691200000006</v>
      </c>
      <c r="T97" s="8">
        <f t="shared" si="11"/>
        <v>1070.0221440000005</v>
      </c>
    </row>
    <row r="98" spans="1:20" ht="16.5" x14ac:dyDescent="0.3">
      <c r="A98" s="4" t="s">
        <v>275</v>
      </c>
      <c r="B98" s="6">
        <v>45073</v>
      </c>
      <c r="C98" s="14">
        <v>45073</v>
      </c>
      <c r="D98" s="4" t="s">
        <v>995</v>
      </c>
      <c r="E98" s="8">
        <v>1471.58</v>
      </c>
      <c r="F98" s="8">
        <f t="shared" si="6"/>
        <v>1692.3169999999998</v>
      </c>
      <c r="G98" s="8">
        <v>2576.65</v>
      </c>
      <c r="H98" s="8">
        <v>2576.65</v>
      </c>
      <c r="I98" s="8" t="s">
        <v>1470</v>
      </c>
      <c r="J98" s="10">
        <v>4.0000000000000001E-3</v>
      </c>
      <c r="K98" s="10">
        <v>4.0000000000000001E-3</v>
      </c>
      <c r="L98" s="10">
        <f t="shared" si="7"/>
        <v>4.0000000000000001E-3</v>
      </c>
      <c r="M98" s="12">
        <v>7</v>
      </c>
      <c r="N98" s="12">
        <f t="shared" si="8"/>
        <v>8.4</v>
      </c>
      <c r="O98" s="8">
        <v>17964.4038</v>
      </c>
      <c r="P98" s="8">
        <f t="shared" si="9"/>
        <v>21557.28456</v>
      </c>
      <c r="Q98" s="8">
        <v>10301.06</v>
      </c>
      <c r="R98" s="8">
        <f t="shared" si="10"/>
        <v>14215.462799999999</v>
      </c>
      <c r="S98" s="8">
        <v>7663.3438000000006</v>
      </c>
      <c r="T98" s="8">
        <f t="shared" si="11"/>
        <v>7341.8217600000007</v>
      </c>
    </row>
    <row r="99" spans="1:20" ht="16.5" x14ac:dyDescent="0.3">
      <c r="A99" s="4" t="s">
        <v>144</v>
      </c>
      <c r="B99" s="6">
        <v>44948</v>
      </c>
      <c r="C99" s="14">
        <v>44948</v>
      </c>
      <c r="D99" s="4" t="s">
        <v>863</v>
      </c>
      <c r="E99" s="8">
        <v>413.52</v>
      </c>
      <c r="F99" s="8">
        <f t="shared" si="6"/>
        <v>475.54799999999994</v>
      </c>
      <c r="G99" s="8">
        <v>1004.34</v>
      </c>
      <c r="H99" s="8">
        <v>1004.34</v>
      </c>
      <c r="I99" s="8" t="s">
        <v>1469</v>
      </c>
      <c r="J99" s="10">
        <v>0.111</v>
      </c>
      <c r="K99" s="10">
        <v>0.111</v>
      </c>
      <c r="L99" s="10">
        <f t="shared" si="7"/>
        <v>0.111</v>
      </c>
      <c r="M99" s="12">
        <v>18</v>
      </c>
      <c r="N99" s="12">
        <f t="shared" si="8"/>
        <v>21.599999999999998</v>
      </c>
      <c r="O99" s="8">
        <v>16071.44868</v>
      </c>
      <c r="P99" s="8">
        <f t="shared" si="9"/>
        <v>19285.738416</v>
      </c>
      <c r="Q99" s="8">
        <v>7443.36</v>
      </c>
      <c r="R99" s="8">
        <f t="shared" si="10"/>
        <v>10271.836799999997</v>
      </c>
      <c r="S99" s="8">
        <v>8628.0886800000007</v>
      </c>
      <c r="T99" s="8">
        <f t="shared" si="11"/>
        <v>9013.9016160000028</v>
      </c>
    </row>
    <row r="100" spans="1:20" ht="16.5" x14ac:dyDescent="0.3">
      <c r="A100" s="4" t="s">
        <v>144</v>
      </c>
      <c r="B100" s="6">
        <v>44955</v>
      </c>
      <c r="C100" s="14">
        <v>44955</v>
      </c>
      <c r="D100" s="4" t="s">
        <v>921</v>
      </c>
      <c r="E100" s="8">
        <v>1262.0999999999999</v>
      </c>
      <c r="F100" s="8">
        <f t="shared" si="6"/>
        <v>1451.4149999999997</v>
      </c>
      <c r="G100" s="8">
        <v>1395.53</v>
      </c>
      <c r="H100" s="8">
        <v>1395.53</v>
      </c>
      <c r="I100" s="8" t="s">
        <v>1469</v>
      </c>
      <c r="J100" s="10">
        <v>0.23300000000000001</v>
      </c>
      <c r="K100" s="10">
        <v>0.23300000000000001</v>
      </c>
      <c r="L100" s="10">
        <f t="shared" si="7"/>
        <v>0.23300000000000001</v>
      </c>
      <c r="M100" s="12">
        <v>25</v>
      </c>
      <c r="N100" s="12">
        <f t="shared" si="8"/>
        <v>30</v>
      </c>
      <c r="O100" s="8">
        <v>26759.28775</v>
      </c>
      <c r="P100" s="8">
        <f t="shared" si="9"/>
        <v>32111.1453</v>
      </c>
      <c r="Q100" s="8">
        <v>31552.499999999996</v>
      </c>
      <c r="R100" s="8">
        <f t="shared" si="10"/>
        <v>43542.44999999999</v>
      </c>
      <c r="S100" s="8">
        <v>-4793.2122499999969</v>
      </c>
      <c r="T100" s="8">
        <f t="shared" si="11"/>
        <v>-11431.30469999999</v>
      </c>
    </row>
    <row r="101" spans="1:20" ht="16.5" x14ac:dyDescent="0.3">
      <c r="A101" s="4" t="s">
        <v>547</v>
      </c>
      <c r="B101" s="6">
        <v>45155</v>
      </c>
      <c r="C101" s="14">
        <v>45155</v>
      </c>
      <c r="D101" s="4" t="s">
        <v>1266</v>
      </c>
      <c r="E101" s="8">
        <v>676.37</v>
      </c>
      <c r="F101" s="8">
        <f t="shared" si="6"/>
        <v>777.82549999999992</v>
      </c>
      <c r="G101" s="8">
        <v>1276.67</v>
      </c>
      <c r="H101" s="8">
        <v>1276.67</v>
      </c>
      <c r="I101" s="8" t="s">
        <v>1469</v>
      </c>
      <c r="J101" s="10">
        <v>6.6000000000000003E-2</v>
      </c>
      <c r="K101" s="10">
        <v>6.6000000000000003E-2</v>
      </c>
      <c r="L101" s="10">
        <f t="shared" si="7"/>
        <v>6.6000000000000003E-2</v>
      </c>
      <c r="M101" s="12">
        <v>10</v>
      </c>
      <c r="N101" s="12">
        <f t="shared" si="8"/>
        <v>12</v>
      </c>
      <c r="O101" s="8">
        <v>11924.0978</v>
      </c>
      <c r="P101" s="8">
        <f t="shared" si="9"/>
        <v>14308.917359999999</v>
      </c>
      <c r="Q101" s="8">
        <v>6763.7</v>
      </c>
      <c r="R101" s="8">
        <f t="shared" si="10"/>
        <v>9333.905999999999</v>
      </c>
      <c r="S101" s="8">
        <v>5160.3977999999997</v>
      </c>
      <c r="T101" s="8">
        <f t="shared" si="11"/>
        <v>4975.0113600000004</v>
      </c>
    </row>
    <row r="102" spans="1:20" ht="16.5" x14ac:dyDescent="0.3">
      <c r="A102" s="4" t="s">
        <v>341</v>
      </c>
      <c r="B102" s="6">
        <v>45087</v>
      </c>
      <c r="C102" s="14">
        <v>45087</v>
      </c>
      <c r="D102" s="4" t="s">
        <v>1061</v>
      </c>
      <c r="E102" s="8">
        <v>894.23</v>
      </c>
      <c r="F102" s="8">
        <f t="shared" si="6"/>
        <v>1028.3644999999999</v>
      </c>
      <c r="G102" s="8">
        <v>1421.55</v>
      </c>
      <c r="H102" s="8">
        <v>1421.55</v>
      </c>
      <c r="I102" s="8" t="s">
        <v>1469</v>
      </c>
      <c r="J102" s="10">
        <v>0.109</v>
      </c>
      <c r="K102" s="10">
        <v>0.109</v>
      </c>
      <c r="L102" s="10">
        <f t="shared" si="7"/>
        <v>0.109</v>
      </c>
      <c r="M102" s="12">
        <v>3</v>
      </c>
      <c r="N102" s="12">
        <f t="shared" si="8"/>
        <v>3.5999999999999996</v>
      </c>
      <c r="O102" s="8">
        <v>3799.8031499999997</v>
      </c>
      <c r="P102" s="8">
        <f t="shared" si="9"/>
        <v>4559.7637799999993</v>
      </c>
      <c r="Q102" s="8">
        <v>2682.69</v>
      </c>
      <c r="R102" s="8">
        <f t="shared" si="10"/>
        <v>3702.1121999999991</v>
      </c>
      <c r="S102" s="8">
        <v>1117.1131499999997</v>
      </c>
      <c r="T102" s="8">
        <f t="shared" si="11"/>
        <v>857.65158000000019</v>
      </c>
    </row>
    <row r="103" spans="1:20" ht="16.5" x14ac:dyDescent="0.3">
      <c r="A103" s="4" t="s">
        <v>474</v>
      </c>
      <c r="B103" s="6">
        <v>45116</v>
      </c>
      <c r="C103" s="14">
        <v>45116</v>
      </c>
      <c r="D103" s="4" t="s">
        <v>1193</v>
      </c>
      <c r="E103" s="8">
        <v>141.26</v>
      </c>
      <c r="F103" s="8">
        <f t="shared" si="6"/>
        <v>162.44899999999998</v>
      </c>
      <c r="G103" s="8">
        <v>206.88</v>
      </c>
      <c r="H103" s="8">
        <v>206.88</v>
      </c>
      <c r="I103" s="8" t="s">
        <v>1471</v>
      </c>
      <c r="J103" s="10">
        <v>0.107</v>
      </c>
      <c r="K103" s="10">
        <v>0.107</v>
      </c>
      <c r="L103" s="10">
        <f t="shared" si="7"/>
        <v>0.107</v>
      </c>
      <c r="M103" s="12">
        <v>9</v>
      </c>
      <c r="N103" s="12">
        <f t="shared" si="8"/>
        <v>10.799999999999999</v>
      </c>
      <c r="O103" s="8">
        <v>1662.6945600000001</v>
      </c>
      <c r="P103" s="8">
        <f t="shared" si="9"/>
        <v>1995.2334719999997</v>
      </c>
      <c r="Q103" s="8">
        <v>1271.3399999999999</v>
      </c>
      <c r="R103" s="8">
        <f t="shared" si="10"/>
        <v>1754.4491999999996</v>
      </c>
      <c r="S103" s="8">
        <v>391.35456000000022</v>
      </c>
      <c r="T103" s="8">
        <f t="shared" si="11"/>
        <v>240.7842720000001</v>
      </c>
    </row>
    <row r="104" spans="1:20" ht="16.5" x14ac:dyDescent="0.3">
      <c r="A104" s="4" t="s">
        <v>386</v>
      </c>
      <c r="B104" s="6">
        <v>45022</v>
      </c>
      <c r="C104" s="14">
        <v>45022</v>
      </c>
      <c r="D104" s="4" t="s">
        <v>1106</v>
      </c>
      <c r="E104" s="8">
        <v>720.35</v>
      </c>
      <c r="F104" s="8">
        <f t="shared" si="6"/>
        <v>828.40249999999992</v>
      </c>
      <c r="G104" s="8">
        <v>1571.66</v>
      </c>
      <c r="H104" s="8">
        <v>1571.66</v>
      </c>
      <c r="I104" s="8" t="s">
        <v>1469</v>
      </c>
      <c r="J104" s="10">
        <v>0.107</v>
      </c>
      <c r="K104" s="10">
        <v>0.107</v>
      </c>
      <c r="L104" s="10">
        <f t="shared" si="7"/>
        <v>0.107</v>
      </c>
      <c r="M104" s="12">
        <v>23</v>
      </c>
      <c r="N104" s="12">
        <f t="shared" si="8"/>
        <v>27.599999999999998</v>
      </c>
      <c r="O104" s="8">
        <v>32280.32474</v>
      </c>
      <c r="P104" s="8">
        <f t="shared" si="9"/>
        <v>38736.389688000003</v>
      </c>
      <c r="Q104" s="8">
        <v>16568.05</v>
      </c>
      <c r="R104" s="8">
        <f t="shared" si="10"/>
        <v>22863.908999999996</v>
      </c>
      <c r="S104" s="8">
        <v>15712.274740000001</v>
      </c>
      <c r="T104" s="8">
        <f t="shared" si="11"/>
        <v>15872.480688000007</v>
      </c>
    </row>
    <row r="105" spans="1:20" ht="16.5" x14ac:dyDescent="0.3">
      <c r="A105" s="4" t="s">
        <v>81</v>
      </c>
      <c r="B105" s="6">
        <v>45004</v>
      </c>
      <c r="C105" s="14">
        <v>45004</v>
      </c>
      <c r="D105" s="4" t="s">
        <v>800</v>
      </c>
      <c r="E105" s="8">
        <v>1082.17</v>
      </c>
      <c r="F105" s="8">
        <f t="shared" si="6"/>
        <v>1244.4955</v>
      </c>
      <c r="G105" s="8">
        <v>1234.0999999999999</v>
      </c>
      <c r="H105" s="8">
        <v>1234.0999999999999</v>
      </c>
      <c r="I105" s="8" t="s">
        <v>1469</v>
      </c>
      <c r="J105" s="10">
        <v>0.189</v>
      </c>
      <c r="K105" s="10">
        <v>0.189</v>
      </c>
      <c r="L105" s="10">
        <f t="shared" si="7"/>
        <v>0.189</v>
      </c>
      <c r="M105" s="12">
        <v>16</v>
      </c>
      <c r="N105" s="12">
        <f t="shared" si="8"/>
        <v>19.2</v>
      </c>
      <c r="O105" s="8">
        <v>16013.681599999998</v>
      </c>
      <c r="P105" s="8">
        <f t="shared" si="9"/>
        <v>19216.417919999996</v>
      </c>
      <c r="Q105" s="8">
        <v>17314.72</v>
      </c>
      <c r="R105" s="8">
        <f t="shared" si="10"/>
        <v>23894.313599999998</v>
      </c>
      <c r="S105" s="8">
        <v>-1301.0384000000031</v>
      </c>
      <c r="T105" s="8">
        <f t="shared" si="11"/>
        <v>-4677.8956800000014</v>
      </c>
    </row>
    <row r="106" spans="1:20" ht="16.5" x14ac:dyDescent="0.3">
      <c r="A106" s="4" t="s">
        <v>641</v>
      </c>
      <c r="B106" s="6">
        <v>45141</v>
      </c>
      <c r="C106" s="14">
        <v>45141</v>
      </c>
      <c r="D106" s="4" t="s">
        <v>1359</v>
      </c>
      <c r="E106" s="8">
        <v>226.04</v>
      </c>
      <c r="F106" s="8">
        <f t="shared" si="6"/>
        <v>259.94599999999997</v>
      </c>
      <c r="G106" s="8">
        <v>545.72</v>
      </c>
      <c r="H106" s="8">
        <v>545.72</v>
      </c>
      <c r="I106" s="8" t="s">
        <v>1471</v>
      </c>
      <c r="J106" s="10">
        <v>0.151</v>
      </c>
      <c r="K106" s="10">
        <v>0.151</v>
      </c>
      <c r="L106" s="10">
        <f t="shared" si="7"/>
        <v>0.151</v>
      </c>
      <c r="M106" s="12">
        <v>11</v>
      </c>
      <c r="N106" s="12">
        <f t="shared" si="8"/>
        <v>13.2</v>
      </c>
      <c r="O106" s="8">
        <v>5096.4790800000001</v>
      </c>
      <c r="P106" s="8">
        <f t="shared" si="9"/>
        <v>6115.7748959999999</v>
      </c>
      <c r="Q106" s="8">
        <v>2486.44</v>
      </c>
      <c r="R106" s="8">
        <f t="shared" si="10"/>
        <v>3431.2871999999993</v>
      </c>
      <c r="S106" s="8">
        <v>2610.03908</v>
      </c>
      <c r="T106" s="8">
        <f t="shared" si="11"/>
        <v>2684.4876960000006</v>
      </c>
    </row>
    <row r="107" spans="1:20" ht="16.5" x14ac:dyDescent="0.3">
      <c r="A107" s="4" t="s">
        <v>619</v>
      </c>
      <c r="B107" s="6">
        <v>45186</v>
      </c>
      <c r="C107" s="14">
        <v>45186</v>
      </c>
      <c r="D107" s="4" t="s">
        <v>1337</v>
      </c>
      <c r="E107" s="8">
        <v>689.33</v>
      </c>
      <c r="F107" s="8">
        <f t="shared" si="6"/>
        <v>792.72950000000003</v>
      </c>
      <c r="G107" s="8">
        <v>668.27</v>
      </c>
      <c r="H107" s="8">
        <v>668.27</v>
      </c>
      <c r="I107" s="8" t="s">
        <v>1471</v>
      </c>
      <c r="J107" s="10">
        <v>0.186</v>
      </c>
      <c r="K107" s="10">
        <v>0.186</v>
      </c>
      <c r="L107" s="10">
        <f t="shared" si="7"/>
        <v>0.186</v>
      </c>
      <c r="M107" s="12">
        <v>13</v>
      </c>
      <c r="N107" s="12">
        <f t="shared" si="8"/>
        <v>15.6</v>
      </c>
      <c r="O107" s="8">
        <v>7071.6331400000008</v>
      </c>
      <c r="P107" s="8">
        <f t="shared" si="9"/>
        <v>8485.9597679999988</v>
      </c>
      <c r="Q107" s="8">
        <v>8961.2900000000009</v>
      </c>
      <c r="R107" s="8">
        <f t="shared" si="10"/>
        <v>12366.5802</v>
      </c>
      <c r="S107" s="8">
        <v>-1889.6568600000001</v>
      </c>
      <c r="T107" s="8">
        <f t="shared" si="11"/>
        <v>-3880.6204320000015</v>
      </c>
    </row>
    <row r="108" spans="1:20" ht="16.5" x14ac:dyDescent="0.3">
      <c r="A108" s="4" t="s">
        <v>639</v>
      </c>
      <c r="B108" s="6">
        <v>45249</v>
      </c>
      <c r="C108" s="14">
        <v>45249</v>
      </c>
      <c r="D108" s="4" t="s">
        <v>1357</v>
      </c>
      <c r="E108" s="8">
        <v>1349.04</v>
      </c>
      <c r="F108" s="8">
        <f t="shared" si="6"/>
        <v>1551.3959999999997</v>
      </c>
      <c r="G108" s="8">
        <v>2636.6</v>
      </c>
      <c r="H108" s="8">
        <v>2636.6</v>
      </c>
      <c r="I108" s="8" t="s">
        <v>1470</v>
      </c>
      <c r="J108" s="10">
        <v>0.114</v>
      </c>
      <c r="K108" s="10">
        <v>0.114</v>
      </c>
      <c r="L108" s="10">
        <f t="shared" si="7"/>
        <v>0.114</v>
      </c>
      <c r="M108" s="12">
        <v>14</v>
      </c>
      <c r="N108" s="12">
        <f t="shared" si="8"/>
        <v>16.8</v>
      </c>
      <c r="O108" s="8">
        <v>32704.386400000003</v>
      </c>
      <c r="P108" s="8">
        <f t="shared" si="9"/>
        <v>39245.263679999996</v>
      </c>
      <c r="Q108" s="8">
        <v>18886.559999999998</v>
      </c>
      <c r="R108" s="8">
        <f t="shared" si="10"/>
        <v>26063.452799999995</v>
      </c>
      <c r="S108" s="8">
        <v>13817.826400000005</v>
      </c>
      <c r="T108" s="8">
        <f t="shared" si="11"/>
        <v>13181.810880000001</v>
      </c>
    </row>
    <row r="109" spans="1:20" ht="16.5" x14ac:dyDescent="0.3">
      <c r="A109" s="4" t="s">
        <v>46</v>
      </c>
      <c r="B109" s="6">
        <v>44980</v>
      </c>
      <c r="C109" s="14">
        <v>44980</v>
      </c>
      <c r="D109" s="4" t="s">
        <v>765</v>
      </c>
      <c r="E109" s="8">
        <v>1242.6600000000001</v>
      </c>
      <c r="F109" s="8">
        <f t="shared" si="6"/>
        <v>1429.059</v>
      </c>
      <c r="G109" s="8">
        <v>1794.07</v>
      </c>
      <c r="H109" s="8">
        <v>1794.07</v>
      </c>
      <c r="I109" s="8" t="s">
        <v>1470</v>
      </c>
      <c r="J109" s="10">
        <v>8.8999999999999996E-2</v>
      </c>
      <c r="K109" s="10">
        <v>8.8999999999999996E-2</v>
      </c>
      <c r="L109" s="10">
        <f t="shared" si="7"/>
        <v>8.8999999999999996E-2</v>
      </c>
      <c r="M109" s="12">
        <v>16</v>
      </c>
      <c r="N109" s="12">
        <f t="shared" si="8"/>
        <v>19.2</v>
      </c>
      <c r="O109" s="8">
        <v>26150.364320000001</v>
      </c>
      <c r="P109" s="8">
        <f t="shared" si="9"/>
        <v>31380.437184000002</v>
      </c>
      <c r="Q109" s="8">
        <v>19882.560000000001</v>
      </c>
      <c r="R109" s="8">
        <f t="shared" si="10"/>
        <v>27437.932799999999</v>
      </c>
      <c r="S109" s="8">
        <v>6267.8043199999993</v>
      </c>
      <c r="T109" s="8">
        <f t="shared" si="11"/>
        <v>3942.5043840000035</v>
      </c>
    </row>
    <row r="110" spans="1:20" ht="16.5" x14ac:dyDescent="0.3">
      <c r="A110" s="4" t="s">
        <v>530</v>
      </c>
      <c r="B110" s="6">
        <v>45199</v>
      </c>
      <c r="C110" s="14">
        <v>45199</v>
      </c>
      <c r="D110" s="4" t="s">
        <v>1249</v>
      </c>
      <c r="E110" s="8">
        <v>649.13</v>
      </c>
      <c r="F110" s="8">
        <f t="shared" si="6"/>
        <v>746.4994999999999</v>
      </c>
      <c r="G110" s="8">
        <v>975.43</v>
      </c>
      <c r="H110" s="8">
        <v>975.43</v>
      </c>
      <c r="I110" s="8" t="s">
        <v>1469</v>
      </c>
      <c r="J110" s="10">
        <v>0.157</v>
      </c>
      <c r="K110" s="10">
        <v>0.157</v>
      </c>
      <c r="L110" s="10">
        <f t="shared" si="7"/>
        <v>0.157</v>
      </c>
      <c r="M110" s="12">
        <v>27</v>
      </c>
      <c r="N110" s="12">
        <f t="shared" si="8"/>
        <v>32.4</v>
      </c>
      <c r="O110" s="8">
        <v>22201.762229999997</v>
      </c>
      <c r="P110" s="8">
        <f t="shared" si="9"/>
        <v>26642.114675999997</v>
      </c>
      <c r="Q110" s="8">
        <v>17526.509999999998</v>
      </c>
      <c r="R110" s="8">
        <f t="shared" si="10"/>
        <v>24186.583799999997</v>
      </c>
      <c r="S110" s="8">
        <v>4675.2522299999982</v>
      </c>
      <c r="T110" s="8">
        <f t="shared" si="11"/>
        <v>2455.5308760000007</v>
      </c>
    </row>
    <row r="111" spans="1:20" ht="16.5" x14ac:dyDescent="0.3">
      <c r="A111" s="4" t="s">
        <v>492</v>
      </c>
      <c r="B111" s="6">
        <v>45123</v>
      </c>
      <c r="C111" s="14">
        <v>45123</v>
      </c>
      <c r="D111" s="4" t="s">
        <v>1211</v>
      </c>
      <c r="E111" s="8">
        <v>1039.03</v>
      </c>
      <c r="F111" s="8">
        <f t="shared" si="6"/>
        <v>1194.8844999999999</v>
      </c>
      <c r="G111" s="8">
        <v>2545.81</v>
      </c>
      <c r="H111" s="8">
        <v>2545.81</v>
      </c>
      <c r="I111" s="8" t="s">
        <v>1470</v>
      </c>
      <c r="J111" s="10">
        <v>0.216</v>
      </c>
      <c r="K111" s="10">
        <v>0.216</v>
      </c>
      <c r="L111" s="10">
        <f t="shared" si="7"/>
        <v>0.216</v>
      </c>
      <c r="M111" s="12">
        <v>21</v>
      </c>
      <c r="N111" s="12">
        <f t="shared" si="8"/>
        <v>25.2</v>
      </c>
      <c r="O111" s="8">
        <v>41914.215840000004</v>
      </c>
      <c r="P111" s="8">
        <f t="shared" si="9"/>
        <v>50297.059007999997</v>
      </c>
      <c r="Q111" s="8">
        <v>21819.63</v>
      </c>
      <c r="R111" s="8">
        <f t="shared" si="10"/>
        <v>30111.089399999997</v>
      </c>
      <c r="S111" s="8">
        <v>20094.585840000003</v>
      </c>
      <c r="T111" s="8">
        <f t="shared" si="11"/>
        <v>20185.969607999999</v>
      </c>
    </row>
    <row r="112" spans="1:20" ht="16.5" x14ac:dyDescent="0.3">
      <c r="A112" s="4" t="s">
        <v>359</v>
      </c>
      <c r="B112" s="6">
        <v>45261</v>
      </c>
      <c r="C112" s="14">
        <v>45261</v>
      </c>
      <c r="D112" s="4" t="s">
        <v>1079</v>
      </c>
      <c r="E112" s="8">
        <v>1495.79</v>
      </c>
      <c r="F112" s="8">
        <f t="shared" si="6"/>
        <v>1720.1584999999998</v>
      </c>
      <c r="G112" s="8">
        <v>2783.12</v>
      </c>
      <c r="H112" s="8">
        <v>2783.12</v>
      </c>
      <c r="I112" s="8" t="s">
        <v>1470</v>
      </c>
      <c r="J112" s="10">
        <v>0.02</v>
      </c>
      <c r="K112" s="10">
        <v>0.02</v>
      </c>
      <c r="L112" s="10">
        <f t="shared" si="7"/>
        <v>0.02</v>
      </c>
      <c r="M112" s="12">
        <v>5</v>
      </c>
      <c r="N112" s="12">
        <f t="shared" si="8"/>
        <v>6</v>
      </c>
      <c r="O112" s="8">
        <v>13637.287999999999</v>
      </c>
      <c r="P112" s="8">
        <f t="shared" si="9"/>
        <v>16364.7456</v>
      </c>
      <c r="Q112" s="8">
        <v>7478.95</v>
      </c>
      <c r="R112" s="8">
        <f t="shared" si="10"/>
        <v>10320.950999999999</v>
      </c>
      <c r="S112" s="8">
        <v>6158.3379999999988</v>
      </c>
      <c r="T112" s="8">
        <f t="shared" si="11"/>
        <v>6043.7946000000011</v>
      </c>
    </row>
    <row r="113" spans="1:20" ht="16.5" x14ac:dyDescent="0.3">
      <c r="A113" s="4" t="s">
        <v>514</v>
      </c>
      <c r="B113" s="6">
        <v>45048</v>
      </c>
      <c r="C113" s="14">
        <v>45048</v>
      </c>
      <c r="D113" s="4" t="s">
        <v>1233</v>
      </c>
      <c r="E113" s="8">
        <v>475.37</v>
      </c>
      <c r="F113" s="8">
        <f t="shared" si="6"/>
        <v>546.67549999999994</v>
      </c>
      <c r="G113" s="8">
        <v>963.73</v>
      </c>
      <c r="H113" s="8">
        <v>963.73</v>
      </c>
      <c r="I113" s="8" t="s">
        <v>1469</v>
      </c>
      <c r="J113" s="10">
        <v>4.1000000000000002E-2</v>
      </c>
      <c r="K113" s="10">
        <v>4.1000000000000002E-2</v>
      </c>
      <c r="L113" s="10">
        <f t="shared" si="7"/>
        <v>4.1000000000000002E-2</v>
      </c>
      <c r="M113" s="12">
        <v>22</v>
      </c>
      <c r="N113" s="12">
        <f t="shared" si="8"/>
        <v>26.4</v>
      </c>
      <c r="O113" s="8">
        <v>20332.775539999999</v>
      </c>
      <c r="P113" s="8">
        <f t="shared" si="9"/>
        <v>24399.330647999996</v>
      </c>
      <c r="Q113" s="8">
        <v>10458.14</v>
      </c>
      <c r="R113" s="8">
        <f t="shared" si="10"/>
        <v>14432.233199999997</v>
      </c>
      <c r="S113" s="8">
        <v>9874.6355399999993</v>
      </c>
      <c r="T113" s="8">
        <f t="shared" si="11"/>
        <v>9967.0974479999986</v>
      </c>
    </row>
    <row r="114" spans="1:20" ht="16.5" x14ac:dyDescent="0.3">
      <c r="A114" s="4" t="s">
        <v>212</v>
      </c>
      <c r="B114" s="6">
        <v>44956</v>
      </c>
      <c r="C114" s="14">
        <v>44956</v>
      </c>
      <c r="D114" s="4" t="s">
        <v>932</v>
      </c>
      <c r="E114" s="8">
        <v>1142.8800000000001</v>
      </c>
      <c r="F114" s="8">
        <f t="shared" si="6"/>
        <v>1314.3120000000001</v>
      </c>
      <c r="G114" s="8">
        <v>1465.29</v>
      </c>
      <c r="H114" s="8">
        <v>1465.29</v>
      </c>
      <c r="I114" s="8" t="s">
        <v>1469</v>
      </c>
      <c r="J114" s="10">
        <v>0.186</v>
      </c>
      <c r="K114" s="10">
        <v>0.186</v>
      </c>
      <c r="L114" s="10">
        <f t="shared" si="7"/>
        <v>0.186</v>
      </c>
      <c r="M114" s="12">
        <v>7</v>
      </c>
      <c r="N114" s="12">
        <f t="shared" si="8"/>
        <v>8.4</v>
      </c>
      <c r="O114" s="8">
        <v>8349.2224200000001</v>
      </c>
      <c r="P114" s="8">
        <f t="shared" si="9"/>
        <v>10019.066904000001</v>
      </c>
      <c r="Q114" s="8">
        <v>8000.1600000000008</v>
      </c>
      <c r="R114" s="8">
        <f t="shared" si="10"/>
        <v>11040.220800000001</v>
      </c>
      <c r="S114" s="8">
        <v>349.06241999999929</v>
      </c>
      <c r="T114" s="8">
        <f t="shared" si="11"/>
        <v>-1021.1538959999998</v>
      </c>
    </row>
    <row r="115" spans="1:20" ht="16.5" x14ac:dyDescent="0.3">
      <c r="A115" s="4" t="s">
        <v>136</v>
      </c>
      <c r="B115" s="6">
        <v>45249</v>
      </c>
      <c r="C115" s="14">
        <v>45249</v>
      </c>
      <c r="D115" s="4" t="s">
        <v>855</v>
      </c>
      <c r="E115" s="8">
        <v>1297.42</v>
      </c>
      <c r="F115" s="8">
        <f t="shared" si="6"/>
        <v>1492.0329999999999</v>
      </c>
      <c r="G115" s="8">
        <v>2742.97</v>
      </c>
      <c r="H115" s="8">
        <v>2742.97</v>
      </c>
      <c r="I115" s="8" t="s">
        <v>1470</v>
      </c>
      <c r="J115" s="10">
        <v>6.9000000000000006E-2</v>
      </c>
      <c r="K115" s="10">
        <v>6.9000000000000006E-2</v>
      </c>
      <c r="L115" s="10">
        <f t="shared" si="7"/>
        <v>6.9000000000000006E-2</v>
      </c>
      <c r="M115" s="12">
        <v>9</v>
      </c>
      <c r="N115" s="12">
        <f t="shared" si="8"/>
        <v>10.799999999999999</v>
      </c>
      <c r="O115" s="8">
        <v>22983.34563</v>
      </c>
      <c r="P115" s="8">
        <f t="shared" si="9"/>
        <v>27580.014755999997</v>
      </c>
      <c r="Q115" s="8">
        <v>11676.78</v>
      </c>
      <c r="R115" s="8">
        <f t="shared" si="10"/>
        <v>16113.956399999997</v>
      </c>
      <c r="S115" s="8">
        <v>11306.565629999999</v>
      </c>
      <c r="T115" s="8">
        <f t="shared" si="11"/>
        <v>11466.058356</v>
      </c>
    </row>
    <row r="116" spans="1:20" ht="16.5" x14ac:dyDescent="0.3">
      <c r="A116" s="4" t="s">
        <v>460</v>
      </c>
      <c r="B116" s="6">
        <v>45284</v>
      </c>
      <c r="C116" s="14">
        <v>45284</v>
      </c>
      <c r="D116" s="4" t="s">
        <v>1179</v>
      </c>
      <c r="E116" s="8">
        <v>625.37</v>
      </c>
      <c r="F116" s="8">
        <f t="shared" si="6"/>
        <v>719.17549999999994</v>
      </c>
      <c r="G116" s="8">
        <v>1319.04</v>
      </c>
      <c r="H116" s="8">
        <v>1319.04</v>
      </c>
      <c r="I116" s="8" t="s">
        <v>1469</v>
      </c>
      <c r="J116" s="10">
        <v>7.3999999999999996E-2</v>
      </c>
      <c r="K116" s="10">
        <v>7.3999999999999996E-2</v>
      </c>
      <c r="L116" s="10">
        <f t="shared" si="7"/>
        <v>7.3999999999999996E-2</v>
      </c>
      <c r="M116" s="12">
        <v>8</v>
      </c>
      <c r="N116" s="12">
        <f t="shared" si="8"/>
        <v>9.6</v>
      </c>
      <c r="O116" s="8">
        <v>9771.4483199999995</v>
      </c>
      <c r="P116" s="8">
        <f t="shared" si="9"/>
        <v>11725.737983999999</v>
      </c>
      <c r="Q116" s="8">
        <v>5002.96</v>
      </c>
      <c r="R116" s="8">
        <f t="shared" si="10"/>
        <v>6904.0847999999996</v>
      </c>
      <c r="S116" s="8">
        <v>4768.4883199999995</v>
      </c>
      <c r="T116" s="8">
        <f t="shared" si="11"/>
        <v>4821.6531839999998</v>
      </c>
    </row>
    <row r="117" spans="1:20" ht="16.5" x14ac:dyDescent="0.3">
      <c r="A117" s="4" t="s">
        <v>470</v>
      </c>
      <c r="B117" s="6">
        <v>45265</v>
      </c>
      <c r="C117" s="14">
        <v>45265</v>
      </c>
      <c r="D117" s="4" t="s">
        <v>1189</v>
      </c>
      <c r="E117" s="8">
        <v>307.43</v>
      </c>
      <c r="F117" s="8">
        <f t="shared" si="6"/>
        <v>353.54449999999997</v>
      </c>
      <c r="G117" s="8">
        <v>495.19</v>
      </c>
      <c r="H117" s="8">
        <v>495.19</v>
      </c>
      <c r="I117" s="8" t="s">
        <v>1471</v>
      </c>
      <c r="J117" s="10">
        <v>0</v>
      </c>
      <c r="K117" s="10">
        <v>0</v>
      </c>
      <c r="L117" s="10">
        <f t="shared" si="7"/>
        <v>0</v>
      </c>
      <c r="M117" s="12">
        <v>42</v>
      </c>
      <c r="N117" s="12">
        <f t="shared" si="8"/>
        <v>50.4</v>
      </c>
      <c r="O117" s="8">
        <v>20797.98</v>
      </c>
      <c r="P117" s="8">
        <f t="shared" si="9"/>
        <v>24957.576000000001</v>
      </c>
      <c r="Q117" s="8">
        <v>12912.06</v>
      </c>
      <c r="R117" s="8">
        <f t="shared" si="10"/>
        <v>17818.642799999998</v>
      </c>
      <c r="S117" s="8">
        <v>7885.92</v>
      </c>
      <c r="T117" s="8">
        <f t="shared" si="11"/>
        <v>7138.9332000000031</v>
      </c>
    </row>
    <row r="118" spans="1:20" ht="16.5" x14ac:dyDescent="0.3">
      <c r="A118" s="4" t="s">
        <v>217</v>
      </c>
      <c r="B118" s="6">
        <v>44946</v>
      </c>
      <c r="C118" s="14">
        <v>44946</v>
      </c>
      <c r="D118" s="4" t="s">
        <v>937</v>
      </c>
      <c r="E118" s="8">
        <v>884.36</v>
      </c>
      <c r="F118" s="8">
        <f t="shared" si="6"/>
        <v>1017.0139999999999</v>
      </c>
      <c r="G118" s="8">
        <v>1545.34</v>
      </c>
      <c r="H118" s="8">
        <v>1545.34</v>
      </c>
      <c r="I118" s="8" t="s">
        <v>1469</v>
      </c>
      <c r="J118" s="10">
        <v>0.24299999999999999</v>
      </c>
      <c r="K118" s="10">
        <v>0.24299999999999999</v>
      </c>
      <c r="L118" s="10">
        <f t="shared" si="7"/>
        <v>0.24299999999999999</v>
      </c>
      <c r="M118" s="12">
        <v>41</v>
      </c>
      <c r="N118" s="12">
        <f t="shared" si="8"/>
        <v>49.199999999999996</v>
      </c>
      <c r="O118" s="8">
        <v>47962.717579999997</v>
      </c>
      <c r="P118" s="8">
        <f t="shared" si="9"/>
        <v>57555.261095999995</v>
      </c>
      <c r="Q118" s="8">
        <v>36258.76</v>
      </c>
      <c r="R118" s="8">
        <f t="shared" si="10"/>
        <v>50037.08879999999</v>
      </c>
      <c r="S118" s="8">
        <v>11703.957579999995</v>
      </c>
      <c r="T118" s="8">
        <f t="shared" si="11"/>
        <v>7518.1722960000043</v>
      </c>
    </row>
    <row r="119" spans="1:20" ht="16.5" x14ac:dyDescent="0.3">
      <c r="A119" s="4" t="s">
        <v>489</v>
      </c>
      <c r="B119" s="6">
        <v>45069</v>
      </c>
      <c r="C119" s="14">
        <v>45069</v>
      </c>
      <c r="D119" s="4" t="s">
        <v>1208</v>
      </c>
      <c r="E119" s="8">
        <v>690.49</v>
      </c>
      <c r="F119" s="8">
        <f t="shared" si="6"/>
        <v>794.06349999999998</v>
      </c>
      <c r="G119" s="8">
        <v>1290.29</v>
      </c>
      <c r="H119" s="8">
        <v>1290.29</v>
      </c>
      <c r="I119" s="8" t="s">
        <v>1469</v>
      </c>
      <c r="J119" s="10">
        <v>4.2000000000000003E-2</v>
      </c>
      <c r="K119" s="10">
        <v>4.2000000000000003E-2</v>
      </c>
      <c r="L119" s="10">
        <f t="shared" si="7"/>
        <v>4.2000000000000003E-2</v>
      </c>
      <c r="M119" s="12">
        <v>22</v>
      </c>
      <c r="N119" s="12">
        <f t="shared" si="8"/>
        <v>26.4</v>
      </c>
      <c r="O119" s="8">
        <v>27194.152039999997</v>
      </c>
      <c r="P119" s="8">
        <f t="shared" si="9"/>
        <v>32632.982447999995</v>
      </c>
      <c r="Q119" s="8">
        <v>15190.78</v>
      </c>
      <c r="R119" s="8">
        <f t="shared" si="10"/>
        <v>20963.276399999999</v>
      </c>
      <c r="S119" s="8">
        <v>12003.372039999997</v>
      </c>
      <c r="T119" s="8">
        <f t="shared" si="11"/>
        <v>11669.706047999996</v>
      </c>
    </row>
    <row r="120" spans="1:20" ht="16.5" x14ac:dyDescent="0.3">
      <c r="A120" s="4" t="s">
        <v>316</v>
      </c>
      <c r="B120" s="6">
        <v>45125</v>
      </c>
      <c r="C120" s="14">
        <v>45125</v>
      </c>
      <c r="D120" s="4" t="s">
        <v>1036</v>
      </c>
      <c r="E120" s="8">
        <v>1269.55</v>
      </c>
      <c r="F120" s="8">
        <f t="shared" si="6"/>
        <v>1459.9824999999998</v>
      </c>
      <c r="G120" s="8">
        <v>2071.1</v>
      </c>
      <c r="H120" s="8">
        <v>2071.1</v>
      </c>
      <c r="I120" s="8" t="s">
        <v>1470</v>
      </c>
      <c r="J120" s="10">
        <v>0.129</v>
      </c>
      <c r="K120" s="10">
        <v>0.129</v>
      </c>
      <c r="L120" s="10">
        <f t="shared" si="7"/>
        <v>0.129</v>
      </c>
      <c r="M120" s="12">
        <v>22</v>
      </c>
      <c r="N120" s="12">
        <f t="shared" si="8"/>
        <v>26.4</v>
      </c>
      <c r="O120" s="8">
        <v>39686.4182</v>
      </c>
      <c r="P120" s="8">
        <f t="shared" si="9"/>
        <v>47623.701839999994</v>
      </c>
      <c r="Q120" s="8">
        <v>27930.1</v>
      </c>
      <c r="R120" s="8">
        <f t="shared" si="10"/>
        <v>38543.537999999993</v>
      </c>
      <c r="S120" s="8">
        <v>11756.318200000002</v>
      </c>
      <c r="T120" s="8">
        <f t="shared" si="11"/>
        <v>9080.1638400000011</v>
      </c>
    </row>
    <row r="121" spans="1:20" ht="16.5" x14ac:dyDescent="0.3">
      <c r="A121" s="4" t="s">
        <v>397</v>
      </c>
      <c r="B121" s="6">
        <v>45097</v>
      </c>
      <c r="C121" s="14">
        <v>45097</v>
      </c>
      <c r="D121" s="4" t="s">
        <v>1116</v>
      </c>
      <c r="E121" s="8">
        <v>1145.53</v>
      </c>
      <c r="F121" s="8">
        <f t="shared" si="6"/>
        <v>1317.3594999999998</v>
      </c>
      <c r="G121" s="8">
        <v>1278.3</v>
      </c>
      <c r="H121" s="8">
        <v>1278.3</v>
      </c>
      <c r="I121" s="8" t="s">
        <v>1469</v>
      </c>
      <c r="J121" s="10">
        <v>0.09</v>
      </c>
      <c r="K121" s="10">
        <v>0.09</v>
      </c>
      <c r="L121" s="10">
        <f t="shared" si="7"/>
        <v>0.09</v>
      </c>
      <c r="M121" s="12">
        <v>41</v>
      </c>
      <c r="N121" s="12">
        <f t="shared" si="8"/>
        <v>49.199999999999996</v>
      </c>
      <c r="O121" s="8">
        <v>47693.373</v>
      </c>
      <c r="P121" s="8">
        <f t="shared" si="9"/>
        <v>57232.047599999998</v>
      </c>
      <c r="Q121" s="8">
        <v>46966.729999999996</v>
      </c>
      <c r="R121" s="8">
        <f t="shared" si="10"/>
        <v>64814.087399999982</v>
      </c>
      <c r="S121" s="8">
        <v>726.64300000000367</v>
      </c>
      <c r="T121" s="8">
        <f t="shared" si="11"/>
        <v>-7582.0397999999841</v>
      </c>
    </row>
    <row r="122" spans="1:20" ht="16.5" x14ac:dyDescent="0.3">
      <c r="A122" s="4" t="s">
        <v>167</v>
      </c>
      <c r="B122" s="6">
        <v>45267</v>
      </c>
      <c r="C122" s="14">
        <v>45267</v>
      </c>
      <c r="D122" s="4" t="s">
        <v>886</v>
      </c>
      <c r="E122" s="8">
        <v>1097.5899999999999</v>
      </c>
      <c r="F122" s="8">
        <f t="shared" si="6"/>
        <v>1262.2284999999997</v>
      </c>
      <c r="G122" s="8">
        <v>845.55</v>
      </c>
      <c r="H122" s="8">
        <v>845.55</v>
      </c>
      <c r="I122" s="8" t="s">
        <v>1469</v>
      </c>
      <c r="J122" s="10">
        <v>0.184</v>
      </c>
      <c r="K122" s="10">
        <v>0.184</v>
      </c>
      <c r="L122" s="10">
        <f t="shared" si="7"/>
        <v>0.184</v>
      </c>
      <c r="M122" s="12">
        <v>6</v>
      </c>
      <c r="N122" s="12">
        <f t="shared" si="8"/>
        <v>7.1999999999999993</v>
      </c>
      <c r="O122" s="8">
        <v>4139.8127999999997</v>
      </c>
      <c r="P122" s="8">
        <f t="shared" si="9"/>
        <v>4967.7753599999996</v>
      </c>
      <c r="Q122" s="8">
        <v>6585.5399999999991</v>
      </c>
      <c r="R122" s="8">
        <f t="shared" si="10"/>
        <v>9088.0451999999968</v>
      </c>
      <c r="S122" s="8">
        <v>-2445.7271999999994</v>
      </c>
      <c r="T122" s="8">
        <f t="shared" si="11"/>
        <v>-4120.2698399999972</v>
      </c>
    </row>
    <row r="123" spans="1:20" ht="16.5" x14ac:dyDescent="0.3">
      <c r="A123" s="4" t="s">
        <v>500</v>
      </c>
      <c r="B123" s="6">
        <v>45224</v>
      </c>
      <c r="C123" s="14">
        <v>45224</v>
      </c>
      <c r="D123" s="4" t="s">
        <v>1219</v>
      </c>
      <c r="E123" s="8">
        <v>287.85000000000002</v>
      </c>
      <c r="F123" s="8">
        <f t="shared" si="6"/>
        <v>331.02749999999997</v>
      </c>
      <c r="G123" s="8">
        <v>602.91999999999996</v>
      </c>
      <c r="H123" s="8">
        <v>602.91999999999996</v>
      </c>
      <c r="I123" s="8" t="s">
        <v>1471</v>
      </c>
      <c r="J123" s="10">
        <v>0.222</v>
      </c>
      <c r="K123" s="10">
        <v>0.222</v>
      </c>
      <c r="L123" s="10">
        <f t="shared" si="7"/>
        <v>0.222</v>
      </c>
      <c r="M123" s="12">
        <v>11</v>
      </c>
      <c r="N123" s="12">
        <f t="shared" si="8"/>
        <v>13.2</v>
      </c>
      <c r="O123" s="8">
        <v>5159.7893599999998</v>
      </c>
      <c r="P123" s="8">
        <f t="shared" si="9"/>
        <v>6191.7472319999997</v>
      </c>
      <c r="Q123" s="8">
        <v>3166.3500000000004</v>
      </c>
      <c r="R123" s="8">
        <f t="shared" si="10"/>
        <v>4369.5629999999992</v>
      </c>
      <c r="S123" s="8">
        <v>1993.4393599999994</v>
      </c>
      <c r="T123" s="8">
        <f t="shared" si="11"/>
        <v>1822.1842320000005</v>
      </c>
    </row>
    <row r="124" spans="1:20" ht="16.5" x14ac:dyDescent="0.3">
      <c r="A124" s="4" t="s">
        <v>311</v>
      </c>
      <c r="B124" s="6">
        <v>45097</v>
      </c>
      <c r="C124" s="14">
        <v>45097</v>
      </c>
      <c r="D124" s="4" t="s">
        <v>1031</v>
      </c>
      <c r="E124" s="8">
        <v>337</v>
      </c>
      <c r="F124" s="8">
        <f t="shared" si="6"/>
        <v>387.54999999999995</v>
      </c>
      <c r="G124" s="8">
        <v>511.03</v>
      </c>
      <c r="H124" s="8">
        <v>511.03</v>
      </c>
      <c r="I124" s="8" t="s">
        <v>1471</v>
      </c>
      <c r="J124" s="10">
        <v>0.108</v>
      </c>
      <c r="K124" s="10">
        <v>0.108</v>
      </c>
      <c r="L124" s="10">
        <f t="shared" si="7"/>
        <v>0.108</v>
      </c>
      <c r="M124" s="12">
        <v>7</v>
      </c>
      <c r="N124" s="12">
        <f t="shared" si="8"/>
        <v>8.4</v>
      </c>
      <c r="O124" s="8">
        <v>3190.8713200000002</v>
      </c>
      <c r="P124" s="8">
        <f t="shared" si="9"/>
        <v>3829.045584</v>
      </c>
      <c r="Q124" s="8">
        <v>2359</v>
      </c>
      <c r="R124" s="8">
        <f t="shared" si="10"/>
        <v>3255.4199999999996</v>
      </c>
      <c r="S124" s="8">
        <v>831.8713200000002</v>
      </c>
      <c r="T124" s="8">
        <f t="shared" si="11"/>
        <v>573.62558400000034</v>
      </c>
    </row>
    <row r="125" spans="1:20" ht="16.5" x14ac:dyDescent="0.3">
      <c r="A125" s="4" t="s">
        <v>139</v>
      </c>
      <c r="B125" s="6">
        <v>45159</v>
      </c>
      <c r="C125" s="14">
        <v>45159</v>
      </c>
      <c r="D125" s="4" t="s">
        <v>858</v>
      </c>
      <c r="E125" s="8">
        <v>178.19</v>
      </c>
      <c r="F125" s="8">
        <f t="shared" si="6"/>
        <v>204.91849999999999</v>
      </c>
      <c r="G125" s="8">
        <v>284.43</v>
      </c>
      <c r="H125" s="8">
        <v>284.43</v>
      </c>
      <c r="I125" s="8" t="s">
        <v>1471</v>
      </c>
      <c r="J125" s="10">
        <v>8.8999999999999996E-2</v>
      </c>
      <c r="K125" s="10">
        <v>8.8999999999999996E-2</v>
      </c>
      <c r="L125" s="10">
        <f t="shared" si="7"/>
        <v>8.8999999999999996E-2</v>
      </c>
      <c r="M125" s="12">
        <v>8</v>
      </c>
      <c r="N125" s="12">
        <f t="shared" si="8"/>
        <v>9.6</v>
      </c>
      <c r="O125" s="8">
        <v>2072.9258400000003</v>
      </c>
      <c r="P125" s="8">
        <f t="shared" si="9"/>
        <v>2487.5110079999999</v>
      </c>
      <c r="Q125" s="8">
        <v>1425.52</v>
      </c>
      <c r="R125" s="8">
        <f t="shared" si="10"/>
        <v>1967.2175999999999</v>
      </c>
      <c r="S125" s="8">
        <v>647.40584000000035</v>
      </c>
      <c r="T125" s="8">
        <f t="shared" si="11"/>
        <v>520.293408</v>
      </c>
    </row>
    <row r="126" spans="1:20" ht="16.5" x14ac:dyDescent="0.3">
      <c r="A126" s="4" t="s">
        <v>244</v>
      </c>
      <c r="B126" s="6">
        <v>45069</v>
      </c>
      <c r="C126" s="14">
        <v>45069</v>
      </c>
      <c r="D126" s="4" t="s">
        <v>964</v>
      </c>
      <c r="E126" s="8">
        <v>54.62</v>
      </c>
      <c r="F126" s="8">
        <f t="shared" si="6"/>
        <v>62.812999999999995</v>
      </c>
      <c r="G126" s="8">
        <v>48.94</v>
      </c>
      <c r="H126" s="8">
        <v>48.94</v>
      </c>
      <c r="I126" s="8" t="s">
        <v>1471</v>
      </c>
      <c r="J126" s="10">
        <v>0.14799999999999999</v>
      </c>
      <c r="K126" s="10">
        <v>0.14799999999999999</v>
      </c>
      <c r="L126" s="10">
        <f t="shared" si="7"/>
        <v>0.14799999999999999</v>
      </c>
      <c r="M126" s="12">
        <v>16</v>
      </c>
      <c r="N126" s="12">
        <f t="shared" si="8"/>
        <v>19.2</v>
      </c>
      <c r="O126" s="8">
        <v>667.15008</v>
      </c>
      <c r="P126" s="8">
        <f t="shared" si="9"/>
        <v>800.58009599999991</v>
      </c>
      <c r="Q126" s="8">
        <v>873.92</v>
      </c>
      <c r="R126" s="8">
        <f t="shared" si="10"/>
        <v>1206.0095999999999</v>
      </c>
      <c r="S126" s="8">
        <v>-206.76991999999996</v>
      </c>
      <c r="T126" s="8">
        <f t="shared" si="11"/>
        <v>-405.42950399999995</v>
      </c>
    </row>
    <row r="127" spans="1:20" ht="16.5" x14ac:dyDescent="0.3">
      <c r="A127" s="4" t="s">
        <v>493</v>
      </c>
      <c r="B127" s="6">
        <v>45032</v>
      </c>
      <c r="C127" s="14">
        <v>45032</v>
      </c>
      <c r="D127" s="4" t="s">
        <v>1212</v>
      </c>
      <c r="E127" s="8">
        <v>553.61</v>
      </c>
      <c r="F127" s="8">
        <f t="shared" si="6"/>
        <v>636.65149999999994</v>
      </c>
      <c r="G127" s="8">
        <v>699.47</v>
      </c>
      <c r="H127" s="8">
        <v>699.47</v>
      </c>
      <c r="I127" s="8" t="s">
        <v>1471</v>
      </c>
      <c r="J127" s="10">
        <v>0.02</v>
      </c>
      <c r="K127" s="10">
        <v>0.02</v>
      </c>
      <c r="L127" s="10">
        <f t="shared" si="7"/>
        <v>0.02</v>
      </c>
      <c r="M127" s="12">
        <v>33</v>
      </c>
      <c r="N127" s="12">
        <f t="shared" si="8"/>
        <v>39.6</v>
      </c>
      <c r="O127" s="8">
        <v>22620.859800000002</v>
      </c>
      <c r="P127" s="8">
        <f t="shared" si="9"/>
        <v>27145.031760000002</v>
      </c>
      <c r="Q127" s="8">
        <v>18269.13</v>
      </c>
      <c r="R127" s="8">
        <f t="shared" si="10"/>
        <v>25211.399399999998</v>
      </c>
      <c r="S127" s="8">
        <v>4351.729800000001</v>
      </c>
      <c r="T127" s="8">
        <f t="shared" si="11"/>
        <v>1933.6323600000032</v>
      </c>
    </row>
    <row r="128" spans="1:20" ht="16.5" x14ac:dyDescent="0.3">
      <c r="A128" s="4" t="s">
        <v>299</v>
      </c>
      <c r="B128" s="6">
        <v>45101</v>
      </c>
      <c r="C128" s="14">
        <v>45101</v>
      </c>
      <c r="D128" s="4" t="s">
        <v>1019</v>
      </c>
      <c r="E128" s="8">
        <v>554.76</v>
      </c>
      <c r="F128" s="8">
        <f t="shared" si="6"/>
        <v>637.97399999999993</v>
      </c>
      <c r="G128" s="8">
        <v>728.69</v>
      </c>
      <c r="H128" s="8">
        <v>728.69</v>
      </c>
      <c r="I128" s="8" t="s">
        <v>1471</v>
      </c>
      <c r="J128" s="10">
        <v>0.22</v>
      </c>
      <c r="K128" s="10">
        <v>0.22</v>
      </c>
      <c r="L128" s="10">
        <f t="shared" si="7"/>
        <v>0.22</v>
      </c>
      <c r="M128" s="12">
        <v>7</v>
      </c>
      <c r="N128" s="12">
        <f t="shared" si="8"/>
        <v>8.4</v>
      </c>
      <c r="O128" s="8">
        <v>3978.6474000000003</v>
      </c>
      <c r="P128" s="8">
        <f t="shared" si="9"/>
        <v>4774.3768800000007</v>
      </c>
      <c r="Q128" s="8">
        <v>3883.3199999999997</v>
      </c>
      <c r="R128" s="8">
        <f t="shared" si="10"/>
        <v>5358.9816000000001</v>
      </c>
      <c r="S128" s="8">
        <v>95.32740000000058</v>
      </c>
      <c r="T128" s="8">
        <f t="shared" si="11"/>
        <v>-584.60471999999936</v>
      </c>
    </row>
    <row r="129" spans="1:20" ht="16.5" x14ac:dyDescent="0.3">
      <c r="A129" s="4" t="s">
        <v>152</v>
      </c>
      <c r="B129" s="6">
        <v>45016</v>
      </c>
      <c r="C129" s="14">
        <v>45016</v>
      </c>
      <c r="D129" s="4" t="s">
        <v>871</v>
      </c>
      <c r="E129" s="8">
        <v>304.22000000000003</v>
      </c>
      <c r="F129" s="8">
        <f t="shared" si="6"/>
        <v>349.85300000000001</v>
      </c>
      <c r="G129" s="8">
        <v>393.31</v>
      </c>
      <c r="H129" s="8">
        <v>393.31</v>
      </c>
      <c r="I129" s="8" t="s">
        <v>1471</v>
      </c>
      <c r="J129" s="10">
        <v>0.26500000000000001</v>
      </c>
      <c r="K129" s="10">
        <v>0.26500000000000001</v>
      </c>
      <c r="L129" s="10">
        <f t="shared" si="7"/>
        <v>0.25</v>
      </c>
      <c r="M129" s="12">
        <v>15</v>
      </c>
      <c r="N129" s="12">
        <f t="shared" si="8"/>
        <v>18</v>
      </c>
      <c r="O129" s="8">
        <v>4336.2427499999994</v>
      </c>
      <c r="P129" s="8">
        <f t="shared" si="9"/>
        <v>5309.6849999999995</v>
      </c>
      <c r="Q129" s="8">
        <v>4563.3</v>
      </c>
      <c r="R129" s="8">
        <f t="shared" si="10"/>
        <v>6297.3540000000003</v>
      </c>
      <c r="S129" s="8">
        <v>-227.05725000000075</v>
      </c>
      <c r="T129" s="8">
        <f t="shared" si="11"/>
        <v>-987.66900000000078</v>
      </c>
    </row>
    <row r="130" spans="1:20" ht="16.5" x14ac:dyDescent="0.3">
      <c r="A130" s="4" t="s">
        <v>231</v>
      </c>
      <c r="B130" s="6">
        <v>44948</v>
      </c>
      <c r="C130" s="14">
        <v>44948</v>
      </c>
      <c r="D130" s="4" t="s">
        <v>951</v>
      </c>
      <c r="E130" s="8">
        <v>150.86000000000001</v>
      </c>
      <c r="F130" s="8">
        <f t="shared" si="6"/>
        <v>173.489</v>
      </c>
      <c r="G130" s="8">
        <v>346.96</v>
      </c>
      <c r="H130" s="8">
        <v>346.96</v>
      </c>
      <c r="I130" s="8" t="s">
        <v>1471</v>
      </c>
      <c r="J130" s="10">
        <v>0.19600000000000001</v>
      </c>
      <c r="K130" s="10">
        <v>0.19600000000000001</v>
      </c>
      <c r="L130" s="10">
        <f t="shared" si="7"/>
        <v>0.19600000000000001</v>
      </c>
      <c r="M130" s="12">
        <v>8</v>
      </c>
      <c r="N130" s="12">
        <f t="shared" si="8"/>
        <v>9.6</v>
      </c>
      <c r="O130" s="8">
        <v>2231.6467200000002</v>
      </c>
      <c r="P130" s="8">
        <f t="shared" si="9"/>
        <v>2677.976064</v>
      </c>
      <c r="Q130" s="8">
        <v>1206.8800000000001</v>
      </c>
      <c r="R130" s="8">
        <f t="shared" si="10"/>
        <v>1665.4944</v>
      </c>
      <c r="S130" s="8">
        <v>1024.7667200000001</v>
      </c>
      <c r="T130" s="8">
        <f t="shared" si="11"/>
        <v>1012.4816639999999</v>
      </c>
    </row>
    <row r="131" spans="1:20" ht="16.5" x14ac:dyDescent="0.3">
      <c r="A131" s="4" t="s">
        <v>402</v>
      </c>
      <c r="B131" s="6">
        <v>45199</v>
      </c>
      <c r="C131" s="14">
        <v>45199</v>
      </c>
      <c r="D131" s="4" t="s">
        <v>1121</v>
      </c>
      <c r="E131" s="8">
        <v>1019.36</v>
      </c>
      <c r="F131" s="8">
        <f t="shared" ref="F131:F194" si="12">(E131*(1+$X$3))</f>
        <v>1172.2639999999999</v>
      </c>
      <c r="G131" s="8">
        <v>972.91</v>
      </c>
      <c r="H131" s="8">
        <v>972.91</v>
      </c>
      <c r="I131" s="8" t="s">
        <v>1469</v>
      </c>
      <c r="J131" s="10">
        <v>0.14699999999999999</v>
      </c>
      <c r="K131" s="10">
        <v>0.14699999999999999</v>
      </c>
      <c r="L131" s="10">
        <f t="shared" ref="L131:L194" si="13">MIN(K131, $X$2)</f>
        <v>0.14699999999999999</v>
      </c>
      <c r="M131" s="12">
        <v>17</v>
      </c>
      <c r="N131" s="12">
        <f t="shared" ref="N131:N194" si="14">(M131*(1+$X$4))</f>
        <v>20.399999999999999</v>
      </c>
      <c r="O131" s="8">
        <v>14108.16791</v>
      </c>
      <c r="P131" s="8">
        <f t="shared" ref="P131:P194" si="15">(H131*N131*(1-L131))</f>
        <v>16929.801491999999</v>
      </c>
      <c r="Q131" s="8">
        <v>17329.12</v>
      </c>
      <c r="R131" s="8">
        <f t="shared" ref="R131:R194" si="16">F131*N131</f>
        <v>23914.185599999997</v>
      </c>
      <c r="S131" s="8">
        <v>-3220.9520899999989</v>
      </c>
      <c r="T131" s="8">
        <f t="shared" ref="T131:T194" si="17">P131-R131</f>
        <v>-6984.3841079999984</v>
      </c>
    </row>
    <row r="132" spans="1:20" ht="16.5" x14ac:dyDescent="0.3">
      <c r="A132" s="4" t="s">
        <v>606</v>
      </c>
      <c r="B132" s="6">
        <v>44984</v>
      </c>
      <c r="C132" s="14">
        <v>44984</v>
      </c>
      <c r="D132" s="4" t="s">
        <v>1324</v>
      </c>
      <c r="E132" s="8">
        <v>1015.91</v>
      </c>
      <c r="F132" s="8">
        <f t="shared" si="12"/>
        <v>1168.2964999999999</v>
      </c>
      <c r="G132" s="8">
        <v>2331.48</v>
      </c>
      <c r="H132" s="8">
        <v>2331.48</v>
      </c>
      <c r="I132" s="8" t="s">
        <v>1470</v>
      </c>
      <c r="J132" s="10">
        <v>0.14599999999999999</v>
      </c>
      <c r="K132" s="10">
        <v>0.14599999999999999</v>
      </c>
      <c r="L132" s="10">
        <f t="shared" si="13"/>
        <v>0.14599999999999999</v>
      </c>
      <c r="M132" s="12">
        <v>26</v>
      </c>
      <c r="N132" s="12">
        <f t="shared" si="14"/>
        <v>31.2</v>
      </c>
      <c r="O132" s="8">
        <v>51768.181920000003</v>
      </c>
      <c r="P132" s="8">
        <f t="shared" si="15"/>
        <v>62121.818303999993</v>
      </c>
      <c r="Q132" s="8">
        <v>26413.66</v>
      </c>
      <c r="R132" s="8">
        <f t="shared" si="16"/>
        <v>36450.8508</v>
      </c>
      <c r="S132" s="8">
        <v>25354.521920000003</v>
      </c>
      <c r="T132" s="8">
        <f t="shared" si="17"/>
        <v>25670.967503999993</v>
      </c>
    </row>
    <row r="133" spans="1:20" ht="16.5" x14ac:dyDescent="0.3">
      <c r="A133" s="4" t="s">
        <v>331</v>
      </c>
      <c r="B133" s="6">
        <v>45244</v>
      </c>
      <c r="C133" s="14">
        <v>45244</v>
      </c>
      <c r="D133" s="4" t="s">
        <v>1051</v>
      </c>
      <c r="E133" s="8">
        <v>1017.92</v>
      </c>
      <c r="F133" s="8">
        <f t="shared" si="12"/>
        <v>1170.6079999999999</v>
      </c>
      <c r="G133" s="8">
        <v>1175.25</v>
      </c>
      <c r="H133" s="8">
        <v>1175.25</v>
      </c>
      <c r="I133" s="8" t="s">
        <v>1469</v>
      </c>
      <c r="J133" s="10">
        <v>7.4999999999999997E-2</v>
      </c>
      <c r="K133" s="10">
        <v>7.4999999999999997E-2</v>
      </c>
      <c r="L133" s="10">
        <f t="shared" si="13"/>
        <v>7.4999999999999997E-2</v>
      </c>
      <c r="M133" s="12">
        <v>15</v>
      </c>
      <c r="N133" s="12">
        <f t="shared" si="14"/>
        <v>18</v>
      </c>
      <c r="O133" s="8">
        <v>16306.59375</v>
      </c>
      <c r="P133" s="8">
        <f t="shared" si="15"/>
        <v>19567.912500000002</v>
      </c>
      <c r="Q133" s="8">
        <v>15268.8</v>
      </c>
      <c r="R133" s="8">
        <f t="shared" si="16"/>
        <v>21070.944</v>
      </c>
      <c r="S133" s="8">
        <v>1037.7937500000007</v>
      </c>
      <c r="T133" s="8">
        <f t="shared" si="17"/>
        <v>-1503.0314999999973</v>
      </c>
    </row>
    <row r="134" spans="1:20" ht="16.5" x14ac:dyDescent="0.3">
      <c r="A134" s="4" t="s">
        <v>552</v>
      </c>
      <c r="B134" s="6">
        <v>45114</v>
      </c>
      <c r="C134" s="14">
        <v>45114</v>
      </c>
      <c r="D134" s="4" t="s">
        <v>1270</v>
      </c>
      <c r="E134" s="8">
        <v>612.59</v>
      </c>
      <c r="F134" s="8">
        <f t="shared" si="12"/>
        <v>704.47849999999994</v>
      </c>
      <c r="G134" s="8">
        <v>1424.74</v>
      </c>
      <c r="H134" s="8">
        <v>1424.74</v>
      </c>
      <c r="I134" s="8" t="s">
        <v>1469</v>
      </c>
      <c r="J134" s="10">
        <v>4.3999999999999997E-2</v>
      </c>
      <c r="K134" s="10">
        <v>4.3999999999999997E-2</v>
      </c>
      <c r="L134" s="10">
        <f t="shared" si="13"/>
        <v>4.3999999999999997E-2</v>
      </c>
      <c r="M134" s="12">
        <v>15</v>
      </c>
      <c r="N134" s="12">
        <f t="shared" si="14"/>
        <v>18</v>
      </c>
      <c r="O134" s="8">
        <v>20430.771599999996</v>
      </c>
      <c r="P134" s="8">
        <f t="shared" si="15"/>
        <v>24516.925919999998</v>
      </c>
      <c r="Q134" s="8">
        <v>9188.85</v>
      </c>
      <c r="R134" s="8">
        <f t="shared" si="16"/>
        <v>12680.612999999999</v>
      </c>
      <c r="S134" s="8">
        <v>11241.921599999996</v>
      </c>
      <c r="T134" s="8">
        <f t="shared" si="17"/>
        <v>11836.312919999998</v>
      </c>
    </row>
    <row r="135" spans="1:20" ht="16.5" x14ac:dyDescent="0.3">
      <c r="A135" s="4" t="s">
        <v>434</v>
      </c>
      <c r="B135" s="6">
        <v>45211</v>
      </c>
      <c r="C135" s="14">
        <v>45211</v>
      </c>
      <c r="D135" s="4" t="s">
        <v>1153</v>
      </c>
      <c r="E135" s="8">
        <v>1102.19</v>
      </c>
      <c r="F135" s="8">
        <f t="shared" si="12"/>
        <v>1267.5184999999999</v>
      </c>
      <c r="G135" s="8">
        <v>1711.16</v>
      </c>
      <c r="H135" s="8">
        <v>1711.16</v>
      </c>
      <c r="I135" s="8" t="s">
        <v>1470</v>
      </c>
      <c r="J135" s="10">
        <v>0.151</v>
      </c>
      <c r="K135" s="10">
        <v>0.151</v>
      </c>
      <c r="L135" s="10">
        <f t="shared" si="13"/>
        <v>0.151</v>
      </c>
      <c r="M135" s="12">
        <v>10</v>
      </c>
      <c r="N135" s="12">
        <f t="shared" si="14"/>
        <v>12</v>
      </c>
      <c r="O135" s="8">
        <v>14527.748400000002</v>
      </c>
      <c r="P135" s="8">
        <f t="shared" si="15"/>
        <v>17433.29808</v>
      </c>
      <c r="Q135" s="8">
        <v>11021.900000000001</v>
      </c>
      <c r="R135" s="8">
        <f t="shared" si="16"/>
        <v>15210.221999999998</v>
      </c>
      <c r="S135" s="8">
        <v>3505.8484000000008</v>
      </c>
      <c r="T135" s="8">
        <f t="shared" si="17"/>
        <v>2223.0760800000025</v>
      </c>
    </row>
    <row r="136" spans="1:20" ht="16.5" x14ac:dyDescent="0.3">
      <c r="A136" s="4" t="s">
        <v>276</v>
      </c>
      <c r="B136" s="6">
        <v>45142</v>
      </c>
      <c r="C136" s="14">
        <v>45142</v>
      </c>
      <c r="D136" s="4" t="s">
        <v>996</v>
      </c>
      <c r="E136" s="8">
        <v>582.88</v>
      </c>
      <c r="F136" s="8">
        <f t="shared" si="12"/>
        <v>670.3119999999999</v>
      </c>
      <c r="G136" s="8">
        <v>1044.1400000000001</v>
      </c>
      <c r="H136" s="8">
        <v>1044.1400000000001</v>
      </c>
      <c r="I136" s="8" t="s">
        <v>1469</v>
      </c>
      <c r="J136" s="10">
        <v>0.216</v>
      </c>
      <c r="K136" s="10">
        <v>0.216</v>
      </c>
      <c r="L136" s="10">
        <f t="shared" si="13"/>
        <v>0.216</v>
      </c>
      <c r="M136" s="12">
        <v>10</v>
      </c>
      <c r="N136" s="12">
        <f t="shared" si="14"/>
        <v>12</v>
      </c>
      <c r="O136" s="8">
        <v>8186.057600000001</v>
      </c>
      <c r="P136" s="8">
        <f t="shared" si="15"/>
        <v>9823.2691200000008</v>
      </c>
      <c r="Q136" s="8">
        <v>5828.8</v>
      </c>
      <c r="R136" s="8">
        <f t="shared" si="16"/>
        <v>8043.7439999999988</v>
      </c>
      <c r="S136" s="8">
        <v>2357.2576000000008</v>
      </c>
      <c r="T136" s="8">
        <f t="shared" si="17"/>
        <v>1779.5251200000021</v>
      </c>
    </row>
    <row r="137" spans="1:20" ht="16.5" x14ac:dyDescent="0.3">
      <c r="A137" s="4" t="s">
        <v>281</v>
      </c>
      <c r="B137" s="6">
        <v>45053</v>
      </c>
      <c r="C137" s="14">
        <v>45053</v>
      </c>
      <c r="D137" s="4" t="s">
        <v>1001</v>
      </c>
      <c r="E137" s="8">
        <v>1269.6500000000001</v>
      </c>
      <c r="F137" s="8">
        <f t="shared" si="12"/>
        <v>1460.0975000000001</v>
      </c>
      <c r="G137" s="8">
        <v>2462.77</v>
      </c>
      <c r="H137" s="8">
        <v>2462.77</v>
      </c>
      <c r="I137" s="8" t="s">
        <v>1470</v>
      </c>
      <c r="J137" s="10">
        <v>0.107</v>
      </c>
      <c r="K137" s="10">
        <v>0.107</v>
      </c>
      <c r="L137" s="10">
        <f t="shared" si="13"/>
        <v>0.107</v>
      </c>
      <c r="M137" s="12">
        <v>8</v>
      </c>
      <c r="N137" s="12">
        <f t="shared" si="14"/>
        <v>9.6</v>
      </c>
      <c r="O137" s="8">
        <v>17594.028880000002</v>
      </c>
      <c r="P137" s="8">
        <f t="shared" si="15"/>
        <v>21112.834655999999</v>
      </c>
      <c r="Q137" s="8">
        <v>10157.200000000001</v>
      </c>
      <c r="R137" s="8">
        <f t="shared" si="16"/>
        <v>14016.936</v>
      </c>
      <c r="S137" s="8">
        <v>7436.8288800000009</v>
      </c>
      <c r="T137" s="8">
        <f t="shared" si="17"/>
        <v>7095.8986559999994</v>
      </c>
    </row>
    <row r="138" spans="1:20" ht="16.5" x14ac:dyDescent="0.3">
      <c r="A138" s="4" t="s">
        <v>274</v>
      </c>
      <c r="B138" s="6">
        <v>45066</v>
      </c>
      <c r="C138" s="14">
        <v>45066</v>
      </c>
      <c r="D138" s="4" t="s">
        <v>994</v>
      </c>
      <c r="E138" s="8">
        <v>1120.06</v>
      </c>
      <c r="F138" s="8">
        <f t="shared" si="12"/>
        <v>1288.0689999999997</v>
      </c>
      <c r="G138" s="8">
        <v>2068.21</v>
      </c>
      <c r="H138" s="8">
        <v>2068.21</v>
      </c>
      <c r="I138" s="8" t="s">
        <v>1470</v>
      </c>
      <c r="J138" s="10">
        <v>7.8E-2</v>
      </c>
      <c r="K138" s="10">
        <v>7.8E-2</v>
      </c>
      <c r="L138" s="10">
        <f t="shared" si="13"/>
        <v>7.8E-2</v>
      </c>
      <c r="M138" s="12">
        <v>12</v>
      </c>
      <c r="N138" s="12">
        <f t="shared" si="14"/>
        <v>14.399999999999999</v>
      </c>
      <c r="O138" s="8">
        <v>22882.675440000003</v>
      </c>
      <c r="P138" s="8">
        <f t="shared" si="15"/>
        <v>27459.210528</v>
      </c>
      <c r="Q138" s="8">
        <v>13440.72</v>
      </c>
      <c r="R138" s="8">
        <f t="shared" si="16"/>
        <v>18548.193599999995</v>
      </c>
      <c r="S138" s="8">
        <v>9441.9554400000034</v>
      </c>
      <c r="T138" s="8">
        <f t="shared" si="17"/>
        <v>8911.0169280000046</v>
      </c>
    </row>
    <row r="139" spans="1:20" ht="16.5" x14ac:dyDescent="0.3">
      <c r="A139" s="4" t="s">
        <v>543</v>
      </c>
      <c r="B139" s="6">
        <v>45162</v>
      </c>
      <c r="C139" s="14">
        <v>45162</v>
      </c>
      <c r="D139" s="4" t="s">
        <v>1262</v>
      </c>
      <c r="E139" s="8">
        <v>1399.64</v>
      </c>
      <c r="F139" s="8">
        <f t="shared" si="12"/>
        <v>1609.586</v>
      </c>
      <c r="G139" s="8">
        <v>3342.11</v>
      </c>
      <c r="H139" s="8">
        <v>3342.11</v>
      </c>
      <c r="I139" s="8" t="s">
        <v>1470</v>
      </c>
      <c r="J139" s="10">
        <v>0</v>
      </c>
      <c r="K139" s="10">
        <v>0</v>
      </c>
      <c r="L139" s="10">
        <f t="shared" si="13"/>
        <v>0</v>
      </c>
      <c r="M139" s="12">
        <v>10</v>
      </c>
      <c r="N139" s="12">
        <f t="shared" si="14"/>
        <v>12</v>
      </c>
      <c r="O139" s="8">
        <v>33421.1</v>
      </c>
      <c r="P139" s="8">
        <f t="shared" si="15"/>
        <v>40105.32</v>
      </c>
      <c r="Q139" s="8">
        <v>13996.400000000001</v>
      </c>
      <c r="R139" s="8">
        <f t="shared" si="16"/>
        <v>19315.031999999999</v>
      </c>
      <c r="S139" s="8">
        <v>19424.699999999997</v>
      </c>
      <c r="T139" s="8">
        <f t="shared" si="17"/>
        <v>20790.288</v>
      </c>
    </row>
    <row r="140" spans="1:20" ht="16.5" x14ac:dyDescent="0.3">
      <c r="A140" s="4" t="s">
        <v>54</v>
      </c>
      <c r="B140" s="6">
        <v>45094</v>
      </c>
      <c r="C140" s="14">
        <v>45094</v>
      </c>
      <c r="D140" s="4" t="s">
        <v>773</v>
      </c>
      <c r="E140" s="8">
        <v>313.99</v>
      </c>
      <c r="F140" s="8">
        <f t="shared" si="12"/>
        <v>361.08850000000001</v>
      </c>
      <c r="G140" s="8">
        <v>454.42</v>
      </c>
      <c r="H140" s="8">
        <v>454.42</v>
      </c>
      <c r="I140" s="8" t="s">
        <v>1471</v>
      </c>
      <c r="J140" s="10">
        <v>0.129</v>
      </c>
      <c r="K140" s="10">
        <v>0.129</v>
      </c>
      <c r="L140" s="10">
        <f t="shared" si="13"/>
        <v>0.129</v>
      </c>
      <c r="M140" s="12">
        <v>9</v>
      </c>
      <c r="N140" s="12">
        <f t="shared" si="14"/>
        <v>10.799999999999999</v>
      </c>
      <c r="O140" s="8">
        <v>3562.1983800000003</v>
      </c>
      <c r="P140" s="8">
        <f t="shared" si="15"/>
        <v>4274.6380559999998</v>
      </c>
      <c r="Q140" s="8">
        <v>2825.91</v>
      </c>
      <c r="R140" s="8">
        <f t="shared" si="16"/>
        <v>3899.7557999999999</v>
      </c>
      <c r="S140" s="8">
        <v>736.28838000000042</v>
      </c>
      <c r="T140" s="8">
        <f t="shared" si="17"/>
        <v>374.88225599999987</v>
      </c>
    </row>
    <row r="141" spans="1:20" ht="16.5" x14ac:dyDescent="0.3">
      <c r="A141" s="4" t="s">
        <v>228</v>
      </c>
      <c r="B141" s="6">
        <v>45240</v>
      </c>
      <c r="C141" s="14">
        <v>45240</v>
      </c>
      <c r="D141" s="4" t="s">
        <v>948</v>
      </c>
      <c r="E141" s="8">
        <v>388.51</v>
      </c>
      <c r="F141" s="8">
        <f t="shared" si="12"/>
        <v>446.78649999999993</v>
      </c>
      <c r="G141" s="8">
        <v>776.46</v>
      </c>
      <c r="H141" s="8">
        <v>776.46</v>
      </c>
      <c r="I141" s="8" t="s">
        <v>1471</v>
      </c>
      <c r="J141" s="10">
        <v>0.157</v>
      </c>
      <c r="K141" s="10">
        <v>0.157</v>
      </c>
      <c r="L141" s="10">
        <f t="shared" si="13"/>
        <v>0.157</v>
      </c>
      <c r="M141" s="12">
        <v>12</v>
      </c>
      <c r="N141" s="12">
        <f t="shared" si="14"/>
        <v>14.399999999999999</v>
      </c>
      <c r="O141" s="8">
        <v>7854.6693599999999</v>
      </c>
      <c r="P141" s="8">
        <f t="shared" si="15"/>
        <v>9425.6032319999995</v>
      </c>
      <c r="Q141" s="8">
        <v>4662.12</v>
      </c>
      <c r="R141" s="8">
        <f t="shared" si="16"/>
        <v>6433.7255999999988</v>
      </c>
      <c r="S141" s="8">
        <v>3192.54936</v>
      </c>
      <c r="T141" s="8">
        <f t="shared" si="17"/>
        <v>2991.8776320000006</v>
      </c>
    </row>
    <row r="142" spans="1:20" ht="16.5" x14ac:dyDescent="0.3">
      <c r="A142" s="4" t="s">
        <v>446</v>
      </c>
      <c r="B142" s="6">
        <v>45220</v>
      </c>
      <c r="C142" s="14">
        <v>45220</v>
      </c>
      <c r="D142" s="4" t="s">
        <v>1165</v>
      </c>
      <c r="E142" s="8">
        <v>384.19</v>
      </c>
      <c r="F142" s="8">
        <f t="shared" si="12"/>
        <v>441.81849999999997</v>
      </c>
      <c r="G142" s="8">
        <v>278.35000000000002</v>
      </c>
      <c r="H142" s="8">
        <v>278.35000000000002</v>
      </c>
      <c r="I142" s="8" t="s">
        <v>1471</v>
      </c>
      <c r="J142" s="10">
        <v>5.6000000000000001E-2</v>
      </c>
      <c r="K142" s="10">
        <v>5.6000000000000001E-2</v>
      </c>
      <c r="L142" s="10">
        <f t="shared" si="13"/>
        <v>5.6000000000000001E-2</v>
      </c>
      <c r="M142" s="12">
        <v>10</v>
      </c>
      <c r="N142" s="12">
        <f t="shared" si="14"/>
        <v>12</v>
      </c>
      <c r="O142" s="8">
        <v>2627.6239999999998</v>
      </c>
      <c r="P142" s="8">
        <f t="shared" si="15"/>
        <v>3153.1487999999999</v>
      </c>
      <c r="Q142" s="8">
        <v>3841.9</v>
      </c>
      <c r="R142" s="8">
        <f t="shared" si="16"/>
        <v>5301.8220000000001</v>
      </c>
      <c r="S142" s="8">
        <v>-1214.2760000000003</v>
      </c>
      <c r="T142" s="8">
        <f t="shared" si="17"/>
        <v>-2148.6732000000002</v>
      </c>
    </row>
    <row r="143" spans="1:20" ht="16.5" x14ac:dyDescent="0.3">
      <c r="A143" s="4" t="s">
        <v>352</v>
      </c>
      <c r="B143" s="6">
        <v>45132</v>
      </c>
      <c r="C143" s="14">
        <v>45132</v>
      </c>
      <c r="D143" s="4" t="s">
        <v>1072</v>
      </c>
      <c r="E143" s="8">
        <v>506.83</v>
      </c>
      <c r="F143" s="8">
        <f t="shared" si="12"/>
        <v>582.85449999999992</v>
      </c>
      <c r="G143" s="8">
        <v>441.74</v>
      </c>
      <c r="H143" s="8">
        <v>441.74</v>
      </c>
      <c r="I143" s="8" t="s">
        <v>1471</v>
      </c>
      <c r="J143" s="10">
        <v>0.24</v>
      </c>
      <c r="K143" s="10">
        <v>0.24</v>
      </c>
      <c r="L143" s="10">
        <f t="shared" si="13"/>
        <v>0.24</v>
      </c>
      <c r="M143" s="12">
        <v>9</v>
      </c>
      <c r="N143" s="12">
        <f t="shared" si="14"/>
        <v>10.799999999999999</v>
      </c>
      <c r="O143" s="8">
        <v>3021.5016000000001</v>
      </c>
      <c r="P143" s="8">
        <f t="shared" si="15"/>
        <v>3625.8019199999994</v>
      </c>
      <c r="Q143" s="8">
        <v>4561.47</v>
      </c>
      <c r="R143" s="8">
        <f t="shared" si="16"/>
        <v>6294.8285999999989</v>
      </c>
      <c r="S143" s="8">
        <v>-1539.9684000000002</v>
      </c>
      <c r="T143" s="8">
        <f t="shared" si="17"/>
        <v>-2669.0266799999995</v>
      </c>
    </row>
    <row r="144" spans="1:20" ht="16.5" x14ac:dyDescent="0.3">
      <c r="A144" s="4" t="s">
        <v>191</v>
      </c>
      <c r="B144" s="6">
        <v>45165</v>
      </c>
      <c r="C144" s="14">
        <v>45165</v>
      </c>
      <c r="D144" s="4" t="s">
        <v>910</v>
      </c>
      <c r="E144" s="8">
        <v>943.79</v>
      </c>
      <c r="F144" s="8">
        <f t="shared" si="12"/>
        <v>1085.3584999999998</v>
      </c>
      <c r="G144" s="8">
        <v>1913.76</v>
      </c>
      <c r="H144" s="8">
        <v>1913.76</v>
      </c>
      <c r="I144" s="8" t="s">
        <v>1470</v>
      </c>
      <c r="J144" s="10">
        <v>9.0999999999999998E-2</v>
      </c>
      <c r="K144" s="10">
        <v>9.0999999999999998E-2</v>
      </c>
      <c r="L144" s="10">
        <f t="shared" si="13"/>
        <v>9.0999999999999998E-2</v>
      </c>
      <c r="M144" s="12">
        <v>9</v>
      </c>
      <c r="N144" s="12">
        <f t="shared" si="14"/>
        <v>10.799999999999999</v>
      </c>
      <c r="O144" s="8">
        <v>15656.47056</v>
      </c>
      <c r="P144" s="8">
        <f t="shared" si="15"/>
        <v>18787.764671999998</v>
      </c>
      <c r="Q144" s="8">
        <v>8494.11</v>
      </c>
      <c r="R144" s="8">
        <f t="shared" si="16"/>
        <v>11721.871799999997</v>
      </c>
      <c r="S144" s="8">
        <v>7162.3605599999992</v>
      </c>
      <c r="T144" s="8">
        <f t="shared" si="17"/>
        <v>7065.8928720000004</v>
      </c>
    </row>
    <row r="145" spans="1:20" ht="16.5" x14ac:dyDescent="0.3">
      <c r="A145" s="4" t="s">
        <v>624</v>
      </c>
      <c r="B145" s="6">
        <v>45032</v>
      </c>
      <c r="C145" s="14">
        <v>45032</v>
      </c>
      <c r="D145" s="4" t="s">
        <v>1342</v>
      </c>
      <c r="E145" s="8">
        <v>1099.1500000000001</v>
      </c>
      <c r="F145" s="8">
        <f t="shared" si="12"/>
        <v>1264.0225</v>
      </c>
      <c r="G145" s="8">
        <v>1431.37</v>
      </c>
      <c r="H145" s="8">
        <v>1431.37</v>
      </c>
      <c r="I145" s="8" t="s">
        <v>1469</v>
      </c>
      <c r="J145" s="10">
        <v>0.104</v>
      </c>
      <c r="K145" s="10">
        <v>0.104</v>
      </c>
      <c r="L145" s="10">
        <f t="shared" si="13"/>
        <v>0.104</v>
      </c>
      <c r="M145" s="12">
        <v>8</v>
      </c>
      <c r="N145" s="12">
        <f t="shared" si="14"/>
        <v>9.6</v>
      </c>
      <c r="O145" s="8">
        <v>10260.060159999999</v>
      </c>
      <c r="P145" s="8">
        <f t="shared" si="15"/>
        <v>12312.072191999998</v>
      </c>
      <c r="Q145" s="8">
        <v>8793.2000000000007</v>
      </c>
      <c r="R145" s="8">
        <f t="shared" si="16"/>
        <v>12134.616</v>
      </c>
      <c r="S145" s="8">
        <v>1466.8601599999984</v>
      </c>
      <c r="T145" s="8">
        <f t="shared" si="17"/>
        <v>177.45619199999783</v>
      </c>
    </row>
    <row r="146" spans="1:20" ht="16.5" x14ac:dyDescent="0.3">
      <c r="A146" s="4" t="s">
        <v>306</v>
      </c>
      <c r="B146" s="6">
        <v>45220</v>
      </c>
      <c r="C146" s="14">
        <v>45220</v>
      </c>
      <c r="D146" s="4" t="s">
        <v>1026</v>
      </c>
      <c r="E146" s="8">
        <v>1142.48</v>
      </c>
      <c r="F146" s="8">
        <f t="shared" si="12"/>
        <v>1313.8519999999999</v>
      </c>
      <c r="G146" s="8">
        <v>2105.5300000000002</v>
      </c>
      <c r="H146" s="8">
        <v>2105.5300000000002</v>
      </c>
      <c r="I146" s="8" t="s">
        <v>1470</v>
      </c>
      <c r="J146" s="10">
        <v>0.20699999999999999</v>
      </c>
      <c r="K146" s="10">
        <v>0.20699999999999999</v>
      </c>
      <c r="L146" s="10">
        <f t="shared" si="13"/>
        <v>0.20699999999999999</v>
      </c>
      <c r="M146" s="12">
        <v>14</v>
      </c>
      <c r="N146" s="12">
        <f t="shared" si="14"/>
        <v>16.8</v>
      </c>
      <c r="O146" s="8">
        <v>23375.594060000003</v>
      </c>
      <c r="P146" s="8">
        <f t="shared" si="15"/>
        <v>28050.712872000004</v>
      </c>
      <c r="Q146" s="8">
        <v>15994.720000000001</v>
      </c>
      <c r="R146" s="8">
        <f t="shared" si="16"/>
        <v>22072.713599999999</v>
      </c>
      <c r="S146" s="8">
        <v>7380.8740600000019</v>
      </c>
      <c r="T146" s="8">
        <f t="shared" si="17"/>
        <v>5977.9992720000046</v>
      </c>
    </row>
    <row r="147" spans="1:20" ht="16.5" x14ac:dyDescent="0.3">
      <c r="A147" s="4" t="s">
        <v>423</v>
      </c>
      <c r="B147" s="6">
        <v>45276</v>
      </c>
      <c r="C147" s="14">
        <v>45276</v>
      </c>
      <c r="D147" s="4" t="s">
        <v>1142</v>
      </c>
      <c r="E147" s="8">
        <v>1415.05</v>
      </c>
      <c r="F147" s="8">
        <f t="shared" si="12"/>
        <v>1627.3074999999999</v>
      </c>
      <c r="G147" s="8">
        <v>1972.38</v>
      </c>
      <c r="H147" s="8">
        <v>1972.38</v>
      </c>
      <c r="I147" s="8" t="s">
        <v>1470</v>
      </c>
      <c r="J147" s="10">
        <v>0</v>
      </c>
      <c r="K147" s="10">
        <v>0</v>
      </c>
      <c r="L147" s="10">
        <f t="shared" si="13"/>
        <v>0</v>
      </c>
      <c r="M147" s="12">
        <v>12</v>
      </c>
      <c r="N147" s="12">
        <f t="shared" si="14"/>
        <v>14.399999999999999</v>
      </c>
      <c r="O147" s="8">
        <v>23668.560000000001</v>
      </c>
      <c r="P147" s="8">
        <f t="shared" si="15"/>
        <v>28402.271999999997</v>
      </c>
      <c r="Q147" s="8">
        <v>16980.599999999999</v>
      </c>
      <c r="R147" s="8">
        <f t="shared" si="16"/>
        <v>23433.227999999996</v>
      </c>
      <c r="S147" s="8">
        <v>6687.9600000000028</v>
      </c>
      <c r="T147" s="8">
        <f t="shared" si="17"/>
        <v>4969.0440000000017</v>
      </c>
    </row>
    <row r="148" spans="1:20" ht="16.5" x14ac:dyDescent="0.3">
      <c r="A148" s="4" t="s">
        <v>399</v>
      </c>
      <c r="B148" s="6">
        <v>45066</v>
      </c>
      <c r="C148" s="14">
        <v>45066</v>
      </c>
      <c r="D148" s="4" t="s">
        <v>1118</v>
      </c>
      <c r="E148" s="8">
        <v>1161.2</v>
      </c>
      <c r="F148" s="8">
        <f t="shared" si="12"/>
        <v>1335.3799999999999</v>
      </c>
      <c r="G148" s="8">
        <v>878.73</v>
      </c>
      <c r="H148" s="8">
        <v>878.73</v>
      </c>
      <c r="I148" s="8" t="s">
        <v>1469</v>
      </c>
      <c r="J148" s="10">
        <v>0.19</v>
      </c>
      <c r="K148" s="10">
        <v>0.19</v>
      </c>
      <c r="L148" s="10">
        <f t="shared" si="13"/>
        <v>0.19</v>
      </c>
      <c r="M148" s="12">
        <v>31</v>
      </c>
      <c r="N148" s="12">
        <f t="shared" si="14"/>
        <v>37.199999999999996</v>
      </c>
      <c r="O148" s="8">
        <v>22064.910300000003</v>
      </c>
      <c r="P148" s="8">
        <f t="shared" si="15"/>
        <v>26477.892359999998</v>
      </c>
      <c r="Q148" s="8">
        <v>35997.200000000004</v>
      </c>
      <c r="R148" s="8">
        <f t="shared" si="16"/>
        <v>49676.135999999991</v>
      </c>
      <c r="S148" s="8">
        <v>-13932.289700000001</v>
      </c>
      <c r="T148" s="8">
        <f t="shared" si="17"/>
        <v>-23198.243639999993</v>
      </c>
    </row>
    <row r="149" spans="1:20" ht="16.5" x14ac:dyDescent="0.3">
      <c r="A149" s="4" t="s">
        <v>611</v>
      </c>
      <c r="B149" s="6">
        <v>44933</v>
      </c>
      <c r="C149" s="14">
        <v>44933</v>
      </c>
      <c r="D149" s="4" t="s">
        <v>1329</v>
      </c>
      <c r="E149" s="8">
        <v>299.02</v>
      </c>
      <c r="F149" s="8">
        <f t="shared" si="12"/>
        <v>343.87299999999993</v>
      </c>
      <c r="G149" s="8">
        <v>724.7</v>
      </c>
      <c r="H149" s="8">
        <v>724.7</v>
      </c>
      <c r="I149" s="8" t="s">
        <v>1471</v>
      </c>
      <c r="J149" s="10">
        <v>0.14000000000000001</v>
      </c>
      <c r="K149" s="10">
        <v>0.14000000000000001</v>
      </c>
      <c r="L149" s="10">
        <f t="shared" si="13"/>
        <v>0.14000000000000001</v>
      </c>
      <c r="M149" s="12">
        <v>5</v>
      </c>
      <c r="N149" s="12">
        <f t="shared" si="14"/>
        <v>6</v>
      </c>
      <c r="O149" s="8">
        <v>3116.21</v>
      </c>
      <c r="P149" s="8">
        <f t="shared" si="15"/>
        <v>3739.4520000000007</v>
      </c>
      <c r="Q149" s="8">
        <v>1495.1</v>
      </c>
      <c r="R149" s="8">
        <f t="shared" si="16"/>
        <v>2063.2379999999994</v>
      </c>
      <c r="S149" s="8">
        <v>1621.1100000000001</v>
      </c>
      <c r="T149" s="8">
        <f t="shared" si="17"/>
        <v>1676.2140000000013</v>
      </c>
    </row>
    <row r="150" spans="1:20" ht="16.5" x14ac:dyDescent="0.3">
      <c r="A150" s="4" t="s">
        <v>541</v>
      </c>
      <c r="B150" s="6">
        <v>44938</v>
      </c>
      <c r="C150" s="14">
        <v>44938</v>
      </c>
      <c r="D150" s="4" t="s">
        <v>1260</v>
      </c>
      <c r="E150" s="8">
        <v>1083.0899999999999</v>
      </c>
      <c r="F150" s="8">
        <f t="shared" si="12"/>
        <v>1245.5534999999998</v>
      </c>
      <c r="G150" s="8">
        <v>1425.87</v>
      </c>
      <c r="H150" s="8">
        <v>1425.87</v>
      </c>
      <c r="I150" s="8" t="s">
        <v>1469</v>
      </c>
      <c r="J150" s="10">
        <v>0</v>
      </c>
      <c r="K150" s="10">
        <v>0</v>
      </c>
      <c r="L150" s="10">
        <f t="shared" si="13"/>
        <v>0</v>
      </c>
      <c r="M150" s="12">
        <v>8</v>
      </c>
      <c r="N150" s="12">
        <f t="shared" si="14"/>
        <v>9.6</v>
      </c>
      <c r="O150" s="8">
        <v>11406.96</v>
      </c>
      <c r="P150" s="8">
        <f t="shared" si="15"/>
        <v>13688.351999999999</v>
      </c>
      <c r="Q150" s="8">
        <v>8664.7199999999993</v>
      </c>
      <c r="R150" s="8">
        <f t="shared" si="16"/>
        <v>11957.313599999998</v>
      </c>
      <c r="S150" s="8">
        <v>2742.24</v>
      </c>
      <c r="T150" s="8">
        <f t="shared" si="17"/>
        <v>1731.0384000000013</v>
      </c>
    </row>
    <row r="151" spans="1:20" ht="16.5" x14ac:dyDescent="0.3">
      <c r="A151" s="4" t="s">
        <v>213</v>
      </c>
      <c r="B151" s="6">
        <v>45030</v>
      </c>
      <c r="C151" s="14">
        <v>45030</v>
      </c>
      <c r="D151" s="4" t="s">
        <v>933</v>
      </c>
      <c r="E151" s="8">
        <v>1320.33</v>
      </c>
      <c r="F151" s="8">
        <f t="shared" si="12"/>
        <v>1518.3794999999998</v>
      </c>
      <c r="G151" s="8">
        <v>2645.23</v>
      </c>
      <c r="H151" s="8">
        <v>2645.23</v>
      </c>
      <c r="I151" s="8" t="s">
        <v>1470</v>
      </c>
      <c r="J151" s="10">
        <v>0.155</v>
      </c>
      <c r="K151" s="10">
        <v>0.155</v>
      </c>
      <c r="L151" s="10">
        <f t="shared" si="13"/>
        <v>0.155</v>
      </c>
      <c r="M151" s="12">
        <v>25</v>
      </c>
      <c r="N151" s="12">
        <f t="shared" si="14"/>
        <v>30</v>
      </c>
      <c r="O151" s="8">
        <v>55880.483749999999</v>
      </c>
      <c r="P151" s="8">
        <f t="shared" si="15"/>
        <v>67056.580499999996</v>
      </c>
      <c r="Q151" s="8">
        <v>33008.25</v>
      </c>
      <c r="R151" s="8">
        <f t="shared" si="16"/>
        <v>45551.384999999995</v>
      </c>
      <c r="S151" s="8">
        <v>22872.233749999999</v>
      </c>
      <c r="T151" s="8">
        <f t="shared" si="17"/>
        <v>21505.195500000002</v>
      </c>
    </row>
    <row r="152" spans="1:20" ht="16.5" x14ac:dyDescent="0.3">
      <c r="A152" s="4" t="s">
        <v>475</v>
      </c>
      <c r="B152" s="6">
        <v>45063</v>
      </c>
      <c r="C152" s="14">
        <v>45063</v>
      </c>
      <c r="D152" s="4" t="s">
        <v>1194</v>
      </c>
      <c r="E152" s="8">
        <v>40.89</v>
      </c>
      <c r="F152" s="8">
        <f t="shared" si="12"/>
        <v>47.023499999999999</v>
      </c>
      <c r="G152" s="8">
        <v>62.82</v>
      </c>
      <c r="H152" s="8">
        <v>62.82</v>
      </c>
      <c r="I152" s="8" t="s">
        <v>1471</v>
      </c>
      <c r="J152" s="10">
        <v>0.129</v>
      </c>
      <c r="K152" s="10">
        <v>0.129</v>
      </c>
      <c r="L152" s="10">
        <f t="shared" si="13"/>
        <v>0.129</v>
      </c>
      <c r="M152" s="12">
        <v>17</v>
      </c>
      <c r="N152" s="12">
        <f t="shared" si="14"/>
        <v>20.399999999999999</v>
      </c>
      <c r="O152" s="8">
        <v>930.17574000000002</v>
      </c>
      <c r="P152" s="8">
        <f t="shared" si="15"/>
        <v>1116.2108880000001</v>
      </c>
      <c r="Q152" s="8">
        <v>695.13</v>
      </c>
      <c r="R152" s="8">
        <f t="shared" si="16"/>
        <v>959.2793999999999</v>
      </c>
      <c r="S152" s="8">
        <v>235.04574000000002</v>
      </c>
      <c r="T152" s="8">
        <f t="shared" si="17"/>
        <v>156.93148800000017</v>
      </c>
    </row>
    <row r="153" spans="1:20" ht="16.5" x14ac:dyDescent="0.3">
      <c r="A153" s="4" t="s">
        <v>236</v>
      </c>
      <c r="B153" s="6">
        <v>45164</v>
      </c>
      <c r="C153" s="14">
        <v>45164</v>
      </c>
      <c r="D153" s="4" t="s">
        <v>956</v>
      </c>
      <c r="E153" s="8">
        <v>241.14</v>
      </c>
      <c r="F153" s="8">
        <f t="shared" si="12"/>
        <v>277.31099999999998</v>
      </c>
      <c r="G153" s="8">
        <v>496.52</v>
      </c>
      <c r="H153" s="8">
        <v>496.52</v>
      </c>
      <c r="I153" s="8" t="s">
        <v>1471</v>
      </c>
      <c r="J153" s="10">
        <v>9.2999999999999999E-2</v>
      </c>
      <c r="K153" s="10">
        <v>9.2999999999999999E-2</v>
      </c>
      <c r="L153" s="10">
        <f t="shared" si="13"/>
        <v>9.2999999999999999E-2</v>
      </c>
      <c r="M153" s="12">
        <v>10</v>
      </c>
      <c r="N153" s="12">
        <f t="shared" si="14"/>
        <v>12</v>
      </c>
      <c r="O153" s="8">
        <v>4503.4363999999996</v>
      </c>
      <c r="P153" s="8">
        <f t="shared" si="15"/>
        <v>5404.1236799999997</v>
      </c>
      <c r="Q153" s="8">
        <v>2411.3999999999996</v>
      </c>
      <c r="R153" s="8">
        <f t="shared" si="16"/>
        <v>3327.732</v>
      </c>
      <c r="S153" s="8">
        <v>2092.0364</v>
      </c>
      <c r="T153" s="8">
        <f t="shared" si="17"/>
        <v>2076.3916799999997</v>
      </c>
    </row>
    <row r="154" spans="1:20" ht="16.5" x14ac:dyDescent="0.3">
      <c r="A154" s="4" t="s">
        <v>591</v>
      </c>
      <c r="B154" s="6">
        <v>45140</v>
      </c>
      <c r="C154" s="14">
        <v>45140</v>
      </c>
      <c r="D154" s="4" t="s">
        <v>1309</v>
      </c>
      <c r="E154" s="8">
        <v>175.38</v>
      </c>
      <c r="F154" s="8">
        <f t="shared" si="12"/>
        <v>201.68699999999998</v>
      </c>
      <c r="G154" s="8">
        <v>347.9</v>
      </c>
      <c r="H154" s="8">
        <v>347.9</v>
      </c>
      <c r="I154" s="8" t="s">
        <v>1471</v>
      </c>
      <c r="J154" s="10">
        <v>7.1999999999999995E-2</v>
      </c>
      <c r="K154" s="10">
        <v>7.1999999999999995E-2</v>
      </c>
      <c r="L154" s="10">
        <f t="shared" si="13"/>
        <v>7.1999999999999995E-2</v>
      </c>
      <c r="M154" s="12">
        <v>43</v>
      </c>
      <c r="N154" s="12">
        <f t="shared" si="14"/>
        <v>51.6</v>
      </c>
      <c r="O154" s="8">
        <v>13882.6016</v>
      </c>
      <c r="P154" s="8">
        <f t="shared" si="15"/>
        <v>16659.121920000001</v>
      </c>
      <c r="Q154" s="8">
        <v>7541.34</v>
      </c>
      <c r="R154" s="8">
        <f t="shared" si="16"/>
        <v>10407.049199999999</v>
      </c>
      <c r="S154" s="8">
        <v>6341.2615999999998</v>
      </c>
      <c r="T154" s="8">
        <f t="shared" si="17"/>
        <v>6252.0727200000019</v>
      </c>
    </row>
    <row r="155" spans="1:20" ht="16.5" x14ac:dyDescent="0.3">
      <c r="A155" s="4" t="s">
        <v>294</v>
      </c>
      <c r="B155" s="6">
        <v>45092</v>
      </c>
      <c r="C155" s="14">
        <v>45092</v>
      </c>
      <c r="D155" s="4" t="s">
        <v>1014</v>
      </c>
      <c r="E155" s="8">
        <v>1097.0899999999999</v>
      </c>
      <c r="F155" s="8">
        <f t="shared" si="12"/>
        <v>1261.6534999999999</v>
      </c>
      <c r="G155" s="8">
        <v>2182.31</v>
      </c>
      <c r="H155" s="8">
        <v>2182.31</v>
      </c>
      <c r="I155" s="8" t="s">
        <v>1470</v>
      </c>
      <c r="J155" s="10">
        <v>0.112</v>
      </c>
      <c r="K155" s="10">
        <v>0.112</v>
      </c>
      <c r="L155" s="10">
        <f t="shared" si="13"/>
        <v>0.112</v>
      </c>
      <c r="M155" s="12">
        <v>9</v>
      </c>
      <c r="N155" s="12">
        <f t="shared" si="14"/>
        <v>10.799999999999999</v>
      </c>
      <c r="O155" s="8">
        <v>17441.021520000002</v>
      </c>
      <c r="P155" s="8">
        <f t="shared" si="15"/>
        <v>20929.225823999997</v>
      </c>
      <c r="Q155" s="8">
        <v>9873.81</v>
      </c>
      <c r="R155" s="8">
        <f t="shared" si="16"/>
        <v>13625.857799999998</v>
      </c>
      <c r="S155" s="8">
        <v>7567.2115200000026</v>
      </c>
      <c r="T155" s="8">
        <f t="shared" si="17"/>
        <v>7303.3680239999994</v>
      </c>
    </row>
    <row r="156" spans="1:20" ht="16.5" x14ac:dyDescent="0.3">
      <c r="A156" s="4" t="s">
        <v>90</v>
      </c>
      <c r="B156" s="6">
        <v>45187</v>
      </c>
      <c r="C156" s="14">
        <v>45187</v>
      </c>
      <c r="D156" s="4" t="s">
        <v>809</v>
      </c>
      <c r="E156" s="8">
        <v>825.64</v>
      </c>
      <c r="F156" s="8">
        <f t="shared" si="12"/>
        <v>949.48599999999988</v>
      </c>
      <c r="G156" s="8">
        <v>1108.43</v>
      </c>
      <c r="H156" s="8">
        <v>1108.43</v>
      </c>
      <c r="I156" s="8" t="s">
        <v>1469</v>
      </c>
      <c r="J156" s="10">
        <v>0.114</v>
      </c>
      <c r="K156" s="10">
        <v>0.114</v>
      </c>
      <c r="L156" s="10">
        <f t="shared" si="13"/>
        <v>0.114</v>
      </c>
      <c r="M156" s="12">
        <v>7</v>
      </c>
      <c r="N156" s="12">
        <f t="shared" si="14"/>
        <v>8.4</v>
      </c>
      <c r="O156" s="8">
        <v>6874.4828600000001</v>
      </c>
      <c r="P156" s="8">
        <f t="shared" si="15"/>
        <v>8249.3794320000015</v>
      </c>
      <c r="Q156" s="8">
        <v>5779.48</v>
      </c>
      <c r="R156" s="8">
        <f t="shared" si="16"/>
        <v>7975.6823999999997</v>
      </c>
      <c r="S156" s="8">
        <v>1095.0028600000005</v>
      </c>
      <c r="T156" s="8">
        <f t="shared" si="17"/>
        <v>273.69703200000185</v>
      </c>
    </row>
    <row r="157" spans="1:20" ht="16.5" x14ac:dyDescent="0.3">
      <c r="A157" s="4" t="s">
        <v>20</v>
      </c>
      <c r="B157" s="6">
        <v>44928</v>
      </c>
      <c r="C157" s="14">
        <v>44928</v>
      </c>
      <c r="D157" s="4" t="s">
        <v>739</v>
      </c>
      <c r="E157" s="8">
        <v>315.87</v>
      </c>
      <c r="F157" s="8">
        <f t="shared" si="12"/>
        <v>363.25049999999999</v>
      </c>
      <c r="G157" s="8">
        <v>591.67999999999995</v>
      </c>
      <c r="H157" s="8">
        <v>591.67999999999995</v>
      </c>
      <c r="I157" s="8" t="s">
        <v>1471</v>
      </c>
      <c r="J157" s="10">
        <v>0</v>
      </c>
      <c r="K157" s="10">
        <v>0</v>
      </c>
      <c r="L157" s="10">
        <f t="shared" si="13"/>
        <v>0</v>
      </c>
      <c r="M157" s="12">
        <v>7</v>
      </c>
      <c r="N157" s="12">
        <f t="shared" si="14"/>
        <v>8.4</v>
      </c>
      <c r="O157" s="8">
        <v>4141.7599999999993</v>
      </c>
      <c r="P157" s="8">
        <f t="shared" si="15"/>
        <v>4970.1120000000001</v>
      </c>
      <c r="Q157" s="8">
        <v>2211.09</v>
      </c>
      <c r="R157" s="8">
        <f t="shared" si="16"/>
        <v>3051.3042</v>
      </c>
      <c r="S157" s="8">
        <v>1930.6699999999992</v>
      </c>
      <c r="T157" s="8">
        <f t="shared" si="17"/>
        <v>1918.8078</v>
      </c>
    </row>
    <row r="158" spans="1:20" ht="16.5" x14ac:dyDescent="0.3">
      <c r="A158" s="4" t="s">
        <v>604</v>
      </c>
      <c r="B158" s="6">
        <v>45019</v>
      </c>
      <c r="C158" s="14">
        <v>45019</v>
      </c>
      <c r="D158" s="4" t="s">
        <v>1322</v>
      </c>
      <c r="E158" s="8">
        <v>790.54</v>
      </c>
      <c r="F158" s="8">
        <f t="shared" si="12"/>
        <v>909.12099999999987</v>
      </c>
      <c r="G158" s="8">
        <v>601.49</v>
      </c>
      <c r="H158" s="8">
        <v>601.49</v>
      </c>
      <c r="I158" s="8" t="s">
        <v>1471</v>
      </c>
      <c r="J158" s="10">
        <v>0</v>
      </c>
      <c r="K158" s="10">
        <v>0</v>
      </c>
      <c r="L158" s="10">
        <f t="shared" si="13"/>
        <v>0</v>
      </c>
      <c r="M158" s="12">
        <v>15</v>
      </c>
      <c r="N158" s="12">
        <f t="shared" si="14"/>
        <v>18</v>
      </c>
      <c r="O158" s="8">
        <v>9022.35</v>
      </c>
      <c r="P158" s="8">
        <f t="shared" si="15"/>
        <v>10826.82</v>
      </c>
      <c r="Q158" s="8">
        <v>11858.099999999999</v>
      </c>
      <c r="R158" s="8">
        <f t="shared" si="16"/>
        <v>16364.177999999998</v>
      </c>
      <c r="S158" s="8">
        <v>-2835.7499999999982</v>
      </c>
      <c r="T158" s="8">
        <f t="shared" si="17"/>
        <v>-5537.3579999999984</v>
      </c>
    </row>
    <row r="159" spans="1:20" ht="16.5" x14ac:dyDescent="0.3">
      <c r="A159" s="4" t="s">
        <v>481</v>
      </c>
      <c r="B159" s="6">
        <v>45278</v>
      </c>
      <c r="C159" s="14">
        <v>45278</v>
      </c>
      <c r="D159" s="4" t="s">
        <v>1200</v>
      </c>
      <c r="E159" s="8">
        <v>1408.3</v>
      </c>
      <c r="F159" s="8">
        <f t="shared" si="12"/>
        <v>1619.5449999999998</v>
      </c>
      <c r="G159" s="8">
        <v>2193.13</v>
      </c>
      <c r="H159" s="8">
        <v>2193.13</v>
      </c>
      <c r="I159" s="8" t="s">
        <v>1470</v>
      </c>
      <c r="J159" s="10">
        <v>7.0999999999999994E-2</v>
      </c>
      <c r="K159" s="10">
        <v>7.0999999999999994E-2</v>
      </c>
      <c r="L159" s="10">
        <f t="shared" si="13"/>
        <v>7.0999999999999994E-2</v>
      </c>
      <c r="M159" s="12">
        <v>7</v>
      </c>
      <c r="N159" s="12">
        <f t="shared" si="14"/>
        <v>8.4</v>
      </c>
      <c r="O159" s="8">
        <v>14261.92439</v>
      </c>
      <c r="P159" s="8">
        <f t="shared" si="15"/>
        <v>17114.309268000001</v>
      </c>
      <c r="Q159" s="8">
        <v>9858.1</v>
      </c>
      <c r="R159" s="8">
        <f t="shared" si="16"/>
        <v>13604.178</v>
      </c>
      <c r="S159" s="8">
        <v>4403.8243899999998</v>
      </c>
      <c r="T159" s="8">
        <f t="shared" si="17"/>
        <v>3510.131268000001</v>
      </c>
    </row>
    <row r="160" spans="1:20" ht="16.5" x14ac:dyDescent="0.3">
      <c r="A160" s="4" t="s">
        <v>427</v>
      </c>
      <c r="B160" s="6">
        <v>45163</v>
      </c>
      <c r="C160" s="14">
        <v>45163</v>
      </c>
      <c r="D160" s="4" t="s">
        <v>1146</v>
      </c>
      <c r="E160" s="8">
        <v>1196.83</v>
      </c>
      <c r="F160" s="8">
        <f t="shared" si="12"/>
        <v>1376.3544999999999</v>
      </c>
      <c r="G160" s="8">
        <v>2513.5100000000002</v>
      </c>
      <c r="H160" s="8">
        <v>2513.5100000000002</v>
      </c>
      <c r="I160" s="8" t="s">
        <v>1470</v>
      </c>
      <c r="J160" s="10">
        <v>8.3000000000000004E-2</v>
      </c>
      <c r="K160" s="10">
        <v>8.3000000000000004E-2</v>
      </c>
      <c r="L160" s="10">
        <f t="shared" si="13"/>
        <v>8.3000000000000004E-2</v>
      </c>
      <c r="M160" s="12">
        <v>7</v>
      </c>
      <c r="N160" s="12">
        <f t="shared" si="14"/>
        <v>8.4</v>
      </c>
      <c r="O160" s="8">
        <v>16134.22069</v>
      </c>
      <c r="P160" s="8">
        <f t="shared" si="15"/>
        <v>19361.064828000006</v>
      </c>
      <c r="Q160" s="8">
        <v>8377.81</v>
      </c>
      <c r="R160" s="8">
        <f t="shared" si="16"/>
        <v>11561.3778</v>
      </c>
      <c r="S160" s="8">
        <v>7756.4106900000006</v>
      </c>
      <c r="T160" s="8">
        <f t="shared" si="17"/>
        <v>7799.6870280000057</v>
      </c>
    </row>
    <row r="161" spans="1:20" ht="16.5" x14ac:dyDescent="0.3">
      <c r="A161" s="4" t="s">
        <v>364</v>
      </c>
      <c r="B161" s="6">
        <v>44980</v>
      </c>
      <c r="C161" s="14">
        <v>44980</v>
      </c>
      <c r="D161" s="4" t="s">
        <v>1084</v>
      </c>
      <c r="E161" s="8">
        <v>307.37</v>
      </c>
      <c r="F161" s="8">
        <f t="shared" si="12"/>
        <v>353.47549999999995</v>
      </c>
      <c r="G161" s="8">
        <v>462.61</v>
      </c>
      <c r="H161" s="8">
        <v>462.61</v>
      </c>
      <c r="I161" s="8" t="s">
        <v>1471</v>
      </c>
      <c r="J161" s="10">
        <v>0.188</v>
      </c>
      <c r="K161" s="10">
        <v>0.188</v>
      </c>
      <c r="L161" s="10">
        <f t="shared" si="13"/>
        <v>0.188</v>
      </c>
      <c r="M161" s="12">
        <v>11</v>
      </c>
      <c r="N161" s="12">
        <f t="shared" si="14"/>
        <v>13.2</v>
      </c>
      <c r="O161" s="8">
        <v>4132.0325200000007</v>
      </c>
      <c r="P161" s="8">
        <f t="shared" si="15"/>
        <v>4958.4390240000002</v>
      </c>
      <c r="Q161" s="8">
        <v>3381.07</v>
      </c>
      <c r="R161" s="8">
        <f t="shared" si="16"/>
        <v>4665.8765999999987</v>
      </c>
      <c r="S161" s="8">
        <v>750.9625200000005</v>
      </c>
      <c r="T161" s="8">
        <f t="shared" si="17"/>
        <v>292.56242400000156</v>
      </c>
    </row>
    <row r="162" spans="1:20" ht="16.5" x14ac:dyDescent="0.3">
      <c r="A162" s="4" t="s">
        <v>516</v>
      </c>
      <c r="B162" s="6">
        <v>44980</v>
      </c>
      <c r="C162" s="14">
        <v>44980</v>
      </c>
      <c r="D162" s="4" t="s">
        <v>1235</v>
      </c>
      <c r="E162" s="8">
        <v>770.11</v>
      </c>
      <c r="F162" s="8">
        <f t="shared" si="12"/>
        <v>885.62649999999996</v>
      </c>
      <c r="G162" s="8">
        <v>1667.82</v>
      </c>
      <c r="H162" s="8">
        <v>1667.82</v>
      </c>
      <c r="I162" s="8" t="s">
        <v>1470</v>
      </c>
      <c r="J162" s="10">
        <v>6.9000000000000006E-2</v>
      </c>
      <c r="K162" s="10">
        <v>6.9000000000000006E-2</v>
      </c>
      <c r="L162" s="10">
        <f t="shared" si="13"/>
        <v>6.9000000000000006E-2</v>
      </c>
      <c r="M162" s="12">
        <v>7</v>
      </c>
      <c r="N162" s="12">
        <f t="shared" si="14"/>
        <v>8.4</v>
      </c>
      <c r="O162" s="8">
        <v>10869.182940000001</v>
      </c>
      <c r="P162" s="8">
        <f t="shared" si="15"/>
        <v>13043.019528000001</v>
      </c>
      <c r="Q162" s="8">
        <v>5390.77</v>
      </c>
      <c r="R162" s="8">
        <f t="shared" si="16"/>
        <v>7439.2626</v>
      </c>
      <c r="S162" s="8">
        <v>5478.4129400000002</v>
      </c>
      <c r="T162" s="8">
        <f t="shared" si="17"/>
        <v>5603.7569280000007</v>
      </c>
    </row>
    <row r="163" spans="1:20" ht="16.5" x14ac:dyDescent="0.3">
      <c r="A163" s="4" t="s">
        <v>258</v>
      </c>
      <c r="B163" s="6">
        <v>45035</v>
      </c>
      <c r="C163" s="14">
        <v>45035</v>
      </c>
      <c r="D163" s="4" t="s">
        <v>978</v>
      </c>
      <c r="E163" s="8">
        <v>1013.54</v>
      </c>
      <c r="F163" s="8">
        <f t="shared" si="12"/>
        <v>1165.5709999999999</v>
      </c>
      <c r="G163" s="8">
        <v>927.93</v>
      </c>
      <c r="H163" s="8">
        <v>927.93</v>
      </c>
      <c r="I163" s="8" t="s">
        <v>1469</v>
      </c>
      <c r="J163" s="10">
        <v>0.17499999999999999</v>
      </c>
      <c r="K163" s="10">
        <v>0.17499999999999999</v>
      </c>
      <c r="L163" s="10">
        <f t="shared" si="13"/>
        <v>0.17499999999999999</v>
      </c>
      <c r="M163" s="12">
        <v>16</v>
      </c>
      <c r="N163" s="12">
        <f t="shared" si="14"/>
        <v>19.2</v>
      </c>
      <c r="O163" s="8">
        <v>12248.675999999999</v>
      </c>
      <c r="P163" s="8">
        <f t="shared" si="15"/>
        <v>14698.411199999997</v>
      </c>
      <c r="Q163" s="8">
        <v>16216.64</v>
      </c>
      <c r="R163" s="8">
        <f t="shared" si="16"/>
        <v>22378.963199999998</v>
      </c>
      <c r="S163" s="8">
        <v>-3967.9639999999999</v>
      </c>
      <c r="T163" s="8">
        <f t="shared" si="17"/>
        <v>-7680.5520000000015</v>
      </c>
    </row>
    <row r="164" spans="1:20" ht="16.5" x14ac:dyDescent="0.3">
      <c r="A164" s="4" t="s">
        <v>83</v>
      </c>
      <c r="B164" s="6">
        <v>45157</v>
      </c>
      <c r="C164" s="14">
        <v>45157</v>
      </c>
      <c r="D164" s="4" t="s">
        <v>802</v>
      </c>
      <c r="E164" s="8">
        <v>494.61</v>
      </c>
      <c r="F164" s="8">
        <f t="shared" si="12"/>
        <v>568.80149999999992</v>
      </c>
      <c r="G164" s="8">
        <v>605.23</v>
      </c>
      <c r="H164" s="8">
        <v>605.23</v>
      </c>
      <c r="I164" s="8" t="s">
        <v>1471</v>
      </c>
      <c r="J164" s="10">
        <v>0.20399999999999999</v>
      </c>
      <c r="K164" s="10">
        <v>0.20399999999999999</v>
      </c>
      <c r="L164" s="10">
        <f t="shared" si="13"/>
        <v>0.20399999999999999</v>
      </c>
      <c r="M164" s="12">
        <v>18</v>
      </c>
      <c r="N164" s="12">
        <f t="shared" si="14"/>
        <v>21.599999999999998</v>
      </c>
      <c r="O164" s="8">
        <v>8671.7354400000004</v>
      </c>
      <c r="P164" s="8">
        <f t="shared" si="15"/>
        <v>10406.082527999999</v>
      </c>
      <c r="Q164" s="8">
        <v>8902.98</v>
      </c>
      <c r="R164" s="8">
        <f t="shared" si="16"/>
        <v>12286.112399999996</v>
      </c>
      <c r="S164" s="8">
        <v>-231.24455999999918</v>
      </c>
      <c r="T164" s="8">
        <f t="shared" si="17"/>
        <v>-1880.0298719999973</v>
      </c>
    </row>
    <row r="165" spans="1:20" ht="16.5" x14ac:dyDescent="0.3">
      <c r="A165" s="4" t="s">
        <v>451</v>
      </c>
      <c r="B165" s="6">
        <v>45037</v>
      </c>
      <c r="C165" s="14">
        <v>45037</v>
      </c>
      <c r="D165" s="4" t="s">
        <v>1170</v>
      </c>
      <c r="E165" s="8">
        <v>607.04</v>
      </c>
      <c r="F165" s="8">
        <f t="shared" si="12"/>
        <v>698.09599999999989</v>
      </c>
      <c r="G165" s="8">
        <v>1229.3399999999999</v>
      </c>
      <c r="H165" s="8">
        <v>1229.3399999999999</v>
      </c>
      <c r="I165" s="8" t="s">
        <v>1469</v>
      </c>
      <c r="J165" s="10">
        <v>0.14699999999999999</v>
      </c>
      <c r="K165" s="10">
        <v>0.14699999999999999</v>
      </c>
      <c r="L165" s="10">
        <f t="shared" si="13"/>
        <v>0.14699999999999999</v>
      </c>
      <c r="M165" s="12">
        <v>7</v>
      </c>
      <c r="N165" s="12">
        <f t="shared" si="14"/>
        <v>8.4</v>
      </c>
      <c r="O165" s="8">
        <v>7340.3891399999993</v>
      </c>
      <c r="P165" s="8">
        <f t="shared" si="15"/>
        <v>8808.4669680000006</v>
      </c>
      <c r="Q165" s="8">
        <v>4249.28</v>
      </c>
      <c r="R165" s="8">
        <f t="shared" si="16"/>
        <v>5864.0063999999993</v>
      </c>
      <c r="S165" s="8">
        <v>3091.1091399999996</v>
      </c>
      <c r="T165" s="8">
        <f t="shared" si="17"/>
        <v>2944.4605680000013</v>
      </c>
    </row>
    <row r="166" spans="1:20" ht="16.5" x14ac:dyDescent="0.3">
      <c r="A166" s="4" t="s">
        <v>634</v>
      </c>
      <c r="B166" s="6">
        <v>45177</v>
      </c>
      <c r="C166" s="14">
        <v>45177</v>
      </c>
      <c r="D166" s="4" t="s">
        <v>1352</v>
      </c>
      <c r="E166" s="8">
        <v>251.03</v>
      </c>
      <c r="F166" s="8">
        <f t="shared" si="12"/>
        <v>288.68449999999996</v>
      </c>
      <c r="G166" s="8">
        <v>411.48</v>
      </c>
      <c r="H166" s="8">
        <v>411.48</v>
      </c>
      <c r="I166" s="8" t="s">
        <v>1471</v>
      </c>
      <c r="J166" s="10">
        <v>0.16500000000000001</v>
      </c>
      <c r="K166" s="10">
        <v>0.16500000000000001</v>
      </c>
      <c r="L166" s="10">
        <f t="shared" si="13"/>
        <v>0.16500000000000001</v>
      </c>
      <c r="M166" s="12">
        <v>3</v>
      </c>
      <c r="N166" s="12">
        <f t="shared" si="14"/>
        <v>3.5999999999999996</v>
      </c>
      <c r="O166" s="8">
        <v>1030.7574</v>
      </c>
      <c r="P166" s="8">
        <f t="shared" si="15"/>
        <v>1236.90888</v>
      </c>
      <c r="Q166" s="8">
        <v>753.09</v>
      </c>
      <c r="R166" s="8">
        <f t="shared" si="16"/>
        <v>1039.2641999999998</v>
      </c>
      <c r="S166" s="8">
        <v>277.66739999999993</v>
      </c>
      <c r="T166" s="8">
        <f t="shared" si="17"/>
        <v>197.64468000000011</v>
      </c>
    </row>
    <row r="167" spans="1:20" ht="16.5" x14ac:dyDescent="0.3">
      <c r="A167" s="4" t="s">
        <v>355</v>
      </c>
      <c r="B167" s="6">
        <v>45029</v>
      </c>
      <c r="C167" s="14">
        <v>45029</v>
      </c>
      <c r="D167" s="4" t="s">
        <v>1075</v>
      </c>
      <c r="E167" s="8">
        <v>32.1</v>
      </c>
      <c r="F167" s="8">
        <f t="shared" si="12"/>
        <v>36.914999999999999</v>
      </c>
      <c r="G167" s="8">
        <v>70.599999999999994</v>
      </c>
      <c r="H167" s="8">
        <v>70.599999999999994</v>
      </c>
      <c r="I167" s="8" t="s">
        <v>1471</v>
      </c>
      <c r="J167" s="10">
        <v>0.28199999999999997</v>
      </c>
      <c r="K167" s="10">
        <v>0.28199999999999997</v>
      </c>
      <c r="L167" s="10">
        <f t="shared" si="13"/>
        <v>0.25</v>
      </c>
      <c r="M167" s="12">
        <v>22</v>
      </c>
      <c r="N167" s="12">
        <f t="shared" si="14"/>
        <v>26.4</v>
      </c>
      <c r="O167" s="8">
        <v>1115.1975999999997</v>
      </c>
      <c r="P167" s="8">
        <f t="shared" si="15"/>
        <v>1397.8799999999997</v>
      </c>
      <c r="Q167" s="8">
        <v>706.2</v>
      </c>
      <c r="R167" s="8">
        <f t="shared" si="16"/>
        <v>974.55599999999993</v>
      </c>
      <c r="S167" s="8">
        <v>408.99759999999969</v>
      </c>
      <c r="T167" s="8">
        <f t="shared" si="17"/>
        <v>423.32399999999973</v>
      </c>
    </row>
    <row r="168" spans="1:20" ht="16.5" x14ac:dyDescent="0.3">
      <c r="A168" s="4" t="s">
        <v>459</v>
      </c>
      <c r="B168" s="6">
        <v>45090</v>
      </c>
      <c r="C168" s="14">
        <v>45090</v>
      </c>
      <c r="D168" s="4" t="s">
        <v>1178</v>
      </c>
      <c r="E168" s="8">
        <v>247.07</v>
      </c>
      <c r="F168" s="8">
        <f t="shared" si="12"/>
        <v>284.13049999999998</v>
      </c>
      <c r="G168" s="8">
        <v>495.19</v>
      </c>
      <c r="H168" s="8">
        <v>495.19</v>
      </c>
      <c r="I168" s="8" t="s">
        <v>1471</v>
      </c>
      <c r="J168" s="10">
        <v>2.8000000000000001E-2</v>
      </c>
      <c r="K168" s="10">
        <v>2.8000000000000001E-2</v>
      </c>
      <c r="L168" s="10">
        <f t="shared" si="13"/>
        <v>2.8000000000000001E-2</v>
      </c>
      <c r="M168" s="12">
        <v>4</v>
      </c>
      <c r="N168" s="12">
        <f t="shared" si="14"/>
        <v>4.8</v>
      </c>
      <c r="O168" s="8">
        <v>1925.29872</v>
      </c>
      <c r="P168" s="8">
        <f t="shared" si="15"/>
        <v>2310.3584639999999</v>
      </c>
      <c r="Q168" s="8">
        <v>988.28</v>
      </c>
      <c r="R168" s="8">
        <f t="shared" si="16"/>
        <v>1363.8263999999999</v>
      </c>
      <c r="S168" s="8">
        <v>937.01872000000003</v>
      </c>
      <c r="T168" s="8">
        <f t="shared" si="17"/>
        <v>946.53206399999999</v>
      </c>
    </row>
    <row r="169" spans="1:20" ht="16.5" x14ac:dyDescent="0.3">
      <c r="A169" s="4" t="s">
        <v>465</v>
      </c>
      <c r="B169" s="6">
        <v>44945</v>
      </c>
      <c r="C169" s="14">
        <v>44945</v>
      </c>
      <c r="D169" s="4" t="s">
        <v>1184</v>
      </c>
      <c r="E169" s="8">
        <v>873.06</v>
      </c>
      <c r="F169" s="8">
        <f t="shared" si="12"/>
        <v>1004.0189999999999</v>
      </c>
      <c r="G169" s="8">
        <v>2101.5500000000002</v>
      </c>
      <c r="H169" s="8">
        <v>2101.5500000000002</v>
      </c>
      <c r="I169" s="8" t="s">
        <v>1470</v>
      </c>
      <c r="J169" s="10">
        <v>6.6000000000000003E-2</v>
      </c>
      <c r="K169" s="10">
        <v>6.6000000000000003E-2</v>
      </c>
      <c r="L169" s="10">
        <f t="shared" si="13"/>
        <v>6.6000000000000003E-2</v>
      </c>
      <c r="M169" s="12">
        <v>10</v>
      </c>
      <c r="N169" s="12">
        <f t="shared" si="14"/>
        <v>12</v>
      </c>
      <c r="O169" s="8">
        <v>19628.476999999999</v>
      </c>
      <c r="P169" s="8">
        <f t="shared" si="15"/>
        <v>23554.172399999999</v>
      </c>
      <c r="Q169" s="8">
        <v>8730.5999999999985</v>
      </c>
      <c r="R169" s="8">
        <f t="shared" si="16"/>
        <v>12048.227999999999</v>
      </c>
      <c r="S169" s="8">
        <v>10897.877</v>
      </c>
      <c r="T169" s="8">
        <f t="shared" si="17"/>
        <v>11505.9444</v>
      </c>
    </row>
    <row r="170" spans="1:20" ht="16.5" x14ac:dyDescent="0.3">
      <c r="A170" s="4" t="s">
        <v>491</v>
      </c>
      <c r="B170" s="6">
        <v>44999</v>
      </c>
      <c r="C170" s="14">
        <v>44999</v>
      </c>
      <c r="D170" s="4" t="s">
        <v>1210</v>
      </c>
      <c r="E170" s="8">
        <v>472.33</v>
      </c>
      <c r="F170" s="8">
        <f t="shared" si="12"/>
        <v>543.17949999999996</v>
      </c>
      <c r="G170" s="8">
        <v>360.34</v>
      </c>
      <c r="H170" s="8">
        <v>360.34</v>
      </c>
      <c r="I170" s="8" t="s">
        <v>1471</v>
      </c>
      <c r="J170" s="10">
        <v>0.16500000000000001</v>
      </c>
      <c r="K170" s="10">
        <v>0.16500000000000001</v>
      </c>
      <c r="L170" s="10">
        <f t="shared" si="13"/>
        <v>0.16500000000000001</v>
      </c>
      <c r="M170" s="12">
        <v>14</v>
      </c>
      <c r="N170" s="12">
        <f t="shared" si="14"/>
        <v>16.8</v>
      </c>
      <c r="O170" s="8">
        <v>4212.3745999999992</v>
      </c>
      <c r="P170" s="8">
        <f t="shared" si="15"/>
        <v>5054.8495199999998</v>
      </c>
      <c r="Q170" s="8">
        <v>6612.62</v>
      </c>
      <c r="R170" s="8">
        <f t="shared" si="16"/>
        <v>9125.4156000000003</v>
      </c>
      <c r="S170" s="8">
        <v>-2400.2454000000007</v>
      </c>
      <c r="T170" s="8">
        <f t="shared" si="17"/>
        <v>-4070.5660800000005</v>
      </c>
    </row>
    <row r="171" spans="1:20" ht="16.5" x14ac:dyDescent="0.3">
      <c r="A171" s="4" t="s">
        <v>452</v>
      </c>
      <c r="B171" s="6">
        <v>45290</v>
      </c>
      <c r="C171" s="14">
        <v>45290</v>
      </c>
      <c r="D171" s="4" t="s">
        <v>1171</v>
      </c>
      <c r="E171" s="8">
        <v>861.1</v>
      </c>
      <c r="F171" s="8">
        <f t="shared" si="12"/>
        <v>990.26499999999999</v>
      </c>
      <c r="G171" s="8">
        <v>1224.72</v>
      </c>
      <c r="H171" s="8">
        <v>1224.72</v>
      </c>
      <c r="I171" s="8" t="s">
        <v>1469</v>
      </c>
      <c r="J171" s="10">
        <v>0.17399999999999999</v>
      </c>
      <c r="K171" s="10">
        <v>0.17399999999999999</v>
      </c>
      <c r="L171" s="10">
        <f t="shared" si="13"/>
        <v>0.17399999999999999</v>
      </c>
      <c r="M171" s="12">
        <v>24</v>
      </c>
      <c r="N171" s="12">
        <f t="shared" si="14"/>
        <v>28.799999999999997</v>
      </c>
      <c r="O171" s="8">
        <v>24278.849280000002</v>
      </c>
      <c r="P171" s="8">
        <f t="shared" si="15"/>
        <v>29134.619135999998</v>
      </c>
      <c r="Q171" s="8">
        <v>20666.400000000001</v>
      </c>
      <c r="R171" s="8">
        <f t="shared" si="16"/>
        <v>28519.631999999998</v>
      </c>
      <c r="S171" s="8">
        <v>3612.4492800000007</v>
      </c>
      <c r="T171" s="8">
        <f t="shared" si="17"/>
        <v>614.98713599999974</v>
      </c>
    </row>
    <row r="172" spans="1:20" ht="16.5" x14ac:dyDescent="0.3">
      <c r="A172" s="4" t="s">
        <v>84</v>
      </c>
      <c r="B172" s="6">
        <v>45037</v>
      </c>
      <c r="C172" s="14">
        <v>45037</v>
      </c>
      <c r="D172" s="4" t="s">
        <v>803</v>
      </c>
      <c r="E172" s="8">
        <v>882.33</v>
      </c>
      <c r="F172" s="8">
        <f t="shared" si="12"/>
        <v>1014.6795</v>
      </c>
      <c r="G172" s="8">
        <v>1880.15</v>
      </c>
      <c r="H172" s="8">
        <v>1880.15</v>
      </c>
      <c r="I172" s="8" t="s">
        <v>1470</v>
      </c>
      <c r="J172" s="10">
        <v>0.05</v>
      </c>
      <c r="K172" s="10">
        <v>0.05</v>
      </c>
      <c r="L172" s="10">
        <f t="shared" si="13"/>
        <v>0.05</v>
      </c>
      <c r="M172" s="12">
        <v>5</v>
      </c>
      <c r="N172" s="12">
        <f t="shared" si="14"/>
        <v>6</v>
      </c>
      <c r="O172" s="8">
        <v>8930.7124999999996</v>
      </c>
      <c r="P172" s="8">
        <f t="shared" si="15"/>
        <v>10716.855000000001</v>
      </c>
      <c r="Q172" s="8">
        <v>4411.6500000000005</v>
      </c>
      <c r="R172" s="8">
        <f t="shared" si="16"/>
        <v>6088.0769999999993</v>
      </c>
      <c r="S172" s="8">
        <v>4519.0624999999991</v>
      </c>
      <c r="T172" s="8">
        <f t="shared" si="17"/>
        <v>4628.7780000000021</v>
      </c>
    </row>
    <row r="173" spans="1:20" ht="16.5" x14ac:dyDescent="0.3">
      <c r="A173" s="4" t="s">
        <v>554</v>
      </c>
      <c r="B173" s="6">
        <v>44952</v>
      </c>
      <c r="C173" s="14">
        <v>44952</v>
      </c>
      <c r="D173" s="4" t="s">
        <v>1272</v>
      </c>
      <c r="E173" s="8">
        <v>492.62</v>
      </c>
      <c r="F173" s="8">
        <f t="shared" si="12"/>
        <v>566.51299999999992</v>
      </c>
      <c r="G173" s="8">
        <v>366.7</v>
      </c>
      <c r="H173" s="8">
        <v>366.7</v>
      </c>
      <c r="I173" s="8" t="s">
        <v>1471</v>
      </c>
      <c r="J173" s="10">
        <v>8.8999999999999996E-2</v>
      </c>
      <c r="K173" s="10">
        <v>8.8999999999999996E-2</v>
      </c>
      <c r="L173" s="10">
        <f t="shared" si="13"/>
        <v>8.8999999999999996E-2</v>
      </c>
      <c r="M173" s="12">
        <v>10</v>
      </c>
      <c r="N173" s="12">
        <f t="shared" si="14"/>
        <v>12</v>
      </c>
      <c r="O173" s="8">
        <v>3340.6370000000002</v>
      </c>
      <c r="P173" s="8">
        <f t="shared" si="15"/>
        <v>4008.7644</v>
      </c>
      <c r="Q173" s="8">
        <v>4926.2</v>
      </c>
      <c r="R173" s="8">
        <f t="shared" si="16"/>
        <v>6798.155999999999</v>
      </c>
      <c r="S173" s="8">
        <v>-1585.5629999999996</v>
      </c>
      <c r="T173" s="8">
        <f t="shared" si="17"/>
        <v>-2789.391599999999</v>
      </c>
    </row>
    <row r="174" spans="1:20" ht="16.5" x14ac:dyDescent="0.3">
      <c r="A174" s="4" t="s">
        <v>384</v>
      </c>
      <c r="B174" s="6">
        <v>45286</v>
      </c>
      <c r="C174" s="14">
        <v>45286</v>
      </c>
      <c r="D174" s="4" t="s">
        <v>1104</v>
      </c>
      <c r="E174" s="8">
        <v>492.75</v>
      </c>
      <c r="F174" s="8">
        <f t="shared" si="12"/>
        <v>566.66249999999991</v>
      </c>
      <c r="G174" s="8">
        <v>731.29</v>
      </c>
      <c r="H174" s="8">
        <v>731.29</v>
      </c>
      <c r="I174" s="8" t="s">
        <v>1471</v>
      </c>
      <c r="J174" s="10">
        <v>5.8000000000000003E-2</v>
      </c>
      <c r="K174" s="10">
        <v>5.8000000000000003E-2</v>
      </c>
      <c r="L174" s="10">
        <f t="shared" si="13"/>
        <v>5.8000000000000003E-2</v>
      </c>
      <c r="M174" s="12">
        <v>6</v>
      </c>
      <c r="N174" s="12">
        <f t="shared" si="14"/>
        <v>7.1999999999999993</v>
      </c>
      <c r="O174" s="8">
        <v>4133.25108</v>
      </c>
      <c r="P174" s="8">
        <f t="shared" si="15"/>
        <v>4959.9012959999991</v>
      </c>
      <c r="Q174" s="8">
        <v>2956.5</v>
      </c>
      <c r="R174" s="8">
        <f t="shared" si="16"/>
        <v>4079.9699999999989</v>
      </c>
      <c r="S174" s="8">
        <v>1176.75108</v>
      </c>
      <c r="T174" s="8">
        <f t="shared" si="17"/>
        <v>879.9312960000002</v>
      </c>
    </row>
    <row r="175" spans="1:20" ht="16.5" x14ac:dyDescent="0.3">
      <c r="A175" s="4" t="s">
        <v>19</v>
      </c>
      <c r="B175" s="6">
        <v>45266</v>
      </c>
      <c r="C175" s="14">
        <v>45266</v>
      </c>
      <c r="D175" s="4" t="s">
        <v>738</v>
      </c>
      <c r="E175" s="8">
        <v>663.03</v>
      </c>
      <c r="F175" s="8">
        <f t="shared" si="12"/>
        <v>762.48449999999991</v>
      </c>
      <c r="G175" s="8">
        <v>813.51</v>
      </c>
      <c r="H175" s="8">
        <v>813.51</v>
      </c>
      <c r="I175" s="8" t="s">
        <v>1471</v>
      </c>
      <c r="J175" s="10">
        <v>0.10199999999999999</v>
      </c>
      <c r="K175" s="10">
        <v>0.10199999999999999</v>
      </c>
      <c r="L175" s="10">
        <f t="shared" si="13"/>
        <v>0.10199999999999999</v>
      </c>
      <c r="M175" s="12">
        <v>15</v>
      </c>
      <c r="N175" s="12">
        <f t="shared" si="14"/>
        <v>18</v>
      </c>
      <c r="O175" s="8">
        <v>10957.9797</v>
      </c>
      <c r="P175" s="8">
        <f t="shared" si="15"/>
        <v>13149.575640000001</v>
      </c>
      <c r="Q175" s="8">
        <v>9945.4499999999989</v>
      </c>
      <c r="R175" s="8">
        <f t="shared" si="16"/>
        <v>13724.720999999998</v>
      </c>
      <c r="S175" s="8">
        <v>1012.529700000001</v>
      </c>
      <c r="T175" s="8">
        <f t="shared" si="17"/>
        <v>-575.1453599999968</v>
      </c>
    </row>
    <row r="176" spans="1:20" ht="16.5" x14ac:dyDescent="0.3">
      <c r="A176" s="4" t="s">
        <v>353</v>
      </c>
      <c r="B176" s="6">
        <v>45121</v>
      </c>
      <c r="C176" s="14">
        <v>45121</v>
      </c>
      <c r="D176" s="4" t="s">
        <v>1073</v>
      </c>
      <c r="E176" s="8">
        <v>620.74</v>
      </c>
      <c r="F176" s="8">
        <f t="shared" si="12"/>
        <v>713.851</v>
      </c>
      <c r="G176" s="8">
        <v>1330.07</v>
      </c>
      <c r="H176" s="8">
        <v>1330.07</v>
      </c>
      <c r="I176" s="8" t="s">
        <v>1469</v>
      </c>
      <c r="J176" s="10">
        <v>0.29899999999999999</v>
      </c>
      <c r="K176" s="10">
        <v>0.29899999999999999</v>
      </c>
      <c r="L176" s="10">
        <f t="shared" si="13"/>
        <v>0.25</v>
      </c>
      <c r="M176" s="12">
        <v>28</v>
      </c>
      <c r="N176" s="12">
        <f t="shared" si="14"/>
        <v>33.6</v>
      </c>
      <c r="O176" s="8">
        <v>26106.613960000002</v>
      </c>
      <c r="P176" s="8">
        <f t="shared" si="15"/>
        <v>33517.763999999996</v>
      </c>
      <c r="Q176" s="8">
        <v>17380.72</v>
      </c>
      <c r="R176" s="8">
        <f t="shared" si="16"/>
        <v>23985.393599999999</v>
      </c>
      <c r="S176" s="8">
        <v>8725.8939600000012</v>
      </c>
      <c r="T176" s="8">
        <f t="shared" si="17"/>
        <v>9532.3703999999962</v>
      </c>
    </row>
    <row r="177" spans="1:20" ht="16.5" x14ac:dyDescent="0.3">
      <c r="A177" s="4" t="s">
        <v>160</v>
      </c>
      <c r="B177" s="6">
        <v>45260</v>
      </c>
      <c r="C177" s="14">
        <v>45260</v>
      </c>
      <c r="D177" s="4" t="s">
        <v>879</v>
      </c>
      <c r="E177" s="8">
        <v>275.56</v>
      </c>
      <c r="F177" s="8">
        <f t="shared" si="12"/>
        <v>316.89400000000001</v>
      </c>
      <c r="G177" s="8">
        <v>630.72</v>
      </c>
      <c r="H177" s="8">
        <v>630.72</v>
      </c>
      <c r="I177" s="8" t="s">
        <v>1471</v>
      </c>
      <c r="J177" s="10">
        <v>0.107</v>
      </c>
      <c r="K177" s="10">
        <v>0.107</v>
      </c>
      <c r="L177" s="10">
        <f t="shared" si="13"/>
        <v>0.107</v>
      </c>
      <c r="M177" s="12">
        <v>23</v>
      </c>
      <c r="N177" s="12">
        <f t="shared" si="14"/>
        <v>27.599999999999998</v>
      </c>
      <c r="O177" s="8">
        <v>12954.358080000002</v>
      </c>
      <c r="P177" s="8">
        <f t="shared" si="15"/>
        <v>15545.229696</v>
      </c>
      <c r="Q177" s="8">
        <v>6337.88</v>
      </c>
      <c r="R177" s="8">
        <f t="shared" si="16"/>
        <v>8746.2744000000002</v>
      </c>
      <c r="S177" s="8">
        <v>6616.4780800000017</v>
      </c>
      <c r="T177" s="8">
        <f t="shared" si="17"/>
        <v>6798.9552960000001</v>
      </c>
    </row>
    <row r="178" spans="1:20" ht="16.5" x14ac:dyDescent="0.3">
      <c r="A178" s="4" t="s">
        <v>202</v>
      </c>
      <c r="B178" s="6">
        <v>45126</v>
      </c>
      <c r="C178" s="14">
        <v>45126</v>
      </c>
      <c r="D178" s="4" t="s">
        <v>922</v>
      </c>
      <c r="E178" s="8">
        <v>1334.64</v>
      </c>
      <c r="F178" s="8">
        <f t="shared" si="12"/>
        <v>1534.836</v>
      </c>
      <c r="G178" s="8">
        <v>2273.42</v>
      </c>
      <c r="H178" s="8">
        <v>2273.42</v>
      </c>
      <c r="I178" s="8" t="s">
        <v>1470</v>
      </c>
      <c r="J178" s="10">
        <v>0.11799999999999999</v>
      </c>
      <c r="K178" s="10">
        <v>0.11799999999999999</v>
      </c>
      <c r="L178" s="10">
        <f t="shared" si="13"/>
        <v>0.11799999999999999</v>
      </c>
      <c r="M178" s="12">
        <v>14</v>
      </c>
      <c r="N178" s="12">
        <f t="shared" si="14"/>
        <v>16.8</v>
      </c>
      <c r="O178" s="8">
        <v>28072.190160000002</v>
      </c>
      <c r="P178" s="8">
        <f t="shared" si="15"/>
        <v>33686.628192000004</v>
      </c>
      <c r="Q178" s="8">
        <v>18684.960000000003</v>
      </c>
      <c r="R178" s="8">
        <f t="shared" si="16"/>
        <v>25785.2448</v>
      </c>
      <c r="S178" s="8">
        <v>9387.2301599999992</v>
      </c>
      <c r="T178" s="8">
        <f t="shared" si="17"/>
        <v>7901.3833920000034</v>
      </c>
    </row>
    <row r="179" spans="1:20" ht="16.5" x14ac:dyDescent="0.3">
      <c r="A179" s="4" t="s">
        <v>333</v>
      </c>
      <c r="B179" s="6">
        <v>45008</v>
      </c>
      <c r="C179" s="14">
        <v>45008</v>
      </c>
      <c r="D179" s="4" t="s">
        <v>1053</v>
      </c>
      <c r="E179" s="8">
        <v>875.36</v>
      </c>
      <c r="F179" s="8">
        <f t="shared" si="12"/>
        <v>1006.664</v>
      </c>
      <c r="G179" s="8">
        <v>1178.6199999999999</v>
      </c>
      <c r="H179" s="8">
        <v>1178.6199999999999</v>
      </c>
      <c r="I179" s="8" t="s">
        <v>1469</v>
      </c>
      <c r="J179" s="10">
        <v>0.151</v>
      </c>
      <c r="K179" s="10">
        <v>0.151</v>
      </c>
      <c r="L179" s="10">
        <f t="shared" si="13"/>
        <v>0.151</v>
      </c>
      <c r="M179" s="12">
        <v>53</v>
      </c>
      <c r="N179" s="12">
        <f t="shared" si="14"/>
        <v>63.599999999999994</v>
      </c>
      <c r="O179" s="8">
        <v>53034.364139999991</v>
      </c>
      <c r="P179" s="8">
        <f t="shared" si="15"/>
        <v>63641.23696799999</v>
      </c>
      <c r="Q179" s="8">
        <v>46394.080000000002</v>
      </c>
      <c r="R179" s="8">
        <f t="shared" si="16"/>
        <v>64023.830399999992</v>
      </c>
      <c r="S179" s="8">
        <v>6640.2841399999888</v>
      </c>
      <c r="T179" s="8">
        <f t="shared" si="17"/>
        <v>-382.59343200000148</v>
      </c>
    </row>
    <row r="180" spans="1:20" ht="16.5" x14ac:dyDescent="0.3">
      <c r="A180" s="4" t="s">
        <v>403</v>
      </c>
      <c r="B180" s="6">
        <v>45225</v>
      </c>
      <c r="C180" s="14">
        <v>45225</v>
      </c>
      <c r="D180" s="4" t="s">
        <v>1122</v>
      </c>
      <c r="E180" s="8">
        <v>20.38</v>
      </c>
      <c r="F180" s="8">
        <f t="shared" si="12"/>
        <v>23.436999999999998</v>
      </c>
      <c r="G180" s="8">
        <v>42.56</v>
      </c>
      <c r="H180" s="8">
        <v>42.56</v>
      </c>
      <c r="I180" s="8" t="s">
        <v>1471</v>
      </c>
      <c r="J180" s="10">
        <v>7.1999999999999995E-2</v>
      </c>
      <c r="K180" s="10">
        <v>7.1999999999999995E-2</v>
      </c>
      <c r="L180" s="10">
        <f t="shared" si="13"/>
        <v>7.1999999999999995E-2</v>
      </c>
      <c r="M180" s="12">
        <v>11</v>
      </c>
      <c r="N180" s="12">
        <f t="shared" si="14"/>
        <v>13.2</v>
      </c>
      <c r="O180" s="8">
        <v>434.45248000000004</v>
      </c>
      <c r="P180" s="8">
        <f t="shared" si="15"/>
        <v>521.34297600000002</v>
      </c>
      <c r="Q180" s="8">
        <v>224.17999999999998</v>
      </c>
      <c r="R180" s="8">
        <f t="shared" si="16"/>
        <v>309.36839999999995</v>
      </c>
      <c r="S180" s="8">
        <v>210.27248000000006</v>
      </c>
      <c r="T180" s="8">
        <f t="shared" si="17"/>
        <v>211.97457600000007</v>
      </c>
    </row>
    <row r="181" spans="1:20" ht="16.5" x14ac:dyDescent="0.3">
      <c r="A181" s="4" t="s">
        <v>100</v>
      </c>
      <c r="B181" s="6">
        <v>45282</v>
      </c>
      <c r="C181" s="14">
        <v>45282</v>
      </c>
      <c r="D181" s="4" t="s">
        <v>819</v>
      </c>
      <c r="E181" s="8">
        <v>1186.18</v>
      </c>
      <c r="F181" s="8">
        <f t="shared" si="12"/>
        <v>1364.107</v>
      </c>
      <c r="G181" s="8">
        <v>1285.0899999999999</v>
      </c>
      <c r="H181" s="8">
        <v>1285.0899999999999</v>
      </c>
      <c r="I181" s="8" t="s">
        <v>1469</v>
      </c>
      <c r="J181" s="10">
        <v>7.0000000000000007E-2</v>
      </c>
      <c r="K181" s="10">
        <v>7.0000000000000007E-2</v>
      </c>
      <c r="L181" s="10">
        <f t="shared" si="13"/>
        <v>7.0000000000000007E-2</v>
      </c>
      <c r="M181" s="12">
        <v>11</v>
      </c>
      <c r="N181" s="12">
        <f t="shared" si="14"/>
        <v>13.2</v>
      </c>
      <c r="O181" s="8">
        <v>13146.470699999998</v>
      </c>
      <c r="P181" s="8">
        <f t="shared" si="15"/>
        <v>15775.764839999998</v>
      </c>
      <c r="Q181" s="8">
        <v>13047.980000000001</v>
      </c>
      <c r="R181" s="8">
        <f t="shared" si="16"/>
        <v>18006.2124</v>
      </c>
      <c r="S181" s="8">
        <v>98.49069999999665</v>
      </c>
      <c r="T181" s="8">
        <f t="shared" si="17"/>
        <v>-2230.4475600000023</v>
      </c>
    </row>
    <row r="182" spans="1:20" ht="16.5" x14ac:dyDescent="0.3">
      <c r="A182" s="4" t="s">
        <v>169</v>
      </c>
      <c r="B182" s="6">
        <v>45230</v>
      </c>
      <c r="C182" s="14">
        <v>45230</v>
      </c>
      <c r="D182" s="4" t="s">
        <v>888</v>
      </c>
      <c r="E182" s="8">
        <v>867.89</v>
      </c>
      <c r="F182" s="8">
        <f t="shared" si="12"/>
        <v>998.07349999999985</v>
      </c>
      <c r="G182" s="8">
        <v>1349.94</v>
      </c>
      <c r="H182" s="8">
        <v>1349.94</v>
      </c>
      <c r="I182" s="8" t="s">
        <v>1469</v>
      </c>
      <c r="J182" s="10">
        <v>0.184</v>
      </c>
      <c r="K182" s="10">
        <v>0.184</v>
      </c>
      <c r="L182" s="10">
        <f t="shared" si="13"/>
        <v>0.184</v>
      </c>
      <c r="M182" s="12">
        <v>10</v>
      </c>
      <c r="N182" s="12">
        <f t="shared" si="14"/>
        <v>12</v>
      </c>
      <c r="O182" s="8">
        <v>11015.510400000003</v>
      </c>
      <c r="P182" s="8">
        <f t="shared" si="15"/>
        <v>13218.612480000002</v>
      </c>
      <c r="Q182" s="8">
        <v>8678.9</v>
      </c>
      <c r="R182" s="8">
        <f t="shared" si="16"/>
        <v>11976.881999999998</v>
      </c>
      <c r="S182" s="8">
        <v>2336.6104000000032</v>
      </c>
      <c r="T182" s="8">
        <f t="shared" si="17"/>
        <v>1241.7304800000038</v>
      </c>
    </row>
    <row r="183" spans="1:20" ht="16.5" x14ac:dyDescent="0.3">
      <c r="A183" s="4" t="s">
        <v>456</v>
      </c>
      <c r="B183" s="6">
        <v>45189</v>
      </c>
      <c r="C183" s="14">
        <v>45189</v>
      </c>
      <c r="D183" s="4" t="s">
        <v>1175</v>
      </c>
      <c r="E183" s="8">
        <v>1362.06</v>
      </c>
      <c r="F183" s="8">
        <f t="shared" si="12"/>
        <v>1566.3689999999999</v>
      </c>
      <c r="G183" s="8">
        <v>3398.37</v>
      </c>
      <c r="H183" s="8">
        <v>3398.37</v>
      </c>
      <c r="I183" s="8" t="s">
        <v>1470</v>
      </c>
      <c r="J183" s="10">
        <v>0.157</v>
      </c>
      <c r="K183" s="10">
        <v>0.157</v>
      </c>
      <c r="L183" s="10">
        <f t="shared" si="13"/>
        <v>0.157</v>
      </c>
      <c r="M183" s="12">
        <v>11</v>
      </c>
      <c r="N183" s="12">
        <f t="shared" si="14"/>
        <v>13.2</v>
      </c>
      <c r="O183" s="8">
        <v>31513.085009999999</v>
      </c>
      <c r="P183" s="8">
        <f t="shared" si="15"/>
        <v>37815.702011999994</v>
      </c>
      <c r="Q183" s="8">
        <v>14982.66</v>
      </c>
      <c r="R183" s="8">
        <f t="shared" si="16"/>
        <v>20676.070799999998</v>
      </c>
      <c r="S183" s="8">
        <v>16530.425009999999</v>
      </c>
      <c r="T183" s="8">
        <f t="shared" si="17"/>
        <v>17139.631211999997</v>
      </c>
    </row>
    <row r="184" spans="1:20" ht="16.5" x14ac:dyDescent="0.3">
      <c r="A184" s="4" t="s">
        <v>175</v>
      </c>
      <c r="B184" s="6">
        <v>44977</v>
      </c>
      <c r="C184" s="14">
        <v>44977</v>
      </c>
      <c r="D184" s="4" t="s">
        <v>894</v>
      </c>
      <c r="E184" s="8">
        <v>299.75</v>
      </c>
      <c r="F184" s="8">
        <f t="shared" si="12"/>
        <v>344.71249999999998</v>
      </c>
      <c r="G184" s="8">
        <v>523.01</v>
      </c>
      <c r="H184" s="8">
        <v>523.01</v>
      </c>
      <c r="I184" s="8" t="s">
        <v>1471</v>
      </c>
      <c r="J184" s="10">
        <v>0.157</v>
      </c>
      <c r="K184" s="10">
        <v>0.157</v>
      </c>
      <c r="L184" s="10">
        <f t="shared" si="13"/>
        <v>0.157</v>
      </c>
      <c r="M184" s="12">
        <v>50</v>
      </c>
      <c r="N184" s="12">
        <f t="shared" si="14"/>
        <v>60</v>
      </c>
      <c r="O184" s="8">
        <v>22044.871499999997</v>
      </c>
      <c r="P184" s="8">
        <f t="shared" si="15"/>
        <v>26453.845799999999</v>
      </c>
      <c r="Q184" s="8">
        <v>14987.5</v>
      </c>
      <c r="R184" s="8">
        <f t="shared" si="16"/>
        <v>20682.75</v>
      </c>
      <c r="S184" s="8">
        <v>7057.3714999999975</v>
      </c>
      <c r="T184" s="8">
        <f t="shared" si="17"/>
        <v>5771.0957999999991</v>
      </c>
    </row>
    <row r="185" spans="1:20" ht="16.5" x14ac:dyDescent="0.3">
      <c r="A185" s="4" t="s">
        <v>419</v>
      </c>
      <c r="B185" s="6">
        <v>44991</v>
      </c>
      <c r="C185" s="14">
        <v>44991</v>
      </c>
      <c r="D185" s="4" t="s">
        <v>1138</v>
      </c>
      <c r="E185" s="8">
        <v>1126.29</v>
      </c>
      <c r="F185" s="8">
        <f t="shared" si="12"/>
        <v>1295.2334999999998</v>
      </c>
      <c r="G185" s="8">
        <v>2050.87</v>
      </c>
      <c r="H185" s="8">
        <v>2050.87</v>
      </c>
      <c r="I185" s="8" t="s">
        <v>1470</v>
      </c>
      <c r="J185" s="10">
        <v>6.4000000000000001E-2</v>
      </c>
      <c r="K185" s="10">
        <v>6.4000000000000001E-2</v>
      </c>
      <c r="L185" s="10">
        <f t="shared" si="13"/>
        <v>6.4000000000000001E-2</v>
      </c>
      <c r="M185" s="12">
        <v>7</v>
      </c>
      <c r="N185" s="12">
        <f t="shared" si="14"/>
        <v>8.4</v>
      </c>
      <c r="O185" s="8">
        <v>13437.300239999999</v>
      </c>
      <c r="P185" s="8">
        <f t="shared" si="15"/>
        <v>16124.760287999999</v>
      </c>
      <c r="Q185" s="8">
        <v>7884.03</v>
      </c>
      <c r="R185" s="8">
        <f t="shared" si="16"/>
        <v>10879.961399999998</v>
      </c>
      <c r="S185" s="8">
        <v>5553.2702399999989</v>
      </c>
      <c r="T185" s="8">
        <f t="shared" si="17"/>
        <v>5244.7988880000012</v>
      </c>
    </row>
    <row r="186" spans="1:20" ht="16.5" x14ac:dyDescent="0.3">
      <c r="A186" s="4" t="s">
        <v>385</v>
      </c>
      <c r="B186" s="6">
        <v>44962</v>
      </c>
      <c r="C186" s="14">
        <v>44962</v>
      </c>
      <c r="D186" s="4" t="s">
        <v>1105</v>
      </c>
      <c r="E186" s="8">
        <v>1214.49</v>
      </c>
      <c r="F186" s="8">
        <f t="shared" si="12"/>
        <v>1396.6634999999999</v>
      </c>
      <c r="G186" s="8">
        <v>1533.95</v>
      </c>
      <c r="H186" s="8">
        <v>1533.95</v>
      </c>
      <c r="I186" s="8" t="s">
        <v>1469</v>
      </c>
      <c r="J186" s="10">
        <v>0</v>
      </c>
      <c r="K186" s="10">
        <v>0</v>
      </c>
      <c r="L186" s="10">
        <f t="shared" si="13"/>
        <v>0</v>
      </c>
      <c r="M186" s="12">
        <v>11</v>
      </c>
      <c r="N186" s="12">
        <f t="shared" si="14"/>
        <v>13.2</v>
      </c>
      <c r="O186" s="8">
        <v>16873.45</v>
      </c>
      <c r="P186" s="8">
        <f t="shared" si="15"/>
        <v>20248.14</v>
      </c>
      <c r="Q186" s="8">
        <v>13359.39</v>
      </c>
      <c r="R186" s="8">
        <f t="shared" si="16"/>
        <v>18435.958199999997</v>
      </c>
      <c r="S186" s="8">
        <v>3514.0600000000013</v>
      </c>
      <c r="T186" s="8">
        <f t="shared" si="17"/>
        <v>1812.1818000000021</v>
      </c>
    </row>
    <row r="187" spans="1:20" ht="16.5" x14ac:dyDescent="0.3">
      <c r="A187" s="4" t="s">
        <v>596</v>
      </c>
      <c r="B187" s="6">
        <v>44955</v>
      </c>
      <c r="C187" s="14">
        <v>44955</v>
      </c>
      <c r="D187" s="4" t="s">
        <v>1314</v>
      </c>
      <c r="E187" s="8">
        <v>41.84</v>
      </c>
      <c r="F187" s="8">
        <f t="shared" si="12"/>
        <v>48.116</v>
      </c>
      <c r="G187" s="8">
        <v>86.2</v>
      </c>
      <c r="H187" s="8">
        <v>86.2</v>
      </c>
      <c r="I187" s="8" t="s">
        <v>1471</v>
      </c>
      <c r="J187" s="10">
        <v>0.22600000000000001</v>
      </c>
      <c r="K187" s="10">
        <v>0.22600000000000001</v>
      </c>
      <c r="L187" s="10">
        <f t="shared" si="13"/>
        <v>0.22600000000000001</v>
      </c>
      <c r="M187" s="12">
        <v>27</v>
      </c>
      <c r="N187" s="12">
        <f t="shared" si="14"/>
        <v>32.4</v>
      </c>
      <c r="O187" s="8">
        <v>1801.4076000000002</v>
      </c>
      <c r="P187" s="8">
        <f t="shared" si="15"/>
        <v>2161.68912</v>
      </c>
      <c r="Q187" s="8">
        <v>1129.68</v>
      </c>
      <c r="R187" s="8">
        <f t="shared" si="16"/>
        <v>1558.9584</v>
      </c>
      <c r="S187" s="8">
        <v>671.72760000000017</v>
      </c>
      <c r="T187" s="8">
        <f t="shared" si="17"/>
        <v>602.73072000000002</v>
      </c>
    </row>
    <row r="188" spans="1:20" ht="16.5" x14ac:dyDescent="0.3">
      <c r="A188" s="4" t="s">
        <v>50</v>
      </c>
      <c r="B188" s="6">
        <v>45012</v>
      </c>
      <c r="C188" s="14">
        <v>45012</v>
      </c>
      <c r="D188" s="4" t="s">
        <v>769</v>
      </c>
      <c r="E188" s="8">
        <v>178.53</v>
      </c>
      <c r="F188" s="8">
        <f t="shared" si="12"/>
        <v>205.30949999999999</v>
      </c>
      <c r="G188" s="8">
        <v>199.37</v>
      </c>
      <c r="H188" s="8">
        <v>199.37</v>
      </c>
      <c r="I188" s="8" t="s">
        <v>1471</v>
      </c>
      <c r="J188" s="10">
        <v>0.10100000000000001</v>
      </c>
      <c r="K188" s="10">
        <v>0.10100000000000001</v>
      </c>
      <c r="L188" s="10">
        <f t="shared" si="13"/>
        <v>0.10100000000000001</v>
      </c>
      <c r="M188" s="12">
        <v>37</v>
      </c>
      <c r="N188" s="12">
        <f t="shared" si="14"/>
        <v>44.4</v>
      </c>
      <c r="O188" s="8">
        <v>6631.6443100000006</v>
      </c>
      <c r="P188" s="8">
        <f t="shared" si="15"/>
        <v>7957.973172</v>
      </c>
      <c r="Q188" s="8">
        <v>6605.61</v>
      </c>
      <c r="R188" s="8">
        <f t="shared" si="16"/>
        <v>9115.7417999999998</v>
      </c>
      <c r="S188" s="8">
        <v>26.034310000000914</v>
      </c>
      <c r="T188" s="8">
        <f t="shared" si="17"/>
        <v>-1157.7686279999998</v>
      </c>
    </row>
    <row r="189" spans="1:20" ht="16.5" x14ac:dyDescent="0.3">
      <c r="A189" s="4" t="s">
        <v>522</v>
      </c>
      <c r="B189" s="6">
        <v>45029</v>
      </c>
      <c r="C189" s="14">
        <v>45029</v>
      </c>
      <c r="D189" s="4" t="s">
        <v>1241</v>
      </c>
      <c r="E189" s="8">
        <v>227.02</v>
      </c>
      <c r="F189" s="8">
        <f t="shared" si="12"/>
        <v>261.07299999999998</v>
      </c>
      <c r="G189" s="8">
        <v>434.72</v>
      </c>
      <c r="H189" s="8">
        <v>434.72</v>
      </c>
      <c r="I189" s="8" t="s">
        <v>1471</v>
      </c>
      <c r="J189" s="10">
        <v>9.8000000000000004E-2</v>
      </c>
      <c r="K189" s="10">
        <v>9.8000000000000004E-2</v>
      </c>
      <c r="L189" s="10">
        <f t="shared" si="13"/>
        <v>9.8000000000000004E-2</v>
      </c>
      <c r="M189" s="12">
        <v>10</v>
      </c>
      <c r="N189" s="12">
        <f t="shared" si="14"/>
        <v>12</v>
      </c>
      <c r="O189" s="8">
        <v>3921.1744000000008</v>
      </c>
      <c r="P189" s="8">
        <f t="shared" si="15"/>
        <v>4705.4092800000008</v>
      </c>
      <c r="Q189" s="8">
        <v>2270.2000000000003</v>
      </c>
      <c r="R189" s="8">
        <f t="shared" si="16"/>
        <v>3132.8759999999997</v>
      </c>
      <c r="S189" s="8">
        <v>1650.9744000000005</v>
      </c>
      <c r="T189" s="8">
        <f t="shared" si="17"/>
        <v>1572.533280000001</v>
      </c>
    </row>
    <row r="190" spans="1:20" ht="16.5" x14ac:dyDescent="0.3">
      <c r="A190" s="4" t="s">
        <v>498</v>
      </c>
      <c r="B190" s="6">
        <v>45148</v>
      </c>
      <c r="C190" s="14">
        <v>45148</v>
      </c>
      <c r="D190" s="4" t="s">
        <v>1217</v>
      </c>
      <c r="E190" s="8">
        <v>1307.52</v>
      </c>
      <c r="F190" s="8">
        <f t="shared" si="12"/>
        <v>1503.6479999999999</v>
      </c>
      <c r="G190" s="8">
        <v>1921.65</v>
      </c>
      <c r="H190" s="8">
        <v>1921.65</v>
      </c>
      <c r="I190" s="8" t="s">
        <v>1470</v>
      </c>
      <c r="J190" s="10">
        <v>0.123</v>
      </c>
      <c r="K190" s="10">
        <v>0.123</v>
      </c>
      <c r="L190" s="10">
        <f t="shared" si="13"/>
        <v>0.123</v>
      </c>
      <c r="M190" s="12">
        <v>13</v>
      </c>
      <c r="N190" s="12">
        <f t="shared" si="14"/>
        <v>15.6</v>
      </c>
      <c r="O190" s="8">
        <v>21908.731650000002</v>
      </c>
      <c r="P190" s="8">
        <f t="shared" si="15"/>
        <v>26290.47798</v>
      </c>
      <c r="Q190" s="8">
        <v>16997.759999999998</v>
      </c>
      <c r="R190" s="8">
        <f t="shared" si="16"/>
        <v>23456.908799999997</v>
      </c>
      <c r="S190" s="8">
        <v>4910.9716500000031</v>
      </c>
      <c r="T190" s="8">
        <f t="shared" si="17"/>
        <v>2833.5691800000022</v>
      </c>
    </row>
    <row r="191" spans="1:20" ht="16.5" x14ac:dyDescent="0.3">
      <c r="A191" s="4" t="s">
        <v>150</v>
      </c>
      <c r="B191" s="6">
        <v>45028</v>
      </c>
      <c r="C191" s="14">
        <v>45028</v>
      </c>
      <c r="D191" s="4" t="s">
        <v>869</v>
      </c>
      <c r="E191" s="8">
        <v>1087.81</v>
      </c>
      <c r="F191" s="8">
        <f t="shared" si="12"/>
        <v>1250.9814999999999</v>
      </c>
      <c r="G191" s="8">
        <v>2323.87</v>
      </c>
      <c r="H191" s="8">
        <v>2323.87</v>
      </c>
      <c r="I191" s="8" t="s">
        <v>1470</v>
      </c>
      <c r="J191" s="10">
        <v>9.4E-2</v>
      </c>
      <c r="K191" s="10">
        <v>9.4E-2</v>
      </c>
      <c r="L191" s="10">
        <f t="shared" si="13"/>
        <v>9.4E-2</v>
      </c>
      <c r="M191" s="12">
        <v>13</v>
      </c>
      <c r="N191" s="12">
        <f t="shared" si="14"/>
        <v>15.6</v>
      </c>
      <c r="O191" s="8">
        <v>27370.540859999997</v>
      </c>
      <c r="P191" s="8">
        <f t="shared" si="15"/>
        <v>32844.649031999994</v>
      </c>
      <c r="Q191" s="8">
        <v>14141.529999999999</v>
      </c>
      <c r="R191" s="8">
        <f t="shared" si="16"/>
        <v>19515.311399999999</v>
      </c>
      <c r="S191" s="8">
        <v>13229.010859999999</v>
      </c>
      <c r="T191" s="8">
        <f t="shared" si="17"/>
        <v>13329.337631999995</v>
      </c>
    </row>
    <row r="192" spans="1:20" ht="16.5" x14ac:dyDescent="0.3">
      <c r="A192" s="4" t="s">
        <v>36</v>
      </c>
      <c r="B192" s="6">
        <v>45057</v>
      </c>
      <c r="C192" s="14">
        <v>45057</v>
      </c>
      <c r="D192" s="4" t="s">
        <v>755</v>
      </c>
      <c r="E192" s="8">
        <v>1331.19</v>
      </c>
      <c r="F192" s="8">
        <f t="shared" si="12"/>
        <v>1530.8685</v>
      </c>
      <c r="G192" s="8">
        <v>2903.09</v>
      </c>
      <c r="H192" s="8">
        <v>2903.09</v>
      </c>
      <c r="I192" s="8" t="s">
        <v>1470</v>
      </c>
      <c r="J192" s="10">
        <v>0.14299999999999999</v>
      </c>
      <c r="K192" s="10">
        <v>0.14299999999999999</v>
      </c>
      <c r="L192" s="10">
        <f t="shared" si="13"/>
        <v>0.14299999999999999</v>
      </c>
      <c r="M192" s="12">
        <v>8</v>
      </c>
      <c r="N192" s="12">
        <f t="shared" si="14"/>
        <v>9.6</v>
      </c>
      <c r="O192" s="8">
        <v>19903.585040000002</v>
      </c>
      <c r="P192" s="8">
        <f t="shared" si="15"/>
        <v>23884.302048000001</v>
      </c>
      <c r="Q192" s="8">
        <v>10649.52</v>
      </c>
      <c r="R192" s="8">
        <f t="shared" si="16"/>
        <v>14696.337600000001</v>
      </c>
      <c r="S192" s="8">
        <v>9254.0650400000013</v>
      </c>
      <c r="T192" s="8">
        <f t="shared" si="17"/>
        <v>9187.9644480000006</v>
      </c>
    </row>
    <row r="193" spans="1:20" ht="16.5" x14ac:dyDescent="0.3">
      <c r="A193" s="4" t="s">
        <v>585</v>
      </c>
      <c r="B193" s="6">
        <v>45078</v>
      </c>
      <c r="C193" s="14">
        <v>45078</v>
      </c>
      <c r="D193" s="4" t="s">
        <v>1303</v>
      </c>
      <c r="E193" s="8">
        <v>669.37</v>
      </c>
      <c r="F193" s="8">
        <f t="shared" si="12"/>
        <v>769.77549999999997</v>
      </c>
      <c r="G193" s="8">
        <v>997.2</v>
      </c>
      <c r="H193" s="8">
        <v>997.2</v>
      </c>
      <c r="I193" s="8" t="s">
        <v>1469</v>
      </c>
      <c r="J193" s="10">
        <v>8.2000000000000003E-2</v>
      </c>
      <c r="K193" s="10">
        <v>8.2000000000000003E-2</v>
      </c>
      <c r="L193" s="10">
        <f t="shared" si="13"/>
        <v>8.2000000000000003E-2</v>
      </c>
      <c r="M193" s="12">
        <v>5</v>
      </c>
      <c r="N193" s="12">
        <f t="shared" si="14"/>
        <v>6</v>
      </c>
      <c r="O193" s="8">
        <v>4577.1480000000001</v>
      </c>
      <c r="P193" s="8">
        <f t="shared" si="15"/>
        <v>5492.5776000000005</v>
      </c>
      <c r="Q193" s="8">
        <v>3346.85</v>
      </c>
      <c r="R193" s="8">
        <f t="shared" si="16"/>
        <v>4618.6530000000002</v>
      </c>
      <c r="S193" s="8">
        <v>1230.2980000000002</v>
      </c>
      <c r="T193" s="8">
        <f t="shared" si="17"/>
        <v>873.92460000000028</v>
      </c>
    </row>
    <row r="194" spans="1:20" ht="16.5" x14ac:dyDescent="0.3">
      <c r="A194" s="4" t="s">
        <v>110</v>
      </c>
      <c r="B194" s="6">
        <v>45022</v>
      </c>
      <c r="C194" s="14">
        <v>45022</v>
      </c>
      <c r="D194" s="4" t="s">
        <v>829</v>
      </c>
      <c r="E194" s="8">
        <v>1084.79</v>
      </c>
      <c r="F194" s="8">
        <f t="shared" si="12"/>
        <v>1247.5084999999999</v>
      </c>
      <c r="G194" s="8">
        <v>2484.9899999999998</v>
      </c>
      <c r="H194" s="8">
        <v>2484.9899999999998</v>
      </c>
      <c r="I194" s="8" t="s">
        <v>1470</v>
      </c>
      <c r="J194" s="10">
        <v>3.4000000000000002E-2</v>
      </c>
      <c r="K194" s="10">
        <v>3.4000000000000002E-2</v>
      </c>
      <c r="L194" s="10">
        <f t="shared" si="13"/>
        <v>3.4000000000000002E-2</v>
      </c>
      <c r="M194" s="12">
        <v>18</v>
      </c>
      <c r="N194" s="12">
        <f t="shared" si="14"/>
        <v>21.599999999999998</v>
      </c>
      <c r="O194" s="8">
        <v>43209.006119999991</v>
      </c>
      <c r="P194" s="8">
        <f t="shared" si="15"/>
        <v>51850.807343999993</v>
      </c>
      <c r="Q194" s="8">
        <v>19526.22</v>
      </c>
      <c r="R194" s="8">
        <f t="shared" si="16"/>
        <v>26946.183599999997</v>
      </c>
      <c r="S194" s="8">
        <v>23682.78611999999</v>
      </c>
      <c r="T194" s="8">
        <f t="shared" si="17"/>
        <v>24904.623743999997</v>
      </c>
    </row>
    <row r="195" spans="1:20" ht="16.5" x14ac:dyDescent="0.3">
      <c r="A195" s="4" t="s">
        <v>130</v>
      </c>
      <c r="B195" s="6">
        <v>44987</v>
      </c>
      <c r="C195" s="14">
        <v>44987</v>
      </c>
      <c r="D195" s="4" t="s">
        <v>849</v>
      </c>
      <c r="E195" s="8">
        <v>1473.58</v>
      </c>
      <c r="F195" s="8">
        <f t="shared" ref="F195:F258" si="18">(E195*(1+$X$3))</f>
        <v>1694.6169999999997</v>
      </c>
      <c r="G195" s="8">
        <v>3436.52</v>
      </c>
      <c r="H195" s="8">
        <v>3436.52</v>
      </c>
      <c r="I195" s="8" t="s">
        <v>1470</v>
      </c>
      <c r="J195" s="10">
        <v>0.108</v>
      </c>
      <c r="K195" s="10">
        <v>0.108</v>
      </c>
      <c r="L195" s="10">
        <f t="shared" ref="L195:L258" si="19">MIN(K195, $X$2)</f>
        <v>0.108</v>
      </c>
      <c r="M195" s="12">
        <v>8</v>
      </c>
      <c r="N195" s="12">
        <f t="shared" ref="N195:N258" si="20">(M195*(1+$X$4))</f>
        <v>9.6</v>
      </c>
      <c r="O195" s="8">
        <v>24523.006720000001</v>
      </c>
      <c r="P195" s="8">
        <f t="shared" ref="P195:P258" si="21">(H195*N195*(1-L195))</f>
        <v>29427.608063999996</v>
      </c>
      <c r="Q195" s="8">
        <v>11788.64</v>
      </c>
      <c r="R195" s="8">
        <f t="shared" ref="R195:R258" si="22">F195*N195</f>
        <v>16268.323199999997</v>
      </c>
      <c r="S195" s="8">
        <v>12734.366720000002</v>
      </c>
      <c r="T195" s="8">
        <f t="shared" ref="T195:T258" si="23">P195-R195</f>
        <v>13159.284863999999</v>
      </c>
    </row>
    <row r="196" spans="1:20" ht="16.5" x14ac:dyDescent="0.3">
      <c r="A196" s="4" t="s">
        <v>471</v>
      </c>
      <c r="B196" s="6">
        <v>45048</v>
      </c>
      <c r="C196" s="14">
        <v>45048</v>
      </c>
      <c r="D196" s="4" t="s">
        <v>1190</v>
      </c>
      <c r="E196" s="8">
        <v>714.28</v>
      </c>
      <c r="F196" s="8">
        <f t="shared" si="18"/>
        <v>821.42199999999991</v>
      </c>
      <c r="G196" s="8">
        <v>757.59</v>
      </c>
      <c r="H196" s="8">
        <v>757.59</v>
      </c>
      <c r="I196" s="8" t="s">
        <v>1471</v>
      </c>
      <c r="J196" s="10">
        <v>0.13600000000000001</v>
      </c>
      <c r="K196" s="10">
        <v>0.13600000000000001</v>
      </c>
      <c r="L196" s="10">
        <f t="shared" si="19"/>
        <v>0.13600000000000001</v>
      </c>
      <c r="M196" s="12">
        <v>12</v>
      </c>
      <c r="N196" s="12">
        <f t="shared" si="20"/>
        <v>14.399999999999999</v>
      </c>
      <c r="O196" s="8">
        <v>7854.6931199999999</v>
      </c>
      <c r="P196" s="8">
        <f t="shared" si="21"/>
        <v>9425.6317440000003</v>
      </c>
      <c r="Q196" s="8">
        <v>8571.36</v>
      </c>
      <c r="R196" s="8">
        <f t="shared" si="22"/>
        <v>11828.476799999997</v>
      </c>
      <c r="S196" s="8">
        <v>-716.66688000000067</v>
      </c>
      <c r="T196" s="8">
        <f t="shared" si="23"/>
        <v>-2402.8450559999965</v>
      </c>
    </row>
    <row r="197" spans="1:20" ht="16.5" x14ac:dyDescent="0.3">
      <c r="A197" s="4" t="s">
        <v>140</v>
      </c>
      <c r="B197" s="6">
        <v>45150</v>
      </c>
      <c r="C197" s="14">
        <v>45150</v>
      </c>
      <c r="D197" s="4" t="s">
        <v>859</v>
      </c>
      <c r="E197" s="8">
        <v>950.77</v>
      </c>
      <c r="F197" s="8">
        <f t="shared" si="18"/>
        <v>1093.3854999999999</v>
      </c>
      <c r="G197" s="8">
        <v>694.78</v>
      </c>
      <c r="H197" s="8">
        <v>694.78</v>
      </c>
      <c r="I197" s="8" t="s">
        <v>1471</v>
      </c>
      <c r="J197" s="10">
        <v>8.4000000000000005E-2</v>
      </c>
      <c r="K197" s="10">
        <v>8.4000000000000005E-2</v>
      </c>
      <c r="L197" s="10">
        <f t="shared" si="19"/>
        <v>8.4000000000000005E-2</v>
      </c>
      <c r="M197" s="12">
        <v>14</v>
      </c>
      <c r="N197" s="12">
        <f t="shared" si="20"/>
        <v>16.8</v>
      </c>
      <c r="O197" s="8">
        <v>8909.8587200000002</v>
      </c>
      <c r="P197" s="8">
        <f t="shared" si="21"/>
        <v>10691.830464000001</v>
      </c>
      <c r="Q197" s="8">
        <v>13310.779999999999</v>
      </c>
      <c r="R197" s="8">
        <f t="shared" si="22"/>
        <v>18368.876399999997</v>
      </c>
      <c r="S197" s="8">
        <v>-4400.9212799999987</v>
      </c>
      <c r="T197" s="8">
        <f t="shared" si="23"/>
        <v>-7677.0459359999968</v>
      </c>
    </row>
    <row r="198" spans="1:20" ht="16.5" x14ac:dyDescent="0.3">
      <c r="A198" s="4" t="s">
        <v>323</v>
      </c>
      <c r="B198" s="6">
        <v>44936</v>
      </c>
      <c r="C198" s="14">
        <v>44936</v>
      </c>
      <c r="D198" s="4" t="s">
        <v>1043</v>
      </c>
      <c r="E198" s="8">
        <v>401.66</v>
      </c>
      <c r="F198" s="8">
        <f t="shared" si="18"/>
        <v>461.90899999999999</v>
      </c>
      <c r="G198" s="8">
        <v>772.09</v>
      </c>
      <c r="H198" s="8">
        <v>772.09</v>
      </c>
      <c r="I198" s="8" t="s">
        <v>1471</v>
      </c>
      <c r="J198" s="10">
        <v>8.8999999999999996E-2</v>
      </c>
      <c r="K198" s="10">
        <v>8.8999999999999996E-2</v>
      </c>
      <c r="L198" s="10">
        <f t="shared" si="19"/>
        <v>8.8999999999999996E-2</v>
      </c>
      <c r="M198" s="12">
        <v>14</v>
      </c>
      <c r="N198" s="12">
        <f t="shared" si="20"/>
        <v>16.8</v>
      </c>
      <c r="O198" s="8">
        <v>9847.2358600000007</v>
      </c>
      <c r="P198" s="8">
        <f t="shared" si="21"/>
        <v>11816.683032000001</v>
      </c>
      <c r="Q198" s="8">
        <v>5623.2400000000007</v>
      </c>
      <c r="R198" s="8">
        <f t="shared" si="22"/>
        <v>7760.0712000000003</v>
      </c>
      <c r="S198" s="8">
        <v>4223.99586</v>
      </c>
      <c r="T198" s="8">
        <f t="shared" si="23"/>
        <v>4056.6118320000005</v>
      </c>
    </row>
    <row r="199" spans="1:20" ht="16.5" x14ac:dyDescent="0.3">
      <c r="A199" s="4" t="s">
        <v>180</v>
      </c>
      <c r="B199" s="6">
        <v>44976</v>
      </c>
      <c r="C199" s="14">
        <v>44976</v>
      </c>
      <c r="D199" s="4" t="s">
        <v>899</v>
      </c>
      <c r="E199" s="8">
        <v>1234.81</v>
      </c>
      <c r="F199" s="8">
        <f t="shared" si="18"/>
        <v>1420.0314999999998</v>
      </c>
      <c r="G199" s="8">
        <v>2055.2399999999998</v>
      </c>
      <c r="H199" s="8">
        <v>2055.2399999999998</v>
      </c>
      <c r="I199" s="8" t="s">
        <v>1470</v>
      </c>
      <c r="J199" s="10">
        <v>5.2999999999999999E-2</v>
      </c>
      <c r="K199" s="10">
        <v>5.2999999999999999E-2</v>
      </c>
      <c r="L199" s="10">
        <f t="shared" si="19"/>
        <v>5.2999999999999999E-2</v>
      </c>
      <c r="M199" s="12">
        <v>44</v>
      </c>
      <c r="N199" s="12">
        <f t="shared" si="20"/>
        <v>52.8</v>
      </c>
      <c r="O199" s="8">
        <v>85637.740319999997</v>
      </c>
      <c r="P199" s="8">
        <f t="shared" si="21"/>
        <v>102765.28838399997</v>
      </c>
      <c r="Q199" s="8">
        <v>54331.64</v>
      </c>
      <c r="R199" s="8">
        <f t="shared" si="22"/>
        <v>74977.663199999981</v>
      </c>
      <c r="S199" s="8">
        <v>31306.100319999998</v>
      </c>
      <c r="T199" s="8">
        <f t="shared" si="23"/>
        <v>27787.62518399999</v>
      </c>
    </row>
    <row r="200" spans="1:20" ht="16.5" x14ac:dyDescent="0.3">
      <c r="A200" s="4" t="s">
        <v>638</v>
      </c>
      <c r="B200" s="6">
        <v>45141</v>
      </c>
      <c r="C200" s="14">
        <v>45141</v>
      </c>
      <c r="D200" s="4" t="s">
        <v>1356</v>
      </c>
      <c r="E200" s="8">
        <v>1021.97</v>
      </c>
      <c r="F200" s="8">
        <f t="shared" si="18"/>
        <v>1175.2655</v>
      </c>
      <c r="G200" s="8">
        <v>2296.25</v>
      </c>
      <c r="H200" s="8">
        <v>2296.25</v>
      </c>
      <c r="I200" s="8" t="s">
        <v>1470</v>
      </c>
      <c r="J200" s="10">
        <v>0.161</v>
      </c>
      <c r="K200" s="10">
        <v>0.161</v>
      </c>
      <c r="L200" s="10">
        <f t="shared" si="19"/>
        <v>0.161</v>
      </c>
      <c r="M200" s="12">
        <v>26</v>
      </c>
      <c r="N200" s="12">
        <f t="shared" si="20"/>
        <v>31.2</v>
      </c>
      <c r="O200" s="8">
        <v>50090.397499999999</v>
      </c>
      <c r="P200" s="8">
        <f t="shared" si="21"/>
        <v>60108.476999999999</v>
      </c>
      <c r="Q200" s="8">
        <v>26571.22</v>
      </c>
      <c r="R200" s="8">
        <f t="shared" si="22"/>
        <v>36668.283599999995</v>
      </c>
      <c r="S200" s="8">
        <v>23519.177499999998</v>
      </c>
      <c r="T200" s="8">
        <f t="shared" si="23"/>
        <v>23440.193400000004</v>
      </c>
    </row>
    <row r="201" spans="1:20" ht="16.5" x14ac:dyDescent="0.3">
      <c r="A201" s="4" t="s">
        <v>273</v>
      </c>
      <c r="B201" s="6">
        <v>45210</v>
      </c>
      <c r="C201" s="14">
        <v>45210</v>
      </c>
      <c r="D201" s="4" t="s">
        <v>993</v>
      </c>
      <c r="E201" s="8">
        <v>715.94</v>
      </c>
      <c r="F201" s="8">
        <f t="shared" si="18"/>
        <v>823.33100000000002</v>
      </c>
      <c r="G201" s="8">
        <v>550.07000000000005</v>
      </c>
      <c r="H201" s="8">
        <v>550.07000000000005</v>
      </c>
      <c r="I201" s="8" t="s">
        <v>1471</v>
      </c>
      <c r="J201" s="10">
        <v>0.14000000000000001</v>
      </c>
      <c r="K201" s="10">
        <v>0.14000000000000001</v>
      </c>
      <c r="L201" s="10">
        <f t="shared" si="19"/>
        <v>0.14000000000000001</v>
      </c>
      <c r="M201" s="12">
        <v>16</v>
      </c>
      <c r="N201" s="12">
        <f t="shared" si="20"/>
        <v>19.2</v>
      </c>
      <c r="O201" s="8">
        <v>7568.9632000000001</v>
      </c>
      <c r="P201" s="8">
        <f t="shared" si="21"/>
        <v>9082.7558399999998</v>
      </c>
      <c r="Q201" s="8">
        <v>11455.04</v>
      </c>
      <c r="R201" s="8">
        <f t="shared" si="22"/>
        <v>15807.9552</v>
      </c>
      <c r="S201" s="8">
        <v>-3886.0768000000007</v>
      </c>
      <c r="T201" s="8">
        <f t="shared" si="23"/>
        <v>-6725.1993600000005</v>
      </c>
    </row>
    <row r="202" spans="1:20" ht="16.5" x14ac:dyDescent="0.3">
      <c r="A202" s="4" t="s">
        <v>336</v>
      </c>
      <c r="B202" s="6">
        <v>44985</v>
      </c>
      <c r="C202" s="14">
        <v>44985</v>
      </c>
      <c r="D202" s="4" t="s">
        <v>1056</v>
      </c>
      <c r="E202" s="8">
        <v>1299.81</v>
      </c>
      <c r="F202" s="8">
        <f t="shared" si="18"/>
        <v>1494.7814999999998</v>
      </c>
      <c r="G202" s="8">
        <v>3149.13</v>
      </c>
      <c r="H202" s="8">
        <v>3149.13</v>
      </c>
      <c r="I202" s="8" t="s">
        <v>1470</v>
      </c>
      <c r="J202" s="10">
        <v>0.10299999999999999</v>
      </c>
      <c r="K202" s="10">
        <v>0.10299999999999999</v>
      </c>
      <c r="L202" s="10">
        <f t="shared" si="19"/>
        <v>0.10299999999999999</v>
      </c>
      <c r="M202" s="12">
        <v>14</v>
      </c>
      <c r="N202" s="12">
        <f t="shared" si="20"/>
        <v>16.8</v>
      </c>
      <c r="O202" s="8">
        <v>39546.774539999999</v>
      </c>
      <c r="P202" s="8">
        <f t="shared" si="21"/>
        <v>47456.129448000007</v>
      </c>
      <c r="Q202" s="8">
        <v>18197.34</v>
      </c>
      <c r="R202" s="8">
        <f t="shared" si="22"/>
        <v>25112.329199999996</v>
      </c>
      <c r="S202" s="8">
        <v>21349.434539999998</v>
      </c>
      <c r="T202" s="8">
        <f t="shared" si="23"/>
        <v>22343.80024800001</v>
      </c>
    </row>
    <row r="203" spans="1:20" ht="16.5" x14ac:dyDescent="0.3">
      <c r="A203" s="4" t="s">
        <v>326</v>
      </c>
      <c r="B203" s="6">
        <v>45101</v>
      </c>
      <c r="C203" s="14">
        <v>45101</v>
      </c>
      <c r="D203" s="4" t="s">
        <v>1046</v>
      </c>
      <c r="E203" s="8">
        <v>471.42</v>
      </c>
      <c r="F203" s="8">
        <f t="shared" si="18"/>
        <v>542.13299999999992</v>
      </c>
      <c r="G203" s="8">
        <v>824.81</v>
      </c>
      <c r="H203" s="8">
        <v>824.81</v>
      </c>
      <c r="I203" s="8" t="s">
        <v>1471</v>
      </c>
      <c r="J203" s="10">
        <v>8.7999999999999995E-2</v>
      </c>
      <c r="K203" s="10">
        <v>8.7999999999999995E-2</v>
      </c>
      <c r="L203" s="10">
        <f t="shared" si="19"/>
        <v>8.7999999999999995E-2</v>
      </c>
      <c r="M203" s="12">
        <v>15</v>
      </c>
      <c r="N203" s="12">
        <f t="shared" si="20"/>
        <v>18</v>
      </c>
      <c r="O203" s="8">
        <v>11283.400799999999</v>
      </c>
      <c r="P203" s="8">
        <f t="shared" si="21"/>
        <v>13540.080959999999</v>
      </c>
      <c r="Q203" s="8">
        <v>7071.3</v>
      </c>
      <c r="R203" s="8">
        <f t="shared" si="22"/>
        <v>9758.3939999999984</v>
      </c>
      <c r="S203" s="8">
        <v>4212.1007999999993</v>
      </c>
      <c r="T203" s="8">
        <f t="shared" si="23"/>
        <v>3781.6869600000009</v>
      </c>
    </row>
    <row r="204" spans="1:20" ht="16.5" x14ac:dyDescent="0.3">
      <c r="A204" s="4" t="s">
        <v>43</v>
      </c>
      <c r="B204" s="6">
        <v>45030</v>
      </c>
      <c r="C204" s="14">
        <v>45030</v>
      </c>
      <c r="D204" s="4" t="s">
        <v>762</v>
      </c>
      <c r="E204" s="8">
        <v>209.25</v>
      </c>
      <c r="F204" s="8">
        <f t="shared" si="18"/>
        <v>240.63749999999999</v>
      </c>
      <c r="G204" s="8">
        <v>434.8</v>
      </c>
      <c r="H204" s="8">
        <v>434.8</v>
      </c>
      <c r="I204" s="8" t="s">
        <v>1471</v>
      </c>
      <c r="J204" s="10">
        <v>0</v>
      </c>
      <c r="K204" s="10">
        <v>0</v>
      </c>
      <c r="L204" s="10">
        <f t="shared" si="19"/>
        <v>0</v>
      </c>
      <c r="M204" s="12">
        <v>9</v>
      </c>
      <c r="N204" s="12">
        <f t="shared" si="20"/>
        <v>10.799999999999999</v>
      </c>
      <c r="O204" s="8">
        <v>3913.2000000000003</v>
      </c>
      <c r="P204" s="8">
        <f t="shared" si="21"/>
        <v>4695.8399999999992</v>
      </c>
      <c r="Q204" s="8">
        <v>1883.25</v>
      </c>
      <c r="R204" s="8">
        <f t="shared" si="22"/>
        <v>2598.8849999999998</v>
      </c>
      <c r="S204" s="8">
        <v>2029.9500000000003</v>
      </c>
      <c r="T204" s="8">
        <f t="shared" si="23"/>
        <v>2096.9549999999995</v>
      </c>
    </row>
    <row r="205" spans="1:20" ht="16.5" x14ac:dyDescent="0.3">
      <c r="A205" s="4" t="s">
        <v>361</v>
      </c>
      <c r="B205" s="6">
        <v>45050</v>
      </c>
      <c r="C205" s="14">
        <v>45050</v>
      </c>
      <c r="D205" s="4" t="s">
        <v>1081</v>
      </c>
      <c r="E205" s="8">
        <v>77.739999999999995</v>
      </c>
      <c r="F205" s="8">
        <f t="shared" si="18"/>
        <v>89.400999999999982</v>
      </c>
      <c r="G205" s="8">
        <v>147.12</v>
      </c>
      <c r="H205" s="8">
        <v>147.12</v>
      </c>
      <c r="I205" s="8" t="s">
        <v>1471</v>
      </c>
      <c r="J205" s="10">
        <v>0</v>
      </c>
      <c r="K205" s="10">
        <v>0</v>
      </c>
      <c r="L205" s="10">
        <f t="shared" si="19"/>
        <v>0</v>
      </c>
      <c r="M205" s="12">
        <v>15</v>
      </c>
      <c r="N205" s="12">
        <f t="shared" si="20"/>
        <v>18</v>
      </c>
      <c r="O205" s="8">
        <v>2206.8000000000002</v>
      </c>
      <c r="P205" s="8">
        <f t="shared" si="21"/>
        <v>2648.16</v>
      </c>
      <c r="Q205" s="8">
        <v>1166.0999999999999</v>
      </c>
      <c r="R205" s="8">
        <f t="shared" si="22"/>
        <v>1609.2179999999996</v>
      </c>
      <c r="S205" s="8">
        <v>1040.7000000000003</v>
      </c>
      <c r="T205" s="8">
        <f t="shared" si="23"/>
        <v>1038.9420000000002</v>
      </c>
    </row>
    <row r="206" spans="1:20" ht="16.5" x14ac:dyDescent="0.3">
      <c r="A206" s="4" t="s">
        <v>155</v>
      </c>
      <c r="B206" s="6">
        <v>45048</v>
      </c>
      <c r="C206" s="14">
        <v>45048</v>
      </c>
      <c r="D206" s="4" t="s">
        <v>874</v>
      </c>
      <c r="E206" s="8">
        <v>1463.92</v>
      </c>
      <c r="F206" s="8">
        <f t="shared" si="18"/>
        <v>1683.508</v>
      </c>
      <c r="G206" s="8">
        <v>2252.2399999999998</v>
      </c>
      <c r="H206" s="8">
        <v>2252.2399999999998</v>
      </c>
      <c r="I206" s="8" t="s">
        <v>1470</v>
      </c>
      <c r="J206" s="10">
        <v>0.11799999999999999</v>
      </c>
      <c r="K206" s="10">
        <v>0.11799999999999999</v>
      </c>
      <c r="L206" s="10">
        <f t="shared" si="19"/>
        <v>0.11799999999999999</v>
      </c>
      <c r="M206" s="12">
        <v>44</v>
      </c>
      <c r="N206" s="12">
        <f t="shared" si="20"/>
        <v>52.8</v>
      </c>
      <c r="O206" s="8">
        <v>87404.929919999995</v>
      </c>
      <c r="P206" s="8">
        <f t="shared" si="21"/>
        <v>104885.91590399998</v>
      </c>
      <c r="Q206" s="8">
        <v>64412.480000000003</v>
      </c>
      <c r="R206" s="8">
        <f t="shared" si="22"/>
        <v>88889.222399999999</v>
      </c>
      <c r="S206" s="8">
        <v>22992.449919999992</v>
      </c>
      <c r="T206" s="8">
        <f t="shared" si="23"/>
        <v>15996.693503999981</v>
      </c>
    </row>
    <row r="207" spans="1:20" ht="16.5" x14ac:dyDescent="0.3">
      <c r="A207" s="4" t="s">
        <v>157</v>
      </c>
      <c r="B207" s="6">
        <v>45133</v>
      </c>
      <c r="C207" s="14">
        <v>45133</v>
      </c>
      <c r="D207" s="4" t="s">
        <v>876</v>
      </c>
      <c r="E207" s="8">
        <v>1261.48</v>
      </c>
      <c r="F207" s="8">
        <f t="shared" si="18"/>
        <v>1450.702</v>
      </c>
      <c r="G207" s="8">
        <v>1643.18</v>
      </c>
      <c r="H207" s="8">
        <v>1643.18</v>
      </c>
      <c r="I207" s="8" t="s">
        <v>1470</v>
      </c>
      <c r="J207" s="10">
        <v>0.151</v>
      </c>
      <c r="K207" s="10">
        <v>0.151</v>
      </c>
      <c r="L207" s="10">
        <f t="shared" si="19"/>
        <v>0.151</v>
      </c>
      <c r="M207" s="12">
        <v>23</v>
      </c>
      <c r="N207" s="12">
        <f t="shared" si="20"/>
        <v>27.599999999999998</v>
      </c>
      <c r="O207" s="8">
        <v>32086.37586</v>
      </c>
      <c r="P207" s="8">
        <f t="shared" si="21"/>
        <v>38503.651031999994</v>
      </c>
      <c r="Q207" s="8">
        <v>29014.04</v>
      </c>
      <c r="R207" s="8">
        <f t="shared" si="22"/>
        <v>40039.375199999995</v>
      </c>
      <c r="S207" s="8">
        <v>3072.3358599999992</v>
      </c>
      <c r="T207" s="8">
        <f t="shared" si="23"/>
        <v>-1535.7241680000006</v>
      </c>
    </row>
    <row r="208" spans="1:20" ht="16.5" x14ac:dyDescent="0.3">
      <c r="A208" s="4" t="s">
        <v>524</v>
      </c>
      <c r="B208" s="6">
        <v>45056</v>
      </c>
      <c r="C208" s="14">
        <v>45056</v>
      </c>
      <c r="D208" s="4" t="s">
        <v>1243</v>
      </c>
      <c r="E208" s="8">
        <v>622.6</v>
      </c>
      <c r="F208" s="8">
        <f t="shared" si="18"/>
        <v>715.99</v>
      </c>
      <c r="G208" s="8">
        <v>833.69</v>
      </c>
      <c r="H208" s="8">
        <v>833.69</v>
      </c>
      <c r="I208" s="8" t="s">
        <v>1471</v>
      </c>
      <c r="J208" s="10">
        <v>0.20899999999999999</v>
      </c>
      <c r="K208" s="10">
        <v>0.20899999999999999</v>
      </c>
      <c r="L208" s="10">
        <f t="shared" si="19"/>
        <v>0.20899999999999999</v>
      </c>
      <c r="M208" s="12">
        <v>14</v>
      </c>
      <c r="N208" s="12">
        <f t="shared" si="20"/>
        <v>16.8</v>
      </c>
      <c r="O208" s="8">
        <v>9232.2830599999998</v>
      </c>
      <c r="P208" s="8">
        <f t="shared" si="21"/>
        <v>11078.739672000002</v>
      </c>
      <c r="Q208" s="8">
        <v>8716.4</v>
      </c>
      <c r="R208" s="8">
        <f t="shared" si="22"/>
        <v>12028.632000000001</v>
      </c>
      <c r="S208" s="8">
        <v>515.88306000000011</v>
      </c>
      <c r="T208" s="8">
        <f t="shared" si="23"/>
        <v>-949.89232799999991</v>
      </c>
    </row>
    <row r="209" spans="1:20" ht="16.5" x14ac:dyDescent="0.3">
      <c r="A209" s="4" t="s">
        <v>220</v>
      </c>
      <c r="B209" s="6">
        <v>45109</v>
      </c>
      <c r="C209" s="14">
        <v>45109</v>
      </c>
      <c r="D209" s="4" t="s">
        <v>940</v>
      </c>
      <c r="E209" s="8">
        <v>137.46</v>
      </c>
      <c r="F209" s="8">
        <f t="shared" si="18"/>
        <v>158.07900000000001</v>
      </c>
      <c r="G209" s="8">
        <v>188.3</v>
      </c>
      <c r="H209" s="8">
        <v>188.3</v>
      </c>
      <c r="I209" s="8" t="s">
        <v>1471</v>
      </c>
      <c r="J209" s="10">
        <v>3.7999999999999999E-2</v>
      </c>
      <c r="K209" s="10">
        <v>3.7999999999999999E-2</v>
      </c>
      <c r="L209" s="10">
        <f t="shared" si="19"/>
        <v>3.7999999999999999E-2</v>
      </c>
      <c r="M209" s="12">
        <v>37</v>
      </c>
      <c r="N209" s="12">
        <f t="shared" si="20"/>
        <v>44.4</v>
      </c>
      <c r="O209" s="8">
        <v>6702.3501999999999</v>
      </c>
      <c r="P209" s="8">
        <f t="shared" si="21"/>
        <v>8042.82024</v>
      </c>
      <c r="Q209" s="8">
        <v>5086.0200000000004</v>
      </c>
      <c r="R209" s="8">
        <f t="shared" si="22"/>
        <v>7018.7075999999997</v>
      </c>
      <c r="S209" s="8">
        <v>1616.3301999999994</v>
      </c>
      <c r="T209" s="8">
        <f t="shared" si="23"/>
        <v>1024.1126400000003</v>
      </c>
    </row>
    <row r="210" spans="1:20" ht="16.5" x14ac:dyDescent="0.3">
      <c r="A210" s="4" t="s">
        <v>642</v>
      </c>
      <c r="B210" s="6">
        <v>45100</v>
      </c>
      <c r="C210" s="14">
        <v>45100</v>
      </c>
      <c r="D210" s="4" t="s">
        <v>1360</v>
      </c>
      <c r="E210" s="8">
        <v>807.02</v>
      </c>
      <c r="F210" s="8">
        <f t="shared" si="18"/>
        <v>928.07299999999987</v>
      </c>
      <c r="G210" s="8">
        <v>1435.54</v>
      </c>
      <c r="H210" s="8">
        <v>1435.54</v>
      </c>
      <c r="I210" s="8" t="s">
        <v>1469</v>
      </c>
      <c r="J210" s="10">
        <v>0</v>
      </c>
      <c r="K210" s="10">
        <v>0</v>
      </c>
      <c r="L210" s="10">
        <f t="shared" si="19"/>
        <v>0</v>
      </c>
      <c r="M210" s="12">
        <v>23</v>
      </c>
      <c r="N210" s="12">
        <f t="shared" si="20"/>
        <v>27.599999999999998</v>
      </c>
      <c r="O210" s="8">
        <v>33017.42</v>
      </c>
      <c r="P210" s="8">
        <f t="shared" si="21"/>
        <v>39620.903999999995</v>
      </c>
      <c r="Q210" s="8">
        <v>18561.46</v>
      </c>
      <c r="R210" s="8">
        <f t="shared" si="22"/>
        <v>25614.814799999993</v>
      </c>
      <c r="S210" s="8">
        <v>14455.96</v>
      </c>
      <c r="T210" s="8">
        <f t="shared" si="23"/>
        <v>14006.089200000002</v>
      </c>
    </row>
    <row r="211" spans="1:20" ht="16.5" x14ac:dyDescent="0.3">
      <c r="A211" s="4" t="s">
        <v>207</v>
      </c>
      <c r="B211" s="6">
        <v>45214</v>
      </c>
      <c r="C211" s="14">
        <v>45214</v>
      </c>
      <c r="D211" s="4" t="s">
        <v>927</v>
      </c>
      <c r="E211" s="8">
        <v>986.44</v>
      </c>
      <c r="F211" s="8">
        <f t="shared" si="18"/>
        <v>1134.4059999999999</v>
      </c>
      <c r="G211" s="8">
        <v>790.61</v>
      </c>
      <c r="H211" s="8">
        <v>790.61</v>
      </c>
      <c r="I211" s="8" t="s">
        <v>1471</v>
      </c>
      <c r="J211" s="10">
        <v>7.1999999999999995E-2</v>
      </c>
      <c r="K211" s="10">
        <v>7.1999999999999995E-2</v>
      </c>
      <c r="L211" s="10">
        <f t="shared" si="19"/>
        <v>7.1999999999999995E-2</v>
      </c>
      <c r="M211" s="12">
        <v>6</v>
      </c>
      <c r="N211" s="12">
        <f t="shared" si="20"/>
        <v>7.1999999999999993</v>
      </c>
      <c r="O211" s="8">
        <v>4402.1164799999997</v>
      </c>
      <c r="P211" s="8">
        <f t="shared" si="21"/>
        <v>5282.5397760000005</v>
      </c>
      <c r="Q211" s="8">
        <v>5918.64</v>
      </c>
      <c r="R211" s="8">
        <f t="shared" si="22"/>
        <v>8167.7231999999985</v>
      </c>
      <c r="S211" s="8">
        <v>-1516.5235200000006</v>
      </c>
      <c r="T211" s="8">
        <f t="shared" si="23"/>
        <v>-2885.183423999998</v>
      </c>
    </row>
    <row r="212" spans="1:20" ht="16.5" x14ac:dyDescent="0.3">
      <c r="A212" s="4" t="s">
        <v>408</v>
      </c>
      <c r="B212" s="6">
        <v>45075</v>
      </c>
      <c r="C212" s="14">
        <v>45075</v>
      </c>
      <c r="D212" s="4" t="s">
        <v>1127</v>
      </c>
      <c r="E212" s="8">
        <v>1295.3900000000001</v>
      </c>
      <c r="F212" s="8">
        <f t="shared" si="18"/>
        <v>1489.6985</v>
      </c>
      <c r="G212" s="8">
        <v>2905.06</v>
      </c>
      <c r="H212" s="8">
        <v>2905.06</v>
      </c>
      <c r="I212" s="8" t="s">
        <v>1470</v>
      </c>
      <c r="J212" s="10">
        <v>0.14799999999999999</v>
      </c>
      <c r="K212" s="10">
        <v>0.14799999999999999</v>
      </c>
      <c r="L212" s="10">
        <f t="shared" si="19"/>
        <v>0.14799999999999999</v>
      </c>
      <c r="M212" s="12">
        <v>8</v>
      </c>
      <c r="N212" s="12">
        <f t="shared" si="20"/>
        <v>9.6</v>
      </c>
      <c r="O212" s="8">
        <v>19800.88896</v>
      </c>
      <c r="P212" s="8">
        <f t="shared" si="21"/>
        <v>23761.066751999999</v>
      </c>
      <c r="Q212" s="8">
        <v>10363.120000000001</v>
      </c>
      <c r="R212" s="8">
        <f t="shared" si="22"/>
        <v>14301.105599999999</v>
      </c>
      <c r="S212" s="8">
        <v>9437.7689599999994</v>
      </c>
      <c r="T212" s="8">
        <f t="shared" si="23"/>
        <v>9459.9611519999999</v>
      </c>
    </row>
    <row r="213" spans="1:20" ht="16.5" x14ac:dyDescent="0.3">
      <c r="A213" s="4" t="s">
        <v>484</v>
      </c>
      <c r="B213" s="6">
        <v>45060</v>
      </c>
      <c r="C213" s="14">
        <v>45060</v>
      </c>
      <c r="D213" s="4" t="s">
        <v>1203</v>
      </c>
      <c r="E213" s="8">
        <v>432.01</v>
      </c>
      <c r="F213" s="8">
        <f t="shared" si="18"/>
        <v>496.81149999999997</v>
      </c>
      <c r="G213" s="8">
        <v>913.78</v>
      </c>
      <c r="H213" s="8">
        <v>913.78</v>
      </c>
      <c r="I213" s="8" t="s">
        <v>1469</v>
      </c>
      <c r="J213" s="10">
        <v>4.9000000000000002E-2</v>
      </c>
      <c r="K213" s="10">
        <v>4.9000000000000002E-2</v>
      </c>
      <c r="L213" s="10">
        <f t="shared" si="19"/>
        <v>4.9000000000000002E-2</v>
      </c>
      <c r="M213" s="12">
        <v>12</v>
      </c>
      <c r="N213" s="12">
        <f t="shared" si="20"/>
        <v>14.399999999999999</v>
      </c>
      <c r="O213" s="8">
        <v>10428.057360000001</v>
      </c>
      <c r="P213" s="8">
        <f t="shared" si="21"/>
        <v>12513.668831999998</v>
      </c>
      <c r="Q213" s="8">
        <v>5184.12</v>
      </c>
      <c r="R213" s="8">
        <f t="shared" si="22"/>
        <v>7154.0855999999985</v>
      </c>
      <c r="S213" s="8">
        <v>5243.9373600000008</v>
      </c>
      <c r="T213" s="8">
        <f t="shared" si="23"/>
        <v>5359.583231999999</v>
      </c>
    </row>
    <row r="214" spans="1:20" ht="16.5" x14ac:dyDescent="0.3">
      <c r="A214" s="4" t="s">
        <v>426</v>
      </c>
      <c r="B214" s="6">
        <v>45002</v>
      </c>
      <c r="C214" s="14">
        <v>45002</v>
      </c>
      <c r="D214" s="4" t="s">
        <v>1145</v>
      </c>
      <c r="E214" s="8">
        <v>692.18</v>
      </c>
      <c r="F214" s="8">
        <f t="shared" si="18"/>
        <v>796.00699999999983</v>
      </c>
      <c r="G214" s="8">
        <v>1159.3499999999999</v>
      </c>
      <c r="H214" s="8">
        <v>1159.3499999999999</v>
      </c>
      <c r="I214" s="8" t="s">
        <v>1469</v>
      </c>
      <c r="J214" s="10">
        <v>0.112</v>
      </c>
      <c r="K214" s="10">
        <v>0.112</v>
      </c>
      <c r="L214" s="10">
        <f t="shared" si="19"/>
        <v>0.112</v>
      </c>
      <c r="M214" s="12">
        <v>2</v>
      </c>
      <c r="N214" s="12">
        <f t="shared" si="20"/>
        <v>2.4</v>
      </c>
      <c r="O214" s="8">
        <v>2059.0056</v>
      </c>
      <c r="P214" s="8">
        <f t="shared" si="21"/>
        <v>2470.8067199999996</v>
      </c>
      <c r="Q214" s="8">
        <v>1384.36</v>
      </c>
      <c r="R214" s="8">
        <f t="shared" si="22"/>
        <v>1910.4167999999995</v>
      </c>
      <c r="S214" s="8">
        <v>674.64560000000006</v>
      </c>
      <c r="T214" s="8">
        <f t="shared" si="23"/>
        <v>560.38992000000007</v>
      </c>
    </row>
    <row r="215" spans="1:20" ht="16.5" x14ac:dyDescent="0.3">
      <c r="A215" s="4" t="s">
        <v>30</v>
      </c>
      <c r="B215" s="6">
        <v>45039</v>
      </c>
      <c r="C215" s="14">
        <v>45039</v>
      </c>
      <c r="D215" s="4" t="s">
        <v>749</v>
      </c>
      <c r="E215" s="8">
        <v>756.51</v>
      </c>
      <c r="F215" s="8">
        <f t="shared" si="18"/>
        <v>869.98649999999998</v>
      </c>
      <c r="G215" s="8">
        <v>850.8</v>
      </c>
      <c r="H215" s="8">
        <v>850.8</v>
      </c>
      <c r="I215" s="8" t="s">
        <v>1469</v>
      </c>
      <c r="J215" s="10">
        <v>7.3999999999999996E-2</v>
      </c>
      <c r="K215" s="10">
        <v>7.3999999999999996E-2</v>
      </c>
      <c r="L215" s="10">
        <f t="shared" si="19"/>
        <v>7.3999999999999996E-2</v>
      </c>
      <c r="M215" s="12">
        <v>9</v>
      </c>
      <c r="N215" s="12">
        <f t="shared" si="20"/>
        <v>10.799999999999999</v>
      </c>
      <c r="O215" s="8">
        <v>7090.5672000000004</v>
      </c>
      <c r="P215" s="8">
        <f t="shared" si="21"/>
        <v>8508.6806400000005</v>
      </c>
      <c r="Q215" s="8">
        <v>6808.59</v>
      </c>
      <c r="R215" s="8">
        <f t="shared" si="22"/>
        <v>9395.8541999999979</v>
      </c>
      <c r="S215" s="8">
        <v>281.97720000000027</v>
      </c>
      <c r="T215" s="8">
        <f t="shared" si="23"/>
        <v>-887.17355999999745</v>
      </c>
    </row>
    <row r="216" spans="1:20" ht="16.5" x14ac:dyDescent="0.3">
      <c r="A216" s="4" t="s">
        <v>346</v>
      </c>
      <c r="B216" s="6">
        <v>45168</v>
      </c>
      <c r="C216" s="14">
        <v>45168</v>
      </c>
      <c r="D216" s="4" t="s">
        <v>1066</v>
      </c>
      <c r="E216" s="8">
        <v>1082.25</v>
      </c>
      <c r="F216" s="8">
        <f t="shared" si="18"/>
        <v>1244.5874999999999</v>
      </c>
      <c r="G216" s="8">
        <v>2433.34</v>
      </c>
      <c r="H216" s="8">
        <v>2433.34</v>
      </c>
      <c r="I216" s="8" t="s">
        <v>1470</v>
      </c>
      <c r="J216" s="10">
        <v>0.27</v>
      </c>
      <c r="K216" s="10">
        <v>0.27</v>
      </c>
      <c r="L216" s="10">
        <f t="shared" si="19"/>
        <v>0.25</v>
      </c>
      <c r="M216" s="12">
        <v>4</v>
      </c>
      <c r="N216" s="12">
        <f t="shared" si="20"/>
        <v>4.8</v>
      </c>
      <c r="O216" s="8">
        <v>7105.3528000000006</v>
      </c>
      <c r="P216" s="8">
        <f t="shared" si="21"/>
        <v>8760.0240000000013</v>
      </c>
      <c r="Q216" s="8">
        <v>4329</v>
      </c>
      <c r="R216" s="8">
        <f t="shared" si="22"/>
        <v>5974.0199999999995</v>
      </c>
      <c r="S216" s="8">
        <v>2776.3528000000006</v>
      </c>
      <c r="T216" s="8">
        <f t="shared" si="23"/>
        <v>2786.0040000000017</v>
      </c>
    </row>
    <row r="217" spans="1:20" ht="16.5" x14ac:dyDescent="0.3">
      <c r="A217" s="4" t="s">
        <v>248</v>
      </c>
      <c r="B217" s="6">
        <v>44999</v>
      </c>
      <c r="C217" s="14">
        <v>44999</v>
      </c>
      <c r="D217" s="4" t="s">
        <v>968</v>
      </c>
      <c r="E217" s="8">
        <v>1309.77</v>
      </c>
      <c r="F217" s="8">
        <f t="shared" si="18"/>
        <v>1506.2354999999998</v>
      </c>
      <c r="G217" s="8">
        <v>1589.07</v>
      </c>
      <c r="H217" s="8">
        <v>1589.07</v>
      </c>
      <c r="I217" s="8" t="s">
        <v>1469</v>
      </c>
      <c r="J217" s="10">
        <v>0.10199999999999999</v>
      </c>
      <c r="K217" s="10">
        <v>0.10199999999999999</v>
      </c>
      <c r="L217" s="10">
        <f t="shared" si="19"/>
        <v>0.10199999999999999</v>
      </c>
      <c r="M217" s="12">
        <v>10</v>
      </c>
      <c r="N217" s="12">
        <f t="shared" si="20"/>
        <v>12</v>
      </c>
      <c r="O217" s="8">
        <v>14269.848599999999</v>
      </c>
      <c r="P217" s="8">
        <f t="shared" si="21"/>
        <v>17123.818320000002</v>
      </c>
      <c r="Q217" s="8">
        <v>13097.7</v>
      </c>
      <c r="R217" s="8">
        <f t="shared" si="22"/>
        <v>18074.825999999997</v>
      </c>
      <c r="S217" s="8">
        <v>1172.1485999999986</v>
      </c>
      <c r="T217" s="8">
        <f t="shared" si="23"/>
        <v>-951.00767999999516</v>
      </c>
    </row>
    <row r="218" spans="1:20" ht="16.5" x14ac:dyDescent="0.3">
      <c r="A218" s="4" t="s">
        <v>243</v>
      </c>
      <c r="B218" s="6">
        <v>44992</v>
      </c>
      <c r="C218" s="14">
        <v>44992</v>
      </c>
      <c r="D218" s="4" t="s">
        <v>963</v>
      </c>
      <c r="E218" s="8">
        <v>1024.0999999999999</v>
      </c>
      <c r="F218" s="8">
        <f t="shared" si="18"/>
        <v>1177.7149999999997</v>
      </c>
      <c r="G218" s="8">
        <v>918.19</v>
      </c>
      <c r="H218" s="8">
        <v>918.19</v>
      </c>
      <c r="I218" s="8" t="s">
        <v>1469</v>
      </c>
      <c r="J218" s="10">
        <v>0.189</v>
      </c>
      <c r="K218" s="10">
        <v>0.189</v>
      </c>
      <c r="L218" s="10">
        <f t="shared" si="19"/>
        <v>0.189</v>
      </c>
      <c r="M218" s="12">
        <v>10</v>
      </c>
      <c r="N218" s="12">
        <f t="shared" si="20"/>
        <v>12</v>
      </c>
      <c r="O218" s="8">
        <v>7446.5209000000004</v>
      </c>
      <c r="P218" s="8">
        <f t="shared" si="21"/>
        <v>8935.8250800000005</v>
      </c>
      <c r="Q218" s="8">
        <v>10241</v>
      </c>
      <c r="R218" s="8">
        <f t="shared" si="22"/>
        <v>14132.579999999996</v>
      </c>
      <c r="S218" s="8">
        <v>-2794.4790999999996</v>
      </c>
      <c r="T218" s="8">
        <f t="shared" si="23"/>
        <v>-5196.7549199999958</v>
      </c>
    </row>
    <row r="219" spans="1:20" ht="16.5" x14ac:dyDescent="0.3">
      <c r="A219" s="4" t="s">
        <v>570</v>
      </c>
      <c r="B219" s="6">
        <v>45053</v>
      </c>
      <c r="C219" s="14">
        <v>45053</v>
      </c>
      <c r="D219" s="4" t="s">
        <v>1288</v>
      </c>
      <c r="E219" s="8">
        <v>1443.28</v>
      </c>
      <c r="F219" s="8">
        <f t="shared" si="18"/>
        <v>1659.7719999999999</v>
      </c>
      <c r="G219" s="8">
        <v>2580.5700000000002</v>
      </c>
      <c r="H219" s="8">
        <v>2580.5700000000002</v>
      </c>
      <c r="I219" s="8" t="s">
        <v>1470</v>
      </c>
      <c r="J219" s="10">
        <v>0</v>
      </c>
      <c r="K219" s="10">
        <v>0</v>
      </c>
      <c r="L219" s="10">
        <f t="shared" si="19"/>
        <v>0</v>
      </c>
      <c r="M219" s="12">
        <v>18</v>
      </c>
      <c r="N219" s="12">
        <f t="shared" si="20"/>
        <v>21.599999999999998</v>
      </c>
      <c r="O219" s="8">
        <v>46450.26</v>
      </c>
      <c r="P219" s="8">
        <f t="shared" si="21"/>
        <v>55740.311999999998</v>
      </c>
      <c r="Q219" s="8">
        <v>25979.040000000001</v>
      </c>
      <c r="R219" s="8">
        <f t="shared" si="22"/>
        <v>35851.075199999992</v>
      </c>
      <c r="S219" s="8">
        <v>20471.22</v>
      </c>
      <c r="T219" s="8">
        <f t="shared" si="23"/>
        <v>19889.236800000006</v>
      </c>
    </row>
    <row r="220" spans="1:20" ht="16.5" x14ac:dyDescent="0.3">
      <c r="A220" s="4" t="s">
        <v>557</v>
      </c>
      <c r="B220" s="6">
        <v>44968</v>
      </c>
      <c r="C220" s="14">
        <v>44968</v>
      </c>
      <c r="D220" s="4" t="s">
        <v>1275</v>
      </c>
      <c r="E220" s="8">
        <v>944.61</v>
      </c>
      <c r="F220" s="8">
        <f t="shared" si="18"/>
        <v>1086.3015</v>
      </c>
      <c r="G220" s="8">
        <v>839.04</v>
      </c>
      <c r="H220" s="8">
        <v>839.04</v>
      </c>
      <c r="I220" s="8" t="s">
        <v>1469</v>
      </c>
      <c r="J220" s="10">
        <v>5.8999999999999997E-2</v>
      </c>
      <c r="K220" s="10">
        <v>5.8999999999999997E-2</v>
      </c>
      <c r="L220" s="10">
        <f t="shared" si="19"/>
        <v>5.8999999999999997E-2</v>
      </c>
      <c r="M220" s="12">
        <v>6</v>
      </c>
      <c r="N220" s="12">
        <f t="shared" si="20"/>
        <v>7.1999999999999993</v>
      </c>
      <c r="O220" s="8">
        <v>4737.2198399999997</v>
      </c>
      <c r="P220" s="8">
        <f t="shared" si="21"/>
        <v>5684.6638079999993</v>
      </c>
      <c r="Q220" s="8">
        <v>5667.66</v>
      </c>
      <c r="R220" s="8">
        <f t="shared" si="22"/>
        <v>7821.3707999999997</v>
      </c>
      <c r="S220" s="8">
        <v>-930.44016000000011</v>
      </c>
      <c r="T220" s="8">
        <f t="shared" si="23"/>
        <v>-2136.7069920000004</v>
      </c>
    </row>
    <row r="221" spans="1:20" ht="16.5" x14ac:dyDescent="0.3">
      <c r="A221" s="4" t="s">
        <v>643</v>
      </c>
      <c r="B221" s="6">
        <v>45267</v>
      </c>
      <c r="C221" s="14">
        <v>45267</v>
      </c>
      <c r="D221" s="4" t="s">
        <v>1361</v>
      </c>
      <c r="E221" s="8">
        <v>1071.99</v>
      </c>
      <c r="F221" s="8">
        <f t="shared" si="18"/>
        <v>1232.7884999999999</v>
      </c>
      <c r="G221" s="8">
        <v>2397.3000000000002</v>
      </c>
      <c r="H221" s="8">
        <v>2397.3000000000002</v>
      </c>
      <c r="I221" s="8" t="s">
        <v>1470</v>
      </c>
      <c r="J221" s="10">
        <v>6.2E-2</v>
      </c>
      <c r="K221" s="10">
        <v>6.2E-2</v>
      </c>
      <c r="L221" s="10">
        <f t="shared" si="19"/>
        <v>6.2E-2</v>
      </c>
      <c r="M221" s="12">
        <v>18</v>
      </c>
      <c r="N221" s="12">
        <f t="shared" si="20"/>
        <v>21.599999999999998</v>
      </c>
      <c r="O221" s="8">
        <v>40476.013200000001</v>
      </c>
      <c r="P221" s="8">
        <f t="shared" si="21"/>
        <v>48571.215839999997</v>
      </c>
      <c r="Q221" s="8">
        <v>19295.82</v>
      </c>
      <c r="R221" s="8">
        <f t="shared" si="22"/>
        <v>26628.231599999996</v>
      </c>
      <c r="S221" s="8">
        <v>21180.193200000002</v>
      </c>
      <c r="T221" s="8">
        <f t="shared" si="23"/>
        <v>21942.984240000002</v>
      </c>
    </row>
    <row r="222" spans="1:20" ht="16.5" x14ac:dyDescent="0.3">
      <c r="A222" s="4" t="s">
        <v>252</v>
      </c>
      <c r="B222" s="6">
        <v>45258</v>
      </c>
      <c r="C222" s="14">
        <v>45258</v>
      </c>
      <c r="D222" s="4" t="s">
        <v>972</v>
      </c>
      <c r="E222" s="8">
        <v>699.33</v>
      </c>
      <c r="F222" s="8">
        <f t="shared" si="18"/>
        <v>804.22950000000003</v>
      </c>
      <c r="G222" s="8">
        <v>873.75</v>
      </c>
      <c r="H222" s="8">
        <v>873.75</v>
      </c>
      <c r="I222" s="8" t="s">
        <v>1469</v>
      </c>
      <c r="J222" s="10">
        <v>0.23499999999999999</v>
      </c>
      <c r="K222" s="10">
        <v>0.23499999999999999</v>
      </c>
      <c r="L222" s="10">
        <f t="shared" si="19"/>
        <v>0.23499999999999999</v>
      </c>
      <c r="M222" s="12">
        <v>10</v>
      </c>
      <c r="N222" s="12">
        <f t="shared" si="20"/>
        <v>12</v>
      </c>
      <c r="O222" s="8">
        <v>6684.1875</v>
      </c>
      <c r="P222" s="8">
        <f t="shared" si="21"/>
        <v>8021.0250000000005</v>
      </c>
      <c r="Q222" s="8">
        <v>6993.3</v>
      </c>
      <c r="R222" s="8">
        <f t="shared" si="22"/>
        <v>9650.7540000000008</v>
      </c>
      <c r="S222" s="8">
        <v>-309.11250000000018</v>
      </c>
      <c r="T222" s="8">
        <f t="shared" si="23"/>
        <v>-1629.7290000000003</v>
      </c>
    </row>
    <row r="223" spans="1:20" ht="16.5" x14ac:dyDescent="0.3">
      <c r="A223" s="4" t="s">
        <v>282</v>
      </c>
      <c r="B223" s="6">
        <v>45284</v>
      </c>
      <c r="C223" s="14">
        <v>45284</v>
      </c>
      <c r="D223" s="4" t="s">
        <v>1002</v>
      </c>
      <c r="E223" s="8">
        <v>526.49</v>
      </c>
      <c r="F223" s="8">
        <f t="shared" si="18"/>
        <v>605.46349999999995</v>
      </c>
      <c r="G223" s="8">
        <v>496.2</v>
      </c>
      <c r="H223" s="8">
        <v>496.2</v>
      </c>
      <c r="I223" s="8" t="s">
        <v>1471</v>
      </c>
      <c r="J223" s="10">
        <v>0</v>
      </c>
      <c r="K223" s="10">
        <v>0</v>
      </c>
      <c r="L223" s="10">
        <f t="shared" si="19"/>
        <v>0</v>
      </c>
      <c r="M223" s="12">
        <v>14</v>
      </c>
      <c r="N223" s="12">
        <f t="shared" si="20"/>
        <v>16.8</v>
      </c>
      <c r="O223" s="8">
        <v>6946.8</v>
      </c>
      <c r="P223" s="8">
        <f t="shared" si="21"/>
        <v>8336.16</v>
      </c>
      <c r="Q223" s="8">
        <v>7370.8600000000006</v>
      </c>
      <c r="R223" s="8">
        <f t="shared" si="22"/>
        <v>10171.7868</v>
      </c>
      <c r="S223" s="8">
        <v>-424.0600000000004</v>
      </c>
      <c r="T223" s="8">
        <f t="shared" si="23"/>
        <v>-1835.6268</v>
      </c>
    </row>
    <row r="224" spans="1:20" ht="16.5" x14ac:dyDescent="0.3">
      <c r="A224" s="4" t="s">
        <v>553</v>
      </c>
      <c r="B224" s="6">
        <v>45288</v>
      </c>
      <c r="C224" s="14">
        <v>45288</v>
      </c>
      <c r="D224" s="4" t="s">
        <v>1271</v>
      </c>
      <c r="E224" s="8">
        <v>1141.8</v>
      </c>
      <c r="F224" s="8">
        <f t="shared" si="18"/>
        <v>1313.07</v>
      </c>
      <c r="G224" s="8">
        <v>2318.7399999999998</v>
      </c>
      <c r="H224" s="8">
        <v>2318.7399999999998</v>
      </c>
      <c r="I224" s="8" t="s">
        <v>1470</v>
      </c>
      <c r="J224" s="10">
        <v>0.107</v>
      </c>
      <c r="K224" s="10">
        <v>0.107</v>
      </c>
      <c r="L224" s="10">
        <f t="shared" si="19"/>
        <v>0.107</v>
      </c>
      <c r="M224" s="12">
        <v>32</v>
      </c>
      <c r="N224" s="12">
        <f t="shared" si="20"/>
        <v>38.4</v>
      </c>
      <c r="O224" s="8">
        <v>66260.314239999992</v>
      </c>
      <c r="P224" s="8">
        <f t="shared" si="21"/>
        <v>79512.377087999994</v>
      </c>
      <c r="Q224" s="8">
        <v>36537.599999999999</v>
      </c>
      <c r="R224" s="8">
        <f t="shared" si="22"/>
        <v>50421.887999999999</v>
      </c>
      <c r="S224" s="8">
        <v>29722.714239999994</v>
      </c>
      <c r="T224" s="8">
        <f t="shared" si="23"/>
        <v>29090.489087999995</v>
      </c>
    </row>
    <row r="225" spans="1:20" ht="16.5" x14ac:dyDescent="0.3">
      <c r="A225" s="4" t="s">
        <v>129</v>
      </c>
      <c r="B225" s="6">
        <v>45250</v>
      </c>
      <c r="C225" s="14">
        <v>45250</v>
      </c>
      <c r="D225" s="4" t="s">
        <v>848</v>
      </c>
      <c r="E225" s="8">
        <v>354.24</v>
      </c>
      <c r="F225" s="8">
        <f t="shared" si="18"/>
        <v>407.37599999999998</v>
      </c>
      <c r="G225" s="8">
        <v>249.87</v>
      </c>
      <c r="H225" s="8">
        <v>249.87</v>
      </c>
      <c r="I225" s="8" t="s">
        <v>1471</v>
      </c>
      <c r="J225" s="10">
        <v>0</v>
      </c>
      <c r="K225" s="10">
        <v>0</v>
      </c>
      <c r="L225" s="10">
        <f t="shared" si="19"/>
        <v>0</v>
      </c>
      <c r="M225" s="12">
        <v>6</v>
      </c>
      <c r="N225" s="12">
        <f t="shared" si="20"/>
        <v>7.1999999999999993</v>
      </c>
      <c r="O225" s="8">
        <v>1499.22</v>
      </c>
      <c r="P225" s="8">
        <f t="shared" si="21"/>
        <v>1799.0639999999999</v>
      </c>
      <c r="Q225" s="8">
        <v>2125.44</v>
      </c>
      <c r="R225" s="8">
        <f t="shared" si="22"/>
        <v>2933.1071999999995</v>
      </c>
      <c r="S225" s="8">
        <v>-626.22</v>
      </c>
      <c r="T225" s="8">
        <f t="shared" si="23"/>
        <v>-1134.0431999999996</v>
      </c>
    </row>
    <row r="226" spans="1:20" ht="16.5" x14ac:dyDescent="0.3">
      <c r="A226" s="4" t="s">
        <v>429</v>
      </c>
      <c r="B226" s="6">
        <v>45167</v>
      </c>
      <c r="C226" s="14">
        <v>45167</v>
      </c>
      <c r="D226" s="4" t="s">
        <v>1148</v>
      </c>
      <c r="E226" s="8">
        <v>1287.6400000000001</v>
      </c>
      <c r="F226" s="8">
        <f t="shared" si="18"/>
        <v>1480.7860000000001</v>
      </c>
      <c r="G226" s="8">
        <v>2717.15</v>
      </c>
      <c r="H226" s="8">
        <v>2717.15</v>
      </c>
      <c r="I226" s="8" t="s">
        <v>1470</v>
      </c>
      <c r="J226" s="10">
        <v>3.2000000000000001E-2</v>
      </c>
      <c r="K226" s="10">
        <v>3.2000000000000001E-2</v>
      </c>
      <c r="L226" s="10">
        <f t="shared" si="19"/>
        <v>3.2000000000000001E-2</v>
      </c>
      <c r="M226" s="12">
        <v>7</v>
      </c>
      <c r="N226" s="12">
        <f t="shared" si="20"/>
        <v>8.4</v>
      </c>
      <c r="O226" s="8">
        <v>18411.4084</v>
      </c>
      <c r="P226" s="8">
        <f t="shared" si="21"/>
        <v>22093.69008</v>
      </c>
      <c r="Q226" s="8">
        <v>9013.4800000000014</v>
      </c>
      <c r="R226" s="8">
        <f t="shared" si="22"/>
        <v>12438.602400000002</v>
      </c>
      <c r="S226" s="8">
        <v>9397.9283999999989</v>
      </c>
      <c r="T226" s="8">
        <f t="shared" si="23"/>
        <v>9655.0876799999987</v>
      </c>
    </row>
    <row r="227" spans="1:20" ht="16.5" x14ac:dyDescent="0.3">
      <c r="A227" s="4" t="s">
        <v>193</v>
      </c>
      <c r="B227" s="6">
        <v>45021</v>
      </c>
      <c r="C227" s="14">
        <v>45021</v>
      </c>
      <c r="D227" s="4" t="s">
        <v>912</v>
      </c>
      <c r="E227" s="8">
        <v>213.1</v>
      </c>
      <c r="F227" s="8">
        <f t="shared" si="18"/>
        <v>245.06499999999997</v>
      </c>
      <c r="G227" s="8">
        <v>501.31</v>
      </c>
      <c r="H227" s="8">
        <v>501.31</v>
      </c>
      <c r="I227" s="8" t="s">
        <v>1471</v>
      </c>
      <c r="J227" s="10">
        <v>5.6000000000000001E-2</v>
      </c>
      <c r="K227" s="10">
        <v>5.6000000000000001E-2</v>
      </c>
      <c r="L227" s="10">
        <f t="shared" si="19"/>
        <v>5.6000000000000001E-2</v>
      </c>
      <c r="M227" s="12">
        <v>15</v>
      </c>
      <c r="N227" s="12">
        <f t="shared" si="20"/>
        <v>18</v>
      </c>
      <c r="O227" s="8">
        <v>7098.5495999999994</v>
      </c>
      <c r="P227" s="8">
        <f t="shared" si="21"/>
        <v>8518.2595199999996</v>
      </c>
      <c r="Q227" s="8">
        <v>3196.5</v>
      </c>
      <c r="R227" s="8">
        <f t="shared" si="22"/>
        <v>4411.1699999999992</v>
      </c>
      <c r="S227" s="8">
        <v>3902.0495999999994</v>
      </c>
      <c r="T227" s="8">
        <f t="shared" si="23"/>
        <v>4107.0895200000004</v>
      </c>
    </row>
    <row r="228" spans="1:20" ht="16.5" x14ac:dyDescent="0.3">
      <c r="A228" s="4" t="s">
        <v>411</v>
      </c>
      <c r="B228" s="6">
        <v>45638</v>
      </c>
      <c r="C228" s="14">
        <v>45638</v>
      </c>
      <c r="D228" s="4" t="s">
        <v>1130</v>
      </c>
      <c r="E228" s="8">
        <v>1202.47</v>
      </c>
      <c r="F228" s="8">
        <f t="shared" si="18"/>
        <v>1382.8405</v>
      </c>
      <c r="G228" s="8">
        <v>1444.72</v>
      </c>
      <c r="H228" s="8">
        <v>1444.72</v>
      </c>
      <c r="I228" s="8" t="s">
        <v>1469</v>
      </c>
      <c r="J228" s="10">
        <v>0.24099999999999999</v>
      </c>
      <c r="K228" s="10">
        <v>0.24099999999999999</v>
      </c>
      <c r="L228" s="10">
        <f t="shared" si="19"/>
        <v>0.24099999999999999</v>
      </c>
      <c r="M228" s="12">
        <v>17</v>
      </c>
      <c r="N228" s="12">
        <f t="shared" si="20"/>
        <v>20.399999999999999</v>
      </c>
      <c r="O228" s="8">
        <v>18641.222160000001</v>
      </c>
      <c r="P228" s="8">
        <f t="shared" si="21"/>
        <v>22369.466591999997</v>
      </c>
      <c r="Q228" s="8">
        <v>20441.990000000002</v>
      </c>
      <c r="R228" s="8">
        <f t="shared" si="22"/>
        <v>28209.946199999998</v>
      </c>
      <c r="S228" s="8">
        <v>-1800.7678400000004</v>
      </c>
      <c r="T228" s="8">
        <f t="shared" si="23"/>
        <v>-5840.4796080000015</v>
      </c>
    </row>
    <row r="229" spans="1:20" ht="16.5" x14ac:dyDescent="0.3">
      <c r="A229" s="4" t="s">
        <v>494</v>
      </c>
      <c r="B229" s="6">
        <v>45293</v>
      </c>
      <c r="C229" s="14">
        <v>45293</v>
      </c>
      <c r="D229" s="4" t="s">
        <v>1213</v>
      </c>
      <c r="E229" s="8">
        <v>1219.06</v>
      </c>
      <c r="F229" s="8">
        <f t="shared" si="18"/>
        <v>1401.9189999999999</v>
      </c>
      <c r="G229" s="8">
        <v>2738.69</v>
      </c>
      <c r="H229" s="8">
        <v>2738.69</v>
      </c>
      <c r="I229" s="8" t="s">
        <v>1470</v>
      </c>
      <c r="J229" s="10">
        <v>7.5999999999999998E-2</v>
      </c>
      <c r="K229" s="10">
        <v>7.5999999999999998E-2</v>
      </c>
      <c r="L229" s="10">
        <f t="shared" si="19"/>
        <v>7.5999999999999998E-2</v>
      </c>
      <c r="M229" s="12">
        <v>16</v>
      </c>
      <c r="N229" s="12">
        <f t="shared" si="20"/>
        <v>19.2</v>
      </c>
      <c r="O229" s="8">
        <v>40488.792960000006</v>
      </c>
      <c r="P229" s="8">
        <f t="shared" si="21"/>
        <v>48586.551551999997</v>
      </c>
      <c r="Q229" s="8">
        <v>19504.96</v>
      </c>
      <c r="R229" s="8">
        <f t="shared" si="22"/>
        <v>26916.844799999995</v>
      </c>
      <c r="S229" s="8">
        <v>20983.832960000007</v>
      </c>
      <c r="T229" s="8">
        <f t="shared" si="23"/>
        <v>21669.706752000002</v>
      </c>
    </row>
    <row r="230" spans="1:20" ht="16.5" x14ac:dyDescent="0.3">
      <c r="A230" s="4" t="s">
        <v>351</v>
      </c>
      <c r="B230" s="6">
        <v>45340</v>
      </c>
      <c r="C230" s="14">
        <v>45340</v>
      </c>
      <c r="D230" s="4" t="s">
        <v>1071</v>
      </c>
      <c r="E230" s="8">
        <v>624.23</v>
      </c>
      <c r="F230" s="8">
        <f t="shared" si="18"/>
        <v>717.86450000000002</v>
      </c>
      <c r="G230" s="8">
        <v>1318.37</v>
      </c>
      <c r="H230" s="8">
        <v>1318.37</v>
      </c>
      <c r="I230" s="8" t="s">
        <v>1469</v>
      </c>
      <c r="J230" s="10">
        <v>0.21</v>
      </c>
      <c r="K230" s="10">
        <v>0.21</v>
      </c>
      <c r="L230" s="10">
        <f t="shared" si="19"/>
        <v>0.21</v>
      </c>
      <c r="M230" s="12">
        <v>37</v>
      </c>
      <c r="N230" s="12">
        <f t="shared" si="20"/>
        <v>44.4</v>
      </c>
      <c r="O230" s="8">
        <v>38535.955099999999</v>
      </c>
      <c r="P230" s="8">
        <f t="shared" si="21"/>
        <v>46243.14611999999</v>
      </c>
      <c r="Q230" s="8">
        <v>23096.510000000002</v>
      </c>
      <c r="R230" s="8">
        <f t="shared" si="22"/>
        <v>31873.183799999999</v>
      </c>
      <c r="S230" s="8">
        <v>15439.445099999997</v>
      </c>
      <c r="T230" s="8">
        <f t="shared" si="23"/>
        <v>14369.962319999991</v>
      </c>
    </row>
    <row r="231" spans="1:20" ht="16.5" x14ac:dyDescent="0.3">
      <c r="A231" s="4" t="s">
        <v>179</v>
      </c>
      <c r="B231" s="6">
        <v>45447</v>
      </c>
      <c r="C231" s="14">
        <v>45447</v>
      </c>
      <c r="D231" s="4" t="s">
        <v>898</v>
      </c>
      <c r="E231" s="8">
        <v>918.42</v>
      </c>
      <c r="F231" s="8">
        <f t="shared" si="18"/>
        <v>1056.1829999999998</v>
      </c>
      <c r="G231" s="8">
        <v>1511.71</v>
      </c>
      <c r="H231" s="8">
        <v>1511.71</v>
      </c>
      <c r="I231" s="8" t="s">
        <v>1469</v>
      </c>
      <c r="J231" s="10">
        <v>0.02</v>
      </c>
      <c r="K231" s="10">
        <v>0.02</v>
      </c>
      <c r="L231" s="10">
        <f t="shared" si="19"/>
        <v>0.02</v>
      </c>
      <c r="M231" s="12">
        <v>8</v>
      </c>
      <c r="N231" s="12">
        <f t="shared" si="20"/>
        <v>9.6</v>
      </c>
      <c r="O231" s="8">
        <v>11851.806399999999</v>
      </c>
      <c r="P231" s="8">
        <f t="shared" si="21"/>
        <v>14222.167679999999</v>
      </c>
      <c r="Q231" s="8">
        <v>7347.36</v>
      </c>
      <c r="R231" s="8">
        <f t="shared" si="22"/>
        <v>10139.356799999998</v>
      </c>
      <c r="S231" s="8">
        <v>4504.4463999999998</v>
      </c>
      <c r="T231" s="8">
        <f t="shared" si="23"/>
        <v>4082.8108800000009</v>
      </c>
    </row>
    <row r="232" spans="1:20" ht="16.5" x14ac:dyDescent="0.3">
      <c r="A232" s="4" t="s">
        <v>170</v>
      </c>
      <c r="B232" s="6">
        <v>45511</v>
      </c>
      <c r="C232" s="14">
        <v>45511</v>
      </c>
      <c r="D232" s="4" t="s">
        <v>889</v>
      </c>
      <c r="E232" s="8">
        <v>436.58</v>
      </c>
      <c r="F232" s="8">
        <f t="shared" si="18"/>
        <v>502.06699999999995</v>
      </c>
      <c r="G232" s="8">
        <v>527.48</v>
      </c>
      <c r="H232" s="8">
        <v>527.48</v>
      </c>
      <c r="I232" s="8" t="s">
        <v>1471</v>
      </c>
      <c r="J232" s="10">
        <v>0.111</v>
      </c>
      <c r="K232" s="10">
        <v>0.111</v>
      </c>
      <c r="L232" s="10">
        <f t="shared" si="19"/>
        <v>0.111</v>
      </c>
      <c r="M232" s="12">
        <v>19</v>
      </c>
      <c r="N232" s="12">
        <f t="shared" si="20"/>
        <v>22.8</v>
      </c>
      <c r="O232" s="8">
        <v>8909.6646800000017</v>
      </c>
      <c r="P232" s="8">
        <f t="shared" si="21"/>
        <v>10691.597616000001</v>
      </c>
      <c r="Q232" s="8">
        <v>8295.02</v>
      </c>
      <c r="R232" s="8">
        <f t="shared" si="22"/>
        <v>11447.1276</v>
      </c>
      <c r="S232" s="8">
        <v>614.64468000000124</v>
      </c>
      <c r="T232" s="8">
        <f t="shared" si="23"/>
        <v>-755.52998399999888</v>
      </c>
    </row>
    <row r="233" spans="1:20" ht="16.5" x14ac:dyDescent="0.3">
      <c r="A233" s="4" t="s">
        <v>564</v>
      </c>
      <c r="B233" s="6">
        <v>45633</v>
      </c>
      <c r="C233" s="14">
        <v>45633</v>
      </c>
      <c r="D233" s="4" t="s">
        <v>1282</v>
      </c>
      <c r="E233" s="8">
        <v>1035.24</v>
      </c>
      <c r="F233" s="8">
        <f t="shared" si="18"/>
        <v>1190.5259999999998</v>
      </c>
      <c r="G233" s="8">
        <v>2383.41</v>
      </c>
      <c r="H233" s="8">
        <v>2383.41</v>
      </c>
      <c r="I233" s="8" t="s">
        <v>1470</v>
      </c>
      <c r="J233" s="10">
        <v>0.17</v>
      </c>
      <c r="K233" s="10">
        <v>0.17</v>
      </c>
      <c r="L233" s="10">
        <f t="shared" si="19"/>
        <v>0.17</v>
      </c>
      <c r="M233" s="12">
        <v>15</v>
      </c>
      <c r="N233" s="12">
        <f t="shared" si="20"/>
        <v>18</v>
      </c>
      <c r="O233" s="8">
        <v>29673.454499999993</v>
      </c>
      <c r="P233" s="8">
        <f t="shared" si="21"/>
        <v>35608.145399999994</v>
      </c>
      <c r="Q233" s="8">
        <v>15528.6</v>
      </c>
      <c r="R233" s="8">
        <f t="shared" si="22"/>
        <v>21429.467999999997</v>
      </c>
      <c r="S233" s="8">
        <v>14144.854499999992</v>
      </c>
      <c r="T233" s="8">
        <f t="shared" si="23"/>
        <v>14178.677399999997</v>
      </c>
    </row>
    <row r="234" spans="1:20" ht="16.5" x14ac:dyDescent="0.3">
      <c r="A234" s="4" t="s">
        <v>340</v>
      </c>
      <c r="B234" s="6">
        <v>45303</v>
      </c>
      <c r="C234" s="14">
        <v>45303</v>
      </c>
      <c r="D234" s="4" t="s">
        <v>1060</v>
      </c>
      <c r="E234" s="8">
        <v>310.02</v>
      </c>
      <c r="F234" s="8">
        <f t="shared" si="18"/>
        <v>356.52299999999997</v>
      </c>
      <c r="G234" s="8">
        <v>619.51</v>
      </c>
      <c r="H234" s="8">
        <v>619.51</v>
      </c>
      <c r="I234" s="8" t="s">
        <v>1471</v>
      </c>
      <c r="J234" s="10">
        <v>4.2000000000000003E-2</v>
      </c>
      <c r="K234" s="10">
        <v>4.2000000000000003E-2</v>
      </c>
      <c r="L234" s="10">
        <f t="shared" si="19"/>
        <v>4.2000000000000003E-2</v>
      </c>
      <c r="M234" s="12">
        <v>4</v>
      </c>
      <c r="N234" s="12">
        <f t="shared" si="20"/>
        <v>4.8</v>
      </c>
      <c r="O234" s="8">
        <v>2373.9623200000001</v>
      </c>
      <c r="P234" s="8">
        <f t="shared" si="21"/>
        <v>2848.7547839999997</v>
      </c>
      <c r="Q234" s="8">
        <v>1240.08</v>
      </c>
      <c r="R234" s="8">
        <f t="shared" si="22"/>
        <v>1711.3103999999998</v>
      </c>
      <c r="S234" s="8">
        <v>1133.8823200000002</v>
      </c>
      <c r="T234" s="8">
        <f t="shared" si="23"/>
        <v>1137.4443839999999</v>
      </c>
    </row>
    <row r="235" spans="1:20" ht="16.5" x14ac:dyDescent="0.3">
      <c r="A235" s="4" t="s">
        <v>120</v>
      </c>
      <c r="B235" s="6">
        <v>45433</v>
      </c>
      <c r="C235" s="14">
        <v>45433</v>
      </c>
      <c r="D235" s="4" t="s">
        <v>839</v>
      </c>
      <c r="E235" s="8">
        <v>1157.51</v>
      </c>
      <c r="F235" s="8">
        <f t="shared" si="18"/>
        <v>1331.1364999999998</v>
      </c>
      <c r="G235" s="8">
        <v>1394.3</v>
      </c>
      <c r="H235" s="8">
        <v>1394.3</v>
      </c>
      <c r="I235" s="8" t="s">
        <v>1469</v>
      </c>
      <c r="J235" s="10">
        <v>0.27800000000000002</v>
      </c>
      <c r="K235" s="10">
        <v>0.27800000000000002</v>
      </c>
      <c r="L235" s="10">
        <f t="shared" si="19"/>
        <v>0.25</v>
      </c>
      <c r="M235" s="12">
        <v>12</v>
      </c>
      <c r="N235" s="12">
        <f t="shared" si="20"/>
        <v>14.399999999999999</v>
      </c>
      <c r="O235" s="8">
        <v>12080.215199999999</v>
      </c>
      <c r="P235" s="8">
        <f t="shared" si="21"/>
        <v>15058.439999999999</v>
      </c>
      <c r="Q235" s="8">
        <v>13890.119999999999</v>
      </c>
      <c r="R235" s="8">
        <f t="shared" si="22"/>
        <v>19168.365599999997</v>
      </c>
      <c r="S235" s="8">
        <v>-1809.9048000000003</v>
      </c>
      <c r="T235" s="8">
        <f t="shared" si="23"/>
        <v>-4109.9255999999987</v>
      </c>
    </row>
    <row r="236" spans="1:20" ht="16.5" x14ac:dyDescent="0.3">
      <c r="A236" s="4" t="s">
        <v>149</v>
      </c>
      <c r="B236" s="6">
        <v>45647</v>
      </c>
      <c r="C236" s="14">
        <v>45647</v>
      </c>
      <c r="D236" s="4" t="s">
        <v>868</v>
      </c>
      <c r="E236" s="8">
        <v>699.57</v>
      </c>
      <c r="F236" s="8">
        <f t="shared" si="18"/>
        <v>804.50549999999998</v>
      </c>
      <c r="G236" s="8">
        <v>572.71</v>
      </c>
      <c r="H236" s="8">
        <v>572.71</v>
      </c>
      <c r="I236" s="8" t="s">
        <v>1471</v>
      </c>
      <c r="J236" s="10">
        <v>0.192</v>
      </c>
      <c r="K236" s="10">
        <v>0.192</v>
      </c>
      <c r="L236" s="10">
        <f t="shared" si="19"/>
        <v>0.192</v>
      </c>
      <c r="M236" s="12">
        <v>26</v>
      </c>
      <c r="N236" s="12">
        <f t="shared" si="20"/>
        <v>31.2</v>
      </c>
      <c r="O236" s="8">
        <v>12031.491680000001</v>
      </c>
      <c r="P236" s="8">
        <f t="shared" si="21"/>
        <v>14437.790016000001</v>
      </c>
      <c r="Q236" s="8">
        <v>18188.82</v>
      </c>
      <c r="R236" s="8">
        <f t="shared" si="22"/>
        <v>25100.571599999999</v>
      </c>
      <c r="S236" s="8">
        <v>-6157.3283199999987</v>
      </c>
      <c r="T236" s="8">
        <f t="shared" si="23"/>
        <v>-10662.781583999998</v>
      </c>
    </row>
    <row r="237" spans="1:20" ht="16.5" x14ac:dyDescent="0.3">
      <c r="A237" s="4" t="s">
        <v>324</v>
      </c>
      <c r="B237" s="6">
        <v>45655</v>
      </c>
      <c r="C237" s="14">
        <v>45655</v>
      </c>
      <c r="D237" s="4" t="s">
        <v>1044</v>
      </c>
      <c r="E237" s="8">
        <v>1399.72</v>
      </c>
      <c r="F237" s="8">
        <f t="shared" si="18"/>
        <v>1609.6779999999999</v>
      </c>
      <c r="G237" s="8">
        <v>3149.21</v>
      </c>
      <c r="H237" s="8">
        <v>3149.21</v>
      </c>
      <c r="I237" s="8" t="s">
        <v>1470</v>
      </c>
      <c r="J237" s="10">
        <v>0.185</v>
      </c>
      <c r="K237" s="10">
        <v>0.185</v>
      </c>
      <c r="L237" s="10">
        <f t="shared" si="19"/>
        <v>0.185</v>
      </c>
      <c r="M237" s="12">
        <v>12</v>
      </c>
      <c r="N237" s="12">
        <f t="shared" si="20"/>
        <v>14.399999999999999</v>
      </c>
      <c r="O237" s="8">
        <v>30799.273800000003</v>
      </c>
      <c r="P237" s="8">
        <f t="shared" si="21"/>
        <v>36959.128559999997</v>
      </c>
      <c r="Q237" s="8">
        <v>16796.64</v>
      </c>
      <c r="R237" s="8">
        <f t="shared" si="22"/>
        <v>23179.363199999996</v>
      </c>
      <c r="S237" s="8">
        <v>14002.633800000003</v>
      </c>
      <c r="T237" s="8">
        <f t="shared" si="23"/>
        <v>13779.765360000001</v>
      </c>
    </row>
    <row r="238" spans="1:20" ht="16.5" x14ac:dyDescent="0.3">
      <c r="A238" s="4" t="s">
        <v>124</v>
      </c>
      <c r="B238" s="6">
        <v>45445</v>
      </c>
      <c r="C238" s="14">
        <v>45445</v>
      </c>
      <c r="D238" s="4" t="s">
        <v>843</v>
      </c>
      <c r="E238" s="8">
        <v>292.94</v>
      </c>
      <c r="F238" s="8">
        <f t="shared" si="18"/>
        <v>336.88099999999997</v>
      </c>
      <c r="G238" s="8">
        <v>356.55</v>
      </c>
      <c r="H238" s="8">
        <v>356.55</v>
      </c>
      <c r="I238" s="8" t="s">
        <v>1471</v>
      </c>
      <c r="J238" s="10">
        <v>0.22900000000000001</v>
      </c>
      <c r="K238" s="10">
        <v>0.22900000000000001</v>
      </c>
      <c r="L238" s="10">
        <f t="shared" si="19"/>
        <v>0.22900000000000001</v>
      </c>
      <c r="M238" s="12">
        <v>2</v>
      </c>
      <c r="N238" s="12">
        <f t="shared" si="20"/>
        <v>2.4</v>
      </c>
      <c r="O238" s="8">
        <v>549.80010000000004</v>
      </c>
      <c r="P238" s="8">
        <f t="shared" si="21"/>
        <v>659.76012000000003</v>
      </c>
      <c r="Q238" s="8">
        <v>585.88</v>
      </c>
      <c r="R238" s="8">
        <f t="shared" si="22"/>
        <v>808.51439999999991</v>
      </c>
      <c r="S238" s="8">
        <v>-36.079899999999952</v>
      </c>
      <c r="T238" s="8">
        <f t="shared" si="23"/>
        <v>-148.75427999999988</v>
      </c>
    </row>
    <row r="239" spans="1:20" ht="16.5" x14ac:dyDescent="0.3">
      <c r="A239" s="4" t="s">
        <v>49</v>
      </c>
      <c r="B239" s="6">
        <v>45527</v>
      </c>
      <c r="C239" s="14">
        <v>45527</v>
      </c>
      <c r="D239" s="4" t="s">
        <v>768</v>
      </c>
      <c r="E239" s="8">
        <v>1432.52</v>
      </c>
      <c r="F239" s="8">
        <f t="shared" si="18"/>
        <v>1647.3979999999999</v>
      </c>
      <c r="G239" s="8">
        <v>3036.87</v>
      </c>
      <c r="H239" s="8">
        <v>3036.87</v>
      </c>
      <c r="I239" s="8" t="s">
        <v>1470</v>
      </c>
      <c r="J239" s="10">
        <v>0</v>
      </c>
      <c r="K239" s="10">
        <v>0</v>
      </c>
      <c r="L239" s="10">
        <f t="shared" si="19"/>
        <v>0</v>
      </c>
      <c r="M239" s="12">
        <v>9</v>
      </c>
      <c r="N239" s="12">
        <f t="shared" si="20"/>
        <v>10.799999999999999</v>
      </c>
      <c r="O239" s="8">
        <v>27331.829999999998</v>
      </c>
      <c r="P239" s="8">
        <f t="shared" si="21"/>
        <v>32798.195999999996</v>
      </c>
      <c r="Q239" s="8">
        <v>12892.68</v>
      </c>
      <c r="R239" s="8">
        <f t="shared" si="22"/>
        <v>17791.898399999998</v>
      </c>
      <c r="S239" s="8">
        <v>14439.149999999998</v>
      </c>
      <c r="T239" s="8">
        <f t="shared" si="23"/>
        <v>15006.297599999998</v>
      </c>
    </row>
    <row r="240" spans="1:20" ht="16.5" x14ac:dyDescent="0.3">
      <c r="A240" s="4" t="s">
        <v>416</v>
      </c>
      <c r="B240" s="6">
        <v>45601</v>
      </c>
      <c r="C240" s="14">
        <v>45601</v>
      </c>
      <c r="D240" s="4" t="s">
        <v>1135</v>
      </c>
      <c r="E240" s="8">
        <v>1020.4</v>
      </c>
      <c r="F240" s="8">
        <f t="shared" si="18"/>
        <v>1173.4599999999998</v>
      </c>
      <c r="G240" s="8">
        <v>1184.71</v>
      </c>
      <c r="H240" s="8">
        <v>1184.71</v>
      </c>
      <c r="I240" s="8" t="s">
        <v>1469</v>
      </c>
      <c r="J240" s="10">
        <v>0.106</v>
      </c>
      <c r="K240" s="10">
        <v>0.106</v>
      </c>
      <c r="L240" s="10">
        <f t="shared" si="19"/>
        <v>0.106</v>
      </c>
      <c r="M240" s="12">
        <v>16</v>
      </c>
      <c r="N240" s="12">
        <f t="shared" si="20"/>
        <v>19.2</v>
      </c>
      <c r="O240" s="8">
        <v>16946.091840000001</v>
      </c>
      <c r="P240" s="8">
        <f t="shared" si="21"/>
        <v>20335.310208000003</v>
      </c>
      <c r="Q240" s="8">
        <v>16326.4</v>
      </c>
      <c r="R240" s="8">
        <f t="shared" si="22"/>
        <v>22530.431999999997</v>
      </c>
      <c r="S240" s="8">
        <v>619.69184000000132</v>
      </c>
      <c r="T240" s="8">
        <f t="shared" si="23"/>
        <v>-2195.1217919999945</v>
      </c>
    </row>
    <row r="241" spans="1:20" ht="16.5" x14ac:dyDescent="0.3">
      <c r="A241" s="4" t="s">
        <v>45</v>
      </c>
      <c r="B241" s="6">
        <v>45653</v>
      </c>
      <c r="C241" s="14">
        <v>45653</v>
      </c>
      <c r="D241" s="4" t="s">
        <v>764</v>
      </c>
      <c r="E241" s="8">
        <v>495.59</v>
      </c>
      <c r="F241" s="8">
        <f t="shared" si="18"/>
        <v>569.92849999999987</v>
      </c>
      <c r="G241" s="8">
        <v>631.78</v>
      </c>
      <c r="H241" s="8">
        <v>631.78</v>
      </c>
      <c r="I241" s="8" t="s">
        <v>1471</v>
      </c>
      <c r="J241" s="10">
        <v>8.6999999999999994E-2</v>
      </c>
      <c r="K241" s="10">
        <v>8.6999999999999994E-2</v>
      </c>
      <c r="L241" s="10">
        <f t="shared" si="19"/>
        <v>8.6999999999999994E-2</v>
      </c>
      <c r="M241" s="12">
        <v>17</v>
      </c>
      <c r="N241" s="12">
        <f t="shared" si="20"/>
        <v>20.399999999999999</v>
      </c>
      <c r="O241" s="8">
        <v>9805.8573800000013</v>
      </c>
      <c r="P241" s="8">
        <f t="shared" si="21"/>
        <v>11767.028855999999</v>
      </c>
      <c r="Q241" s="8">
        <v>8425.0299999999988</v>
      </c>
      <c r="R241" s="8">
        <f t="shared" si="22"/>
        <v>11626.541399999996</v>
      </c>
      <c r="S241" s="8">
        <v>1380.8273800000024</v>
      </c>
      <c r="T241" s="8">
        <f t="shared" si="23"/>
        <v>140.48745600000257</v>
      </c>
    </row>
    <row r="242" spans="1:20" ht="16.5" x14ac:dyDescent="0.3">
      <c r="A242" s="4" t="s">
        <v>94</v>
      </c>
      <c r="B242" s="6">
        <v>45617</v>
      </c>
      <c r="C242" s="14">
        <v>45617</v>
      </c>
      <c r="D242" s="4" t="s">
        <v>813</v>
      </c>
      <c r="E242" s="8">
        <v>1122.68</v>
      </c>
      <c r="F242" s="8">
        <f t="shared" si="18"/>
        <v>1291.0819999999999</v>
      </c>
      <c r="G242" s="8">
        <v>1997.19</v>
      </c>
      <c r="H242" s="8">
        <v>1997.19</v>
      </c>
      <c r="I242" s="8" t="s">
        <v>1470</v>
      </c>
      <c r="J242" s="10">
        <v>0.186</v>
      </c>
      <c r="K242" s="10">
        <v>0.186</v>
      </c>
      <c r="L242" s="10">
        <f t="shared" si="19"/>
        <v>0.186</v>
      </c>
      <c r="M242" s="12">
        <v>3</v>
      </c>
      <c r="N242" s="12">
        <f t="shared" si="20"/>
        <v>3.5999999999999996</v>
      </c>
      <c r="O242" s="8">
        <v>4877.1379800000004</v>
      </c>
      <c r="P242" s="8">
        <f t="shared" si="21"/>
        <v>5852.565576</v>
      </c>
      <c r="Q242" s="8">
        <v>3368.04</v>
      </c>
      <c r="R242" s="8">
        <f t="shared" si="22"/>
        <v>4647.895199999999</v>
      </c>
      <c r="S242" s="8">
        <v>1509.0979800000005</v>
      </c>
      <c r="T242" s="8">
        <f t="shared" si="23"/>
        <v>1204.6703760000009</v>
      </c>
    </row>
    <row r="243" spans="1:20" ht="16.5" x14ac:dyDescent="0.3">
      <c r="A243" s="4" t="s">
        <v>229</v>
      </c>
      <c r="B243" s="6">
        <v>45351</v>
      </c>
      <c r="C243" s="14">
        <v>45351</v>
      </c>
      <c r="D243" s="4" t="s">
        <v>949</v>
      </c>
      <c r="E243" s="8">
        <v>231.11</v>
      </c>
      <c r="F243" s="8">
        <f t="shared" si="18"/>
        <v>265.7765</v>
      </c>
      <c r="G243" s="8">
        <v>318.17</v>
      </c>
      <c r="H243" s="8">
        <v>318.17</v>
      </c>
      <c r="I243" s="8" t="s">
        <v>1471</v>
      </c>
      <c r="J243" s="10">
        <v>0.20100000000000001</v>
      </c>
      <c r="K243" s="10">
        <v>0.20100000000000001</v>
      </c>
      <c r="L243" s="10">
        <f t="shared" si="19"/>
        <v>0.20100000000000001</v>
      </c>
      <c r="M243" s="12">
        <v>60</v>
      </c>
      <c r="N243" s="12">
        <f t="shared" si="20"/>
        <v>72</v>
      </c>
      <c r="O243" s="8">
        <v>15253.069799999999</v>
      </c>
      <c r="P243" s="8">
        <f t="shared" si="21"/>
        <v>18303.68376</v>
      </c>
      <c r="Q243" s="8">
        <v>13866.6</v>
      </c>
      <c r="R243" s="8">
        <f t="shared" si="22"/>
        <v>19135.907999999999</v>
      </c>
      <c r="S243" s="8">
        <v>1386.4697999999989</v>
      </c>
      <c r="T243" s="8">
        <f t="shared" si="23"/>
        <v>-832.22423999999955</v>
      </c>
    </row>
    <row r="244" spans="1:20" ht="16.5" x14ac:dyDescent="0.3">
      <c r="A244" s="4" t="s">
        <v>168</v>
      </c>
      <c r="B244" s="6">
        <v>45340</v>
      </c>
      <c r="C244" s="14">
        <v>45340</v>
      </c>
      <c r="D244" s="4" t="s">
        <v>887</v>
      </c>
      <c r="E244" s="8">
        <v>928.68</v>
      </c>
      <c r="F244" s="8">
        <f t="shared" si="18"/>
        <v>1067.982</v>
      </c>
      <c r="G244" s="8">
        <v>2145.17</v>
      </c>
      <c r="H244" s="8">
        <v>2145.17</v>
      </c>
      <c r="I244" s="8" t="s">
        <v>1470</v>
      </c>
      <c r="J244" s="10">
        <v>0.13600000000000001</v>
      </c>
      <c r="K244" s="10">
        <v>0.13600000000000001</v>
      </c>
      <c r="L244" s="10">
        <f t="shared" si="19"/>
        <v>0.13600000000000001</v>
      </c>
      <c r="M244" s="12">
        <v>16</v>
      </c>
      <c r="N244" s="12">
        <f t="shared" si="20"/>
        <v>19.2</v>
      </c>
      <c r="O244" s="8">
        <v>29654.83008</v>
      </c>
      <c r="P244" s="8">
        <f t="shared" si="21"/>
        <v>35585.796096000005</v>
      </c>
      <c r="Q244" s="8">
        <v>14858.88</v>
      </c>
      <c r="R244" s="8">
        <f t="shared" si="22"/>
        <v>20505.254399999998</v>
      </c>
      <c r="S244" s="8">
        <v>14795.950080000001</v>
      </c>
      <c r="T244" s="8">
        <f t="shared" si="23"/>
        <v>15080.541696000008</v>
      </c>
    </row>
    <row r="245" spans="1:20" ht="16.5" x14ac:dyDescent="0.3">
      <c r="A245" s="4" t="s">
        <v>473</v>
      </c>
      <c r="B245" s="6">
        <v>45417</v>
      </c>
      <c r="C245" s="14">
        <v>45417</v>
      </c>
      <c r="D245" s="4" t="s">
        <v>1192</v>
      </c>
      <c r="E245" s="8">
        <v>1264.04</v>
      </c>
      <c r="F245" s="8">
        <f t="shared" si="18"/>
        <v>1453.646</v>
      </c>
      <c r="G245" s="8">
        <v>1870.89</v>
      </c>
      <c r="H245" s="8">
        <v>1870.89</v>
      </c>
      <c r="I245" s="8" t="s">
        <v>1470</v>
      </c>
      <c r="J245" s="10">
        <v>0</v>
      </c>
      <c r="K245" s="10">
        <v>0</v>
      </c>
      <c r="L245" s="10">
        <f t="shared" si="19"/>
        <v>0</v>
      </c>
      <c r="M245" s="12">
        <v>13</v>
      </c>
      <c r="N245" s="12">
        <f t="shared" si="20"/>
        <v>15.6</v>
      </c>
      <c r="O245" s="8">
        <v>24321.57</v>
      </c>
      <c r="P245" s="8">
        <f t="shared" si="21"/>
        <v>29185.884000000002</v>
      </c>
      <c r="Q245" s="8">
        <v>16432.52</v>
      </c>
      <c r="R245" s="8">
        <f t="shared" si="22"/>
        <v>22676.8776</v>
      </c>
      <c r="S245" s="8">
        <v>7889.0499999999993</v>
      </c>
      <c r="T245" s="8">
        <f t="shared" si="23"/>
        <v>6509.006400000002</v>
      </c>
    </row>
    <row r="246" spans="1:20" ht="16.5" x14ac:dyDescent="0.3">
      <c r="A246" s="4" t="s">
        <v>563</v>
      </c>
      <c r="B246" s="6">
        <v>45486</v>
      </c>
      <c r="C246" s="14">
        <v>45486</v>
      </c>
      <c r="D246" s="4" t="s">
        <v>1281</v>
      </c>
      <c r="E246" s="8">
        <v>702.98</v>
      </c>
      <c r="F246" s="8">
        <f t="shared" si="18"/>
        <v>808.42699999999991</v>
      </c>
      <c r="G246" s="8">
        <v>1104.8</v>
      </c>
      <c r="H246" s="8">
        <v>1104.8</v>
      </c>
      <c r="I246" s="8" t="s">
        <v>1469</v>
      </c>
      <c r="J246" s="10">
        <v>0.17499999999999999</v>
      </c>
      <c r="K246" s="10">
        <v>0.17499999999999999</v>
      </c>
      <c r="L246" s="10">
        <f t="shared" si="19"/>
        <v>0.17499999999999999</v>
      </c>
      <c r="M246" s="12">
        <v>12</v>
      </c>
      <c r="N246" s="12">
        <f t="shared" si="20"/>
        <v>14.399999999999999</v>
      </c>
      <c r="O246" s="8">
        <v>10937.519999999999</v>
      </c>
      <c r="P246" s="8">
        <f t="shared" si="21"/>
        <v>13125.023999999998</v>
      </c>
      <c r="Q246" s="8">
        <v>8435.76</v>
      </c>
      <c r="R246" s="8">
        <f t="shared" si="22"/>
        <v>11641.348799999998</v>
      </c>
      <c r="S246" s="8">
        <v>2501.7599999999984</v>
      </c>
      <c r="T246" s="8">
        <f t="shared" si="23"/>
        <v>1483.6751999999997</v>
      </c>
    </row>
    <row r="247" spans="1:20" ht="16.5" x14ac:dyDescent="0.3">
      <c r="A247" s="4" t="s">
        <v>31</v>
      </c>
      <c r="B247" s="6">
        <v>45636</v>
      </c>
      <c r="C247" s="14">
        <v>45636</v>
      </c>
      <c r="D247" s="4" t="s">
        <v>750</v>
      </c>
      <c r="E247" s="8">
        <v>891.08</v>
      </c>
      <c r="F247" s="8">
        <f t="shared" si="18"/>
        <v>1024.742</v>
      </c>
      <c r="G247" s="8">
        <v>1040.0999999999999</v>
      </c>
      <c r="H247" s="8">
        <v>1040.0999999999999</v>
      </c>
      <c r="I247" s="8" t="s">
        <v>1469</v>
      </c>
      <c r="J247" s="10">
        <v>0.109</v>
      </c>
      <c r="K247" s="10">
        <v>0.109</v>
      </c>
      <c r="L247" s="10">
        <f t="shared" si="19"/>
        <v>0.109</v>
      </c>
      <c r="M247" s="12">
        <v>28</v>
      </c>
      <c r="N247" s="12">
        <f t="shared" si="20"/>
        <v>33.6</v>
      </c>
      <c r="O247" s="8">
        <v>25948.414799999995</v>
      </c>
      <c r="P247" s="8">
        <f t="shared" si="21"/>
        <v>31138.097760000001</v>
      </c>
      <c r="Q247" s="8">
        <v>24950.240000000002</v>
      </c>
      <c r="R247" s="8">
        <f t="shared" si="22"/>
        <v>34431.331200000001</v>
      </c>
      <c r="S247" s="8">
        <v>998.17479999999341</v>
      </c>
      <c r="T247" s="8">
        <f t="shared" si="23"/>
        <v>-3293.23344</v>
      </c>
    </row>
    <row r="248" spans="1:20" ht="16.5" x14ac:dyDescent="0.3">
      <c r="A248" s="4" t="s">
        <v>337</v>
      </c>
      <c r="B248" s="6">
        <v>45340</v>
      </c>
      <c r="C248" s="14">
        <v>45340</v>
      </c>
      <c r="D248" s="4" t="s">
        <v>1057</v>
      </c>
      <c r="E248" s="8">
        <v>80.48</v>
      </c>
      <c r="F248" s="8">
        <f t="shared" si="18"/>
        <v>92.551999999999992</v>
      </c>
      <c r="G248" s="8">
        <v>65.650000000000006</v>
      </c>
      <c r="H248" s="8">
        <v>65.650000000000006</v>
      </c>
      <c r="I248" s="8" t="s">
        <v>1471</v>
      </c>
      <c r="J248" s="10">
        <v>0.17599999999999999</v>
      </c>
      <c r="K248" s="10">
        <v>0.17599999999999999</v>
      </c>
      <c r="L248" s="10">
        <f t="shared" si="19"/>
        <v>0.17599999999999999</v>
      </c>
      <c r="M248" s="12">
        <v>13</v>
      </c>
      <c r="N248" s="12">
        <f t="shared" si="20"/>
        <v>15.6</v>
      </c>
      <c r="O248" s="8">
        <v>703.2428000000001</v>
      </c>
      <c r="P248" s="8">
        <f t="shared" si="21"/>
        <v>843.89136000000019</v>
      </c>
      <c r="Q248" s="8">
        <v>1046.24</v>
      </c>
      <c r="R248" s="8">
        <f t="shared" si="22"/>
        <v>1443.8111999999999</v>
      </c>
      <c r="S248" s="8">
        <v>-342.99719999999991</v>
      </c>
      <c r="T248" s="8">
        <f t="shared" si="23"/>
        <v>-599.91983999999968</v>
      </c>
    </row>
    <row r="249" spans="1:20" ht="16.5" x14ac:dyDescent="0.3">
      <c r="A249" s="4" t="s">
        <v>538</v>
      </c>
      <c r="B249" s="6">
        <v>45304</v>
      </c>
      <c r="C249" s="14">
        <v>45304</v>
      </c>
      <c r="D249" s="4" t="s">
        <v>1257</v>
      </c>
      <c r="E249" s="8">
        <v>1061.3699999999999</v>
      </c>
      <c r="F249" s="8">
        <f t="shared" si="18"/>
        <v>1220.5754999999997</v>
      </c>
      <c r="G249" s="8">
        <v>1938.33</v>
      </c>
      <c r="H249" s="8">
        <v>1938.33</v>
      </c>
      <c r="I249" s="8" t="s">
        <v>1470</v>
      </c>
      <c r="J249" s="10">
        <v>0.17</v>
      </c>
      <c r="K249" s="10">
        <v>0.17</v>
      </c>
      <c r="L249" s="10">
        <f t="shared" si="19"/>
        <v>0.17</v>
      </c>
      <c r="M249" s="12">
        <v>4</v>
      </c>
      <c r="N249" s="12">
        <f t="shared" si="20"/>
        <v>4.8</v>
      </c>
      <c r="O249" s="8">
        <v>6435.2555999999995</v>
      </c>
      <c r="P249" s="8">
        <f t="shared" si="21"/>
        <v>7722.3067199999987</v>
      </c>
      <c r="Q249" s="8">
        <v>4245.4799999999996</v>
      </c>
      <c r="R249" s="8">
        <f t="shared" si="22"/>
        <v>5858.7623999999987</v>
      </c>
      <c r="S249" s="8">
        <v>2189.7755999999999</v>
      </c>
      <c r="T249" s="8">
        <f t="shared" si="23"/>
        <v>1863.54432</v>
      </c>
    </row>
    <row r="250" spans="1:20" ht="16.5" x14ac:dyDescent="0.3">
      <c r="A250" s="4" t="s">
        <v>312</v>
      </c>
      <c r="B250" s="6">
        <v>45377</v>
      </c>
      <c r="C250" s="14">
        <v>45377</v>
      </c>
      <c r="D250" s="4" t="s">
        <v>1032</v>
      </c>
      <c r="E250" s="8">
        <v>5.66</v>
      </c>
      <c r="F250" s="8">
        <f t="shared" si="18"/>
        <v>6.5089999999999995</v>
      </c>
      <c r="G250" s="8">
        <v>4.22</v>
      </c>
      <c r="H250" s="8">
        <v>4.22</v>
      </c>
      <c r="I250" s="8" t="s">
        <v>1471</v>
      </c>
      <c r="J250" s="10">
        <v>0.11899999999999999</v>
      </c>
      <c r="K250" s="10">
        <v>0.11899999999999999</v>
      </c>
      <c r="L250" s="10">
        <f t="shared" si="19"/>
        <v>0.11899999999999999</v>
      </c>
      <c r="M250" s="12">
        <v>18</v>
      </c>
      <c r="N250" s="12">
        <f t="shared" si="20"/>
        <v>21.599999999999998</v>
      </c>
      <c r="O250" s="8">
        <v>66.920760000000001</v>
      </c>
      <c r="P250" s="8">
        <f t="shared" si="21"/>
        <v>80.304911999999987</v>
      </c>
      <c r="Q250" s="8">
        <v>101.88</v>
      </c>
      <c r="R250" s="8">
        <f t="shared" si="22"/>
        <v>140.59439999999998</v>
      </c>
      <c r="S250" s="8">
        <v>-34.959239999999994</v>
      </c>
      <c r="T250" s="8">
        <f t="shared" si="23"/>
        <v>-60.289487999999992</v>
      </c>
    </row>
    <row r="251" spans="1:20" ht="16.5" x14ac:dyDescent="0.3">
      <c r="A251" s="4" t="s">
        <v>579</v>
      </c>
      <c r="B251" s="6">
        <v>45315</v>
      </c>
      <c r="C251" s="14">
        <v>45315</v>
      </c>
      <c r="D251" s="4" t="s">
        <v>1297</v>
      </c>
      <c r="E251" s="8">
        <v>525.34</v>
      </c>
      <c r="F251" s="8">
        <f t="shared" si="18"/>
        <v>604.14099999999996</v>
      </c>
      <c r="G251" s="8">
        <v>1233.79</v>
      </c>
      <c r="H251" s="8">
        <v>1233.79</v>
      </c>
      <c r="I251" s="8" t="s">
        <v>1469</v>
      </c>
      <c r="J251" s="10">
        <v>0.14299999999999999</v>
      </c>
      <c r="K251" s="10">
        <v>0.14299999999999999</v>
      </c>
      <c r="L251" s="10">
        <f t="shared" si="19"/>
        <v>0.14299999999999999</v>
      </c>
      <c r="M251" s="12">
        <v>4</v>
      </c>
      <c r="N251" s="12">
        <f t="shared" si="20"/>
        <v>4.8</v>
      </c>
      <c r="O251" s="8">
        <v>4229.4321199999995</v>
      </c>
      <c r="P251" s="8">
        <f t="shared" si="21"/>
        <v>5075.3185439999997</v>
      </c>
      <c r="Q251" s="8">
        <v>2101.36</v>
      </c>
      <c r="R251" s="8">
        <f t="shared" si="22"/>
        <v>2899.8767999999995</v>
      </c>
      <c r="S251" s="8">
        <v>2128.0721199999994</v>
      </c>
      <c r="T251" s="8">
        <f t="shared" si="23"/>
        <v>2175.4417440000002</v>
      </c>
    </row>
    <row r="252" spans="1:20" ht="16.5" x14ac:dyDescent="0.3">
      <c r="A252" s="4" t="s">
        <v>495</v>
      </c>
      <c r="B252" s="6">
        <v>45538</v>
      </c>
      <c r="C252" s="14">
        <v>45538</v>
      </c>
      <c r="D252" s="4" t="s">
        <v>1214</v>
      </c>
      <c r="E252" s="8">
        <v>43.23</v>
      </c>
      <c r="F252" s="8">
        <f t="shared" si="18"/>
        <v>49.714499999999994</v>
      </c>
      <c r="G252" s="8">
        <v>94.78</v>
      </c>
      <c r="H252" s="8">
        <v>94.78</v>
      </c>
      <c r="I252" s="8" t="s">
        <v>1471</v>
      </c>
      <c r="J252" s="10">
        <v>9.0999999999999998E-2</v>
      </c>
      <c r="K252" s="10">
        <v>9.0999999999999998E-2</v>
      </c>
      <c r="L252" s="10">
        <f t="shared" si="19"/>
        <v>9.0999999999999998E-2</v>
      </c>
      <c r="M252" s="12">
        <v>55</v>
      </c>
      <c r="N252" s="12">
        <f t="shared" si="20"/>
        <v>66</v>
      </c>
      <c r="O252" s="8">
        <v>4738.5261</v>
      </c>
      <c r="P252" s="8">
        <f t="shared" si="21"/>
        <v>5686.2313200000008</v>
      </c>
      <c r="Q252" s="8">
        <v>2377.6499999999996</v>
      </c>
      <c r="R252" s="8">
        <f t="shared" si="22"/>
        <v>3281.1569999999997</v>
      </c>
      <c r="S252" s="8">
        <v>2360.8761000000004</v>
      </c>
      <c r="T252" s="8">
        <f t="shared" si="23"/>
        <v>2405.0743200000011</v>
      </c>
    </row>
    <row r="253" spans="1:20" ht="16.5" x14ac:dyDescent="0.3">
      <c r="A253" s="4" t="s">
        <v>25</v>
      </c>
      <c r="B253" s="6">
        <v>45319</v>
      </c>
      <c r="C253" s="14">
        <v>45319</v>
      </c>
      <c r="D253" s="4" t="s">
        <v>744</v>
      </c>
      <c r="E253" s="8">
        <v>644.16999999999996</v>
      </c>
      <c r="F253" s="8">
        <f t="shared" si="18"/>
        <v>740.79549999999995</v>
      </c>
      <c r="G253" s="8">
        <v>700.12</v>
      </c>
      <c r="H253" s="8">
        <v>700.12</v>
      </c>
      <c r="I253" s="8" t="s">
        <v>1471</v>
      </c>
      <c r="J253" s="10">
        <v>6.0000000000000001E-3</v>
      </c>
      <c r="K253" s="10">
        <v>6.0000000000000001E-3</v>
      </c>
      <c r="L253" s="10">
        <f t="shared" si="19"/>
        <v>6.0000000000000001E-3</v>
      </c>
      <c r="M253" s="12">
        <v>23</v>
      </c>
      <c r="N253" s="12">
        <f t="shared" si="20"/>
        <v>27.599999999999998</v>
      </c>
      <c r="O253" s="8">
        <v>16006.14344</v>
      </c>
      <c r="P253" s="8">
        <f t="shared" si="21"/>
        <v>19207.372127999999</v>
      </c>
      <c r="Q253" s="8">
        <v>14815.91</v>
      </c>
      <c r="R253" s="8">
        <f t="shared" si="22"/>
        <v>20445.955799999996</v>
      </c>
      <c r="S253" s="8">
        <v>1190.23344</v>
      </c>
      <c r="T253" s="8">
        <f t="shared" si="23"/>
        <v>-1238.583671999997</v>
      </c>
    </row>
    <row r="254" spans="1:20" ht="16.5" x14ac:dyDescent="0.3">
      <c r="A254" s="4" t="s">
        <v>162</v>
      </c>
      <c r="B254" s="6">
        <v>45386</v>
      </c>
      <c r="C254" s="14">
        <v>45386</v>
      </c>
      <c r="D254" s="4" t="s">
        <v>881</v>
      </c>
      <c r="E254" s="8">
        <v>683.42</v>
      </c>
      <c r="F254" s="8">
        <f t="shared" si="18"/>
        <v>785.93299999999988</v>
      </c>
      <c r="G254" s="8">
        <v>951.51</v>
      </c>
      <c r="H254" s="8">
        <v>951.51</v>
      </c>
      <c r="I254" s="8" t="s">
        <v>1469</v>
      </c>
      <c r="J254" s="10">
        <v>0</v>
      </c>
      <c r="K254" s="10">
        <v>0</v>
      </c>
      <c r="L254" s="10">
        <f t="shared" si="19"/>
        <v>0</v>
      </c>
      <c r="M254" s="12">
        <v>14</v>
      </c>
      <c r="N254" s="12">
        <f t="shared" si="20"/>
        <v>16.8</v>
      </c>
      <c r="O254" s="8">
        <v>13321.14</v>
      </c>
      <c r="P254" s="8">
        <f t="shared" si="21"/>
        <v>15985.368</v>
      </c>
      <c r="Q254" s="8">
        <v>9567.8799999999992</v>
      </c>
      <c r="R254" s="8">
        <f t="shared" si="22"/>
        <v>13203.674399999998</v>
      </c>
      <c r="S254" s="8">
        <v>3753.26</v>
      </c>
      <c r="T254" s="8">
        <f t="shared" si="23"/>
        <v>2781.6936000000023</v>
      </c>
    </row>
    <row r="255" spans="1:20" ht="16.5" x14ac:dyDescent="0.3">
      <c r="A255" s="4" t="s">
        <v>206</v>
      </c>
      <c r="B255" s="6">
        <v>45516</v>
      </c>
      <c r="C255" s="14">
        <v>45516</v>
      </c>
      <c r="D255" s="4" t="s">
        <v>926</v>
      </c>
      <c r="E255" s="8">
        <v>797.8</v>
      </c>
      <c r="F255" s="8">
        <f t="shared" si="18"/>
        <v>917.46999999999991</v>
      </c>
      <c r="G255" s="8">
        <v>886.22</v>
      </c>
      <c r="H255" s="8">
        <v>886.22</v>
      </c>
      <c r="I255" s="8" t="s">
        <v>1469</v>
      </c>
      <c r="J255" s="10">
        <v>0.23599999999999999</v>
      </c>
      <c r="K255" s="10">
        <v>0.23599999999999999</v>
      </c>
      <c r="L255" s="10">
        <f t="shared" si="19"/>
        <v>0.23599999999999999</v>
      </c>
      <c r="M255" s="12">
        <v>36</v>
      </c>
      <c r="N255" s="12">
        <f t="shared" si="20"/>
        <v>43.199999999999996</v>
      </c>
      <c r="O255" s="8">
        <v>24374.594880000001</v>
      </c>
      <c r="P255" s="8">
        <f t="shared" si="21"/>
        <v>29249.513855999998</v>
      </c>
      <c r="Q255" s="8">
        <v>28720.799999999999</v>
      </c>
      <c r="R255" s="8">
        <f t="shared" si="22"/>
        <v>39634.703999999991</v>
      </c>
      <c r="S255" s="8">
        <v>-4346.2051199999987</v>
      </c>
      <c r="T255" s="8">
        <f t="shared" si="23"/>
        <v>-10385.190143999993</v>
      </c>
    </row>
    <row r="256" spans="1:20" ht="16.5" x14ac:dyDescent="0.3">
      <c r="A256" s="4" t="s">
        <v>40</v>
      </c>
      <c r="B256" s="6">
        <v>45473</v>
      </c>
      <c r="C256" s="14">
        <v>45473</v>
      </c>
      <c r="D256" s="4" t="s">
        <v>759</v>
      </c>
      <c r="E256" s="8">
        <v>1491.85</v>
      </c>
      <c r="F256" s="8">
        <f t="shared" si="18"/>
        <v>1715.6274999999998</v>
      </c>
      <c r="G256" s="8">
        <v>2583.02</v>
      </c>
      <c r="H256" s="8">
        <v>2583.02</v>
      </c>
      <c r="I256" s="8" t="s">
        <v>1470</v>
      </c>
      <c r="J256" s="10">
        <v>0.16800000000000001</v>
      </c>
      <c r="K256" s="10">
        <v>0.16800000000000001</v>
      </c>
      <c r="L256" s="10">
        <f t="shared" si="19"/>
        <v>0.16800000000000001</v>
      </c>
      <c r="M256" s="12">
        <v>4</v>
      </c>
      <c r="N256" s="12">
        <f t="shared" si="20"/>
        <v>4.8</v>
      </c>
      <c r="O256" s="8">
        <v>8596.2905599999995</v>
      </c>
      <c r="P256" s="8">
        <f t="shared" si="21"/>
        <v>10315.548671999999</v>
      </c>
      <c r="Q256" s="8">
        <v>5967.4</v>
      </c>
      <c r="R256" s="8">
        <f t="shared" si="22"/>
        <v>8235.0119999999988</v>
      </c>
      <c r="S256" s="8">
        <v>2628.8905599999998</v>
      </c>
      <c r="T256" s="8">
        <f t="shared" si="23"/>
        <v>2080.5366720000002</v>
      </c>
    </row>
    <row r="257" spans="1:20" ht="16.5" x14ac:dyDescent="0.3">
      <c r="A257" s="4" t="s">
        <v>177</v>
      </c>
      <c r="B257" s="6">
        <v>45385</v>
      </c>
      <c r="C257" s="14">
        <v>45385</v>
      </c>
      <c r="D257" s="4" t="s">
        <v>896</v>
      </c>
      <c r="E257" s="8">
        <v>1023.27</v>
      </c>
      <c r="F257" s="8">
        <f t="shared" si="18"/>
        <v>1176.7604999999999</v>
      </c>
      <c r="G257" s="8">
        <v>1343.64</v>
      </c>
      <c r="H257" s="8">
        <v>1343.64</v>
      </c>
      <c r="I257" s="8" t="s">
        <v>1469</v>
      </c>
      <c r="J257" s="10">
        <v>0.13300000000000001</v>
      </c>
      <c r="K257" s="10">
        <v>0.13300000000000001</v>
      </c>
      <c r="L257" s="10">
        <f t="shared" si="19"/>
        <v>0.13300000000000001</v>
      </c>
      <c r="M257" s="12">
        <v>7</v>
      </c>
      <c r="N257" s="12">
        <f t="shared" si="20"/>
        <v>8.4</v>
      </c>
      <c r="O257" s="8">
        <v>8154.5511600000009</v>
      </c>
      <c r="P257" s="8">
        <f t="shared" si="21"/>
        <v>9785.4613920000011</v>
      </c>
      <c r="Q257" s="8">
        <v>7162.8899999999994</v>
      </c>
      <c r="R257" s="8">
        <f t="shared" si="22"/>
        <v>9884.7881999999991</v>
      </c>
      <c r="S257" s="8">
        <v>991.66116000000147</v>
      </c>
      <c r="T257" s="8">
        <f t="shared" si="23"/>
        <v>-99.326807999997982</v>
      </c>
    </row>
    <row r="258" spans="1:20" ht="16.5" x14ac:dyDescent="0.3">
      <c r="A258" s="4" t="s">
        <v>266</v>
      </c>
      <c r="B258" s="6">
        <v>45366</v>
      </c>
      <c r="C258" s="14">
        <v>45366</v>
      </c>
      <c r="D258" s="4" t="s">
        <v>986</v>
      </c>
      <c r="E258" s="8">
        <v>648.64</v>
      </c>
      <c r="F258" s="8">
        <f t="shared" si="18"/>
        <v>745.93599999999992</v>
      </c>
      <c r="G258" s="8">
        <v>815.19</v>
      </c>
      <c r="H258" s="8">
        <v>815.19</v>
      </c>
      <c r="I258" s="8" t="s">
        <v>1471</v>
      </c>
      <c r="J258" s="10">
        <v>0.22500000000000001</v>
      </c>
      <c r="K258" s="10">
        <v>0.22500000000000001</v>
      </c>
      <c r="L258" s="10">
        <f t="shared" si="19"/>
        <v>0.22500000000000001</v>
      </c>
      <c r="M258" s="12">
        <v>28</v>
      </c>
      <c r="N258" s="12">
        <f t="shared" si="20"/>
        <v>33.6</v>
      </c>
      <c r="O258" s="8">
        <v>17689.623</v>
      </c>
      <c r="P258" s="8">
        <f t="shared" si="21"/>
        <v>21227.547600000002</v>
      </c>
      <c r="Q258" s="8">
        <v>18161.919999999998</v>
      </c>
      <c r="R258" s="8">
        <f t="shared" si="22"/>
        <v>25063.4496</v>
      </c>
      <c r="S258" s="8">
        <v>-472.29699999999866</v>
      </c>
      <c r="T258" s="8">
        <f t="shared" si="23"/>
        <v>-3835.9019999999982</v>
      </c>
    </row>
    <row r="259" spans="1:20" ht="16.5" x14ac:dyDescent="0.3">
      <c r="A259" s="4" t="s">
        <v>126</v>
      </c>
      <c r="B259" s="6">
        <v>45453</v>
      </c>
      <c r="C259" s="14">
        <v>45453</v>
      </c>
      <c r="D259" s="4" t="s">
        <v>845</v>
      </c>
      <c r="E259" s="8">
        <v>1187.1300000000001</v>
      </c>
      <c r="F259" s="8">
        <f t="shared" ref="F259:F322" si="24">(E259*(1+$X$3))</f>
        <v>1365.1994999999999</v>
      </c>
      <c r="G259" s="8">
        <v>1795.17</v>
      </c>
      <c r="H259" s="8">
        <v>1795.17</v>
      </c>
      <c r="I259" s="8" t="s">
        <v>1470</v>
      </c>
      <c r="J259" s="10">
        <v>1.2E-2</v>
      </c>
      <c r="K259" s="10">
        <v>1.2E-2</v>
      </c>
      <c r="L259" s="10">
        <f t="shared" ref="L259:L322" si="25">MIN(K259, $X$2)</f>
        <v>1.2E-2</v>
      </c>
      <c r="M259" s="12">
        <v>17</v>
      </c>
      <c r="N259" s="12">
        <f t="shared" ref="N259:N322" si="26">(M259*(1+$X$4))</f>
        <v>20.399999999999999</v>
      </c>
      <c r="O259" s="8">
        <v>30151.675319999998</v>
      </c>
      <c r="P259" s="8">
        <f t="shared" ref="P259:P322" si="27">(H259*N259*(1-L259))</f>
        <v>36182.010384000001</v>
      </c>
      <c r="Q259" s="8">
        <v>20181.210000000003</v>
      </c>
      <c r="R259" s="8">
        <f t="shared" ref="R259:R322" si="28">F259*N259</f>
        <v>27850.069799999997</v>
      </c>
      <c r="S259" s="8">
        <v>9970.4653199999957</v>
      </c>
      <c r="T259" s="8">
        <f t="shared" ref="T259:T322" si="29">P259-R259</f>
        <v>8331.9405840000036</v>
      </c>
    </row>
    <row r="260" spans="1:20" ht="16.5" x14ac:dyDescent="0.3">
      <c r="A260" s="4" t="s">
        <v>368</v>
      </c>
      <c r="B260" s="6">
        <v>45603</v>
      </c>
      <c r="C260" s="14">
        <v>45603</v>
      </c>
      <c r="D260" s="4" t="s">
        <v>1088</v>
      </c>
      <c r="E260" s="8">
        <v>55.35</v>
      </c>
      <c r="F260" s="8">
        <f t="shared" si="24"/>
        <v>63.652499999999996</v>
      </c>
      <c r="G260" s="8">
        <v>128.68</v>
      </c>
      <c r="H260" s="8">
        <v>128.68</v>
      </c>
      <c r="I260" s="8" t="s">
        <v>1471</v>
      </c>
      <c r="J260" s="10">
        <v>0.128</v>
      </c>
      <c r="K260" s="10">
        <v>0.128</v>
      </c>
      <c r="L260" s="10">
        <f t="shared" si="25"/>
        <v>0.128</v>
      </c>
      <c r="M260" s="12">
        <v>10</v>
      </c>
      <c r="N260" s="12">
        <f t="shared" si="26"/>
        <v>12</v>
      </c>
      <c r="O260" s="8">
        <v>1122.0896000000002</v>
      </c>
      <c r="P260" s="8">
        <f t="shared" si="27"/>
        <v>1346.5075200000001</v>
      </c>
      <c r="Q260" s="8">
        <v>553.5</v>
      </c>
      <c r="R260" s="8">
        <f t="shared" si="28"/>
        <v>763.82999999999993</v>
      </c>
      <c r="S260" s="8">
        <v>568.58960000000025</v>
      </c>
      <c r="T260" s="8">
        <f t="shared" si="29"/>
        <v>582.67752000000019</v>
      </c>
    </row>
    <row r="261" spans="1:20" ht="16.5" x14ac:dyDescent="0.3">
      <c r="A261" s="4" t="s">
        <v>154</v>
      </c>
      <c r="B261" s="6">
        <v>45336</v>
      </c>
      <c r="C261" s="14">
        <v>45336</v>
      </c>
      <c r="D261" s="4" t="s">
        <v>873</v>
      </c>
      <c r="E261" s="8">
        <v>65.930000000000007</v>
      </c>
      <c r="F261" s="8">
        <f t="shared" si="24"/>
        <v>75.819500000000005</v>
      </c>
      <c r="G261" s="8">
        <v>84.9</v>
      </c>
      <c r="H261" s="8">
        <v>84.9</v>
      </c>
      <c r="I261" s="8" t="s">
        <v>1471</v>
      </c>
      <c r="J261" s="10">
        <v>0.25900000000000001</v>
      </c>
      <c r="K261" s="10">
        <v>0.25900000000000001</v>
      </c>
      <c r="L261" s="10">
        <f t="shared" si="25"/>
        <v>0.25</v>
      </c>
      <c r="M261" s="12">
        <v>23</v>
      </c>
      <c r="N261" s="12">
        <f t="shared" si="26"/>
        <v>27.599999999999998</v>
      </c>
      <c r="O261" s="8">
        <v>1446.9507000000001</v>
      </c>
      <c r="P261" s="8">
        <f t="shared" si="27"/>
        <v>1757.4299999999998</v>
      </c>
      <c r="Q261" s="8">
        <v>1516.39</v>
      </c>
      <c r="R261" s="8">
        <f t="shared" si="28"/>
        <v>2092.6181999999999</v>
      </c>
      <c r="S261" s="8">
        <v>-69.439300000000003</v>
      </c>
      <c r="T261" s="8">
        <f t="shared" si="29"/>
        <v>-335.18820000000005</v>
      </c>
    </row>
    <row r="262" spans="1:20" ht="16.5" x14ac:dyDescent="0.3">
      <c r="A262" s="4" t="s">
        <v>196</v>
      </c>
      <c r="B262" s="6">
        <v>45568</v>
      </c>
      <c r="C262" s="14">
        <v>45568</v>
      </c>
      <c r="D262" s="4" t="s">
        <v>915</v>
      </c>
      <c r="E262" s="8">
        <v>1132.6099999999999</v>
      </c>
      <c r="F262" s="8">
        <f t="shared" si="24"/>
        <v>1302.5014999999999</v>
      </c>
      <c r="G262" s="8">
        <v>2206.63</v>
      </c>
      <c r="H262" s="8">
        <v>2206.63</v>
      </c>
      <c r="I262" s="8" t="s">
        <v>1470</v>
      </c>
      <c r="J262" s="10">
        <v>6.3E-2</v>
      </c>
      <c r="K262" s="10">
        <v>6.3E-2</v>
      </c>
      <c r="L262" s="10">
        <f t="shared" si="25"/>
        <v>6.3E-2</v>
      </c>
      <c r="M262" s="12">
        <v>20</v>
      </c>
      <c r="N262" s="12">
        <f t="shared" si="26"/>
        <v>24</v>
      </c>
      <c r="O262" s="8">
        <v>41352.246200000009</v>
      </c>
      <c r="P262" s="8">
        <f t="shared" si="27"/>
        <v>49622.695440000003</v>
      </c>
      <c r="Q262" s="8">
        <v>22652.199999999997</v>
      </c>
      <c r="R262" s="8">
        <f t="shared" si="28"/>
        <v>31260.035999999996</v>
      </c>
      <c r="S262" s="8">
        <v>18700.046200000012</v>
      </c>
      <c r="T262" s="8">
        <f t="shared" si="29"/>
        <v>18362.659440000007</v>
      </c>
    </row>
    <row r="263" spans="1:20" ht="16.5" x14ac:dyDescent="0.3">
      <c r="A263" s="4" t="s">
        <v>601</v>
      </c>
      <c r="B263" s="6">
        <v>45364</v>
      </c>
      <c r="C263" s="14">
        <v>45364</v>
      </c>
      <c r="D263" s="4" t="s">
        <v>1319</v>
      </c>
      <c r="E263" s="8">
        <v>1232.78</v>
      </c>
      <c r="F263" s="8">
        <f t="shared" si="24"/>
        <v>1417.6969999999999</v>
      </c>
      <c r="G263" s="8">
        <v>1731.75</v>
      </c>
      <c r="H263" s="8">
        <v>1731.75</v>
      </c>
      <c r="I263" s="8" t="s">
        <v>1470</v>
      </c>
      <c r="J263" s="10">
        <v>9.2999999999999999E-2</v>
      </c>
      <c r="K263" s="10">
        <v>9.2999999999999999E-2</v>
      </c>
      <c r="L263" s="10">
        <f t="shared" si="25"/>
        <v>9.2999999999999999E-2</v>
      </c>
      <c r="M263" s="12">
        <v>16</v>
      </c>
      <c r="N263" s="12">
        <f t="shared" si="26"/>
        <v>19.2</v>
      </c>
      <c r="O263" s="8">
        <v>25131.155999999999</v>
      </c>
      <c r="P263" s="8">
        <f t="shared" si="27"/>
        <v>30157.387200000001</v>
      </c>
      <c r="Q263" s="8">
        <v>19724.48</v>
      </c>
      <c r="R263" s="8">
        <f t="shared" si="28"/>
        <v>27219.782399999996</v>
      </c>
      <c r="S263" s="8">
        <v>5406.6759999999995</v>
      </c>
      <c r="T263" s="8">
        <f t="shared" si="29"/>
        <v>2937.6048000000046</v>
      </c>
    </row>
    <row r="264" spans="1:20" ht="16.5" x14ac:dyDescent="0.3">
      <c r="A264" s="4" t="s">
        <v>504</v>
      </c>
      <c r="B264" s="6">
        <v>45403</v>
      </c>
      <c r="C264" s="14">
        <v>45403</v>
      </c>
      <c r="D264" s="4" t="s">
        <v>1223</v>
      </c>
      <c r="E264" s="8">
        <v>187.22</v>
      </c>
      <c r="F264" s="8">
        <f t="shared" si="24"/>
        <v>215.30299999999997</v>
      </c>
      <c r="G264" s="8">
        <v>309.47000000000003</v>
      </c>
      <c r="H264" s="8">
        <v>309.47000000000003</v>
      </c>
      <c r="I264" s="8" t="s">
        <v>1471</v>
      </c>
      <c r="J264" s="10">
        <v>0</v>
      </c>
      <c r="K264" s="10">
        <v>0</v>
      </c>
      <c r="L264" s="10">
        <f t="shared" si="25"/>
        <v>0</v>
      </c>
      <c r="M264" s="12">
        <v>5</v>
      </c>
      <c r="N264" s="12">
        <f t="shared" si="26"/>
        <v>6</v>
      </c>
      <c r="O264" s="8">
        <v>1547.3500000000001</v>
      </c>
      <c r="P264" s="8">
        <f t="shared" si="27"/>
        <v>1856.8200000000002</v>
      </c>
      <c r="Q264" s="8">
        <v>936.1</v>
      </c>
      <c r="R264" s="8">
        <f t="shared" si="28"/>
        <v>1291.8179999999998</v>
      </c>
      <c r="S264" s="8">
        <v>611.25000000000011</v>
      </c>
      <c r="T264" s="8">
        <f t="shared" si="29"/>
        <v>565.00200000000041</v>
      </c>
    </row>
    <row r="265" spans="1:20" ht="16.5" x14ac:dyDescent="0.3">
      <c r="A265" s="4" t="s">
        <v>78</v>
      </c>
      <c r="B265" s="6">
        <v>45598</v>
      </c>
      <c r="C265" s="14">
        <v>45598</v>
      </c>
      <c r="D265" s="4" t="s">
        <v>797</v>
      </c>
      <c r="E265" s="8">
        <v>1233.58</v>
      </c>
      <c r="F265" s="8">
        <f t="shared" si="24"/>
        <v>1418.6169999999997</v>
      </c>
      <c r="G265" s="8">
        <v>1912.51</v>
      </c>
      <c r="H265" s="8">
        <v>1912.51</v>
      </c>
      <c r="I265" s="8" t="s">
        <v>1470</v>
      </c>
      <c r="J265" s="10">
        <v>0.255</v>
      </c>
      <c r="K265" s="10">
        <v>0.255</v>
      </c>
      <c r="L265" s="10">
        <f t="shared" si="25"/>
        <v>0.25</v>
      </c>
      <c r="M265" s="12">
        <v>51</v>
      </c>
      <c r="N265" s="12">
        <f t="shared" si="26"/>
        <v>61.199999999999996</v>
      </c>
      <c r="O265" s="8">
        <v>72665.817450000002</v>
      </c>
      <c r="P265" s="8">
        <f t="shared" si="27"/>
        <v>87784.209000000003</v>
      </c>
      <c r="Q265" s="8">
        <v>62912.579999999994</v>
      </c>
      <c r="R265" s="8">
        <f t="shared" si="28"/>
        <v>86819.360399999976</v>
      </c>
      <c r="S265" s="8">
        <v>9753.2374500000078</v>
      </c>
      <c r="T265" s="8">
        <f t="shared" si="29"/>
        <v>964.84860000002664</v>
      </c>
    </row>
    <row r="266" spans="1:20" ht="16.5" x14ac:dyDescent="0.3">
      <c r="A266" s="4" t="s">
        <v>575</v>
      </c>
      <c r="B266" s="6">
        <v>45590</v>
      </c>
      <c r="C266" s="14">
        <v>45590</v>
      </c>
      <c r="D266" s="4" t="s">
        <v>1293</v>
      </c>
      <c r="E266" s="8">
        <v>446.66</v>
      </c>
      <c r="F266" s="8">
        <f t="shared" si="24"/>
        <v>513.65899999999999</v>
      </c>
      <c r="G266" s="8">
        <v>527.64</v>
      </c>
      <c r="H266" s="8">
        <v>527.64</v>
      </c>
      <c r="I266" s="8" t="s">
        <v>1471</v>
      </c>
      <c r="J266" s="10">
        <v>0.14499999999999999</v>
      </c>
      <c r="K266" s="10">
        <v>0.14499999999999999</v>
      </c>
      <c r="L266" s="10">
        <f t="shared" si="25"/>
        <v>0.14499999999999999</v>
      </c>
      <c r="M266" s="12">
        <v>15</v>
      </c>
      <c r="N266" s="12">
        <f t="shared" si="26"/>
        <v>18</v>
      </c>
      <c r="O266" s="8">
        <v>6766.9829999999993</v>
      </c>
      <c r="P266" s="8">
        <f t="shared" si="27"/>
        <v>8120.3796000000002</v>
      </c>
      <c r="Q266" s="8">
        <v>6699.9000000000005</v>
      </c>
      <c r="R266" s="8">
        <f t="shared" si="28"/>
        <v>9245.8619999999992</v>
      </c>
      <c r="S266" s="8">
        <v>67.082999999998719</v>
      </c>
      <c r="T266" s="8">
        <f t="shared" si="29"/>
        <v>-1125.482399999999</v>
      </c>
    </row>
    <row r="267" spans="1:20" ht="16.5" x14ac:dyDescent="0.3">
      <c r="A267" s="4" t="s">
        <v>407</v>
      </c>
      <c r="B267" s="6">
        <v>45360</v>
      </c>
      <c r="C267" s="14">
        <v>45360</v>
      </c>
      <c r="D267" s="4" t="s">
        <v>1126</v>
      </c>
      <c r="E267" s="8">
        <v>1137.4100000000001</v>
      </c>
      <c r="F267" s="8">
        <f t="shared" si="24"/>
        <v>1308.0215000000001</v>
      </c>
      <c r="G267" s="8">
        <v>1680.93</v>
      </c>
      <c r="H267" s="8">
        <v>1680.93</v>
      </c>
      <c r="I267" s="8" t="s">
        <v>1470</v>
      </c>
      <c r="J267" s="10">
        <v>0.254</v>
      </c>
      <c r="K267" s="10">
        <v>0.254</v>
      </c>
      <c r="L267" s="10">
        <f t="shared" si="25"/>
        <v>0.25</v>
      </c>
      <c r="M267" s="12">
        <v>9</v>
      </c>
      <c r="N267" s="12">
        <f t="shared" si="26"/>
        <v>10.799999999999999</v>
      </c>
      <c r="O267" s="8">
        <v>11285.764020000001</v>
      </c>
      <c r="P267" s="8">
        <f t="shared" si="27"/>
        <v>13615.532999999999</v>
      </c>
      <c r="Q267" s="8">
        <v>10236.69</v>
      </c>
      <c r="R267" s="8">
        <f t="shared" si="28"/>
        <v>14126.6322</v>
      </c>
      <c r="S267" s="8">
        <v>1049.07402</v>
      </c>
      <c r="T267" s="8">
        <f t="shared" si="29"/>
        <v>-511.09920000000056</v>
      </c>
    </row>
    <row r="268" spans="1:20" ht="16.5" x14ac:dyDescent="0.3">
      <c r="A268" s="4" t="s">
        <v>469</v>
      </c>
      <c r="B268" s="6">
        <v>45653</v>
      </c>
      <c r="C268" s="14">
        <v>45653</v>
      </c>
      <c r="D268" s="4" t="s">
        <v>1188</v>
      </c>
      <c r="E268" s="8">
        <v>1146.72</v>
      </c>
      <c r="F268" s="8">
        <f t="shared" si="24"/>
        <v>1318.7279999999998</v>
      </c>
      <c r="G268" s="8">
        <v>2074.34</v>
      </c>
      <c r="H268" s="8">
        <v>2074.34</v>
      </c>
      <c r="I268" s="8" t="s">
        <v>1470</v>
      </c>
      <c r="J268" s="10">
        <v>0.111</v>
      </c>
      <c r="K268" s="10">
        <v>0.111</v>
      </c>
      <c r="L268" s="10">
        <f t="shared" si="25"/>
        <v>0.111</v>
      </c>
      <c r="M268" s="12">
        <v>8</v>
      </c>
      <c r="N268" s="12">
        <f t="shared" si="26"/>
        <v>9.6</v>
      </c>
      <c r="O268" s="8">
        <v>14752.706080000002</v>
      </c>
      <c r="P268" s="8">
        <f t="shared" si="27"/>
        <v>17703.247296000001</v>
      </c>
      <c r="Q268" s="8">
        <v>9173.76</v>
      </c>
      <c r="R268" s="8">
        <f t="shared" si="28"/>
        <v>12659.788799999998</v>
      </c>
      <c r="S268" s="8">
        <v>5578.9460800000015</v>
      </c>
      <c r="T268" s="8">
        <f t="shared" si="29"/>
        <v>5043.4584960000029</v>
      </c>
    </row>
    <row r="269" spans="1:20" ht="16.5" x14ac:dyDescent="0.3">
      <c r="A269" s="4" t="s">
        <v>66</v>
      </c>
      <c r="B269" s="6">
        <v>45582</v>
      </c>
      <c r="C269" s="14">
        <v>45582</v>
      </c>
      <c r="D269" s="4" t="s">
        <v>785</v>
      </c>
      <c r="E269" s="8">
        <v>72.94</v>
      </c>
      <c r="F269" s="8">
        <f t="shared" si="24"/>
        <v>83.880999999999986</v>
      </c>
      <c r="G269" s="8">
        <v>106.3</v>
      </c>
      <c r="H269" s="8">
        <v>106.3</v>
      </c>
      <c r="I269" s="8" t="s">
        <v>1471</v>
      </c>
      <c r="J269" s="10">
        <v>0.29499999999999998</v>
      </c>
      <c r="K269" s="10">
        <v>0.29499999999999998</v>
      </c>
      <c r="L269" s="10">
        <f t="shared" si="25"/>
        <v>0.25</v>
      </c>
      <c r="M269" s="12">
        <v>8</v>
      </c>
      <c r="N269" s="12">
        <f t="shared" si="26"/>
        <v>9.6</v>
      </c>
      <c r="O269" s="8">
        <v>599.53200000000004</v>
      </c>
      <c r="P269" s="8">
        <f t="shared" si="27"/>
        <v>765.3599999999999</v>
      </c>
      <c r="Q269" s="8">
        <v>583.52</v>
      </c>
      <c r="R269" s="8">
        <f t="shared" si="28"/>
        <v>805.2575999999998</v>
      </c>
      <c r="S269" s="8">
        <v>16.012000000000057</v>
      </c>
      <c r="T269" s="8">
        <f t="shared" si="29"/>
        <v>-39.897599999999898</v>
      </c>
    </row>
    <row r="270" spans="1:20" ht="16.5" x14ac:dyDescent="0.3">
      <c r="A270" s="4" t="s">
        <v>622</v>
      </c>
      <c r="B270" s="6">
        <v>45623</v>
      </c>
      <c r="C270" s="14">
        <v>45623</v>
      </c>
      <c r="D270" s="4" t="s">
        <v>1340</v>
      </c>
      <c r="E270" s="8">
        <v>143.33000000000001</v>
      </c>
      <c r="F270" s="8">
        <f t="shared" si="24"/>
        <v>164.8295</v>
      </c>
      <c r="G270" s="8">
        <v>233.51</v>
      </c>
      <c r="H270" s="8">
        <v>233.51</v>
      </c>
      <c r="I270" s="8" t="s">
        <v>1471</v>
      </c>
      <c r="J270" s="10">
        <v>0.16300000000000001</v>
      </c>
      <c r="K270" s="10">
        <v>0.16300000000000001</v>
      </c>
      <c r="L270" s="10">
        <f t="shared" si="25"/>
        <v>0.16300000000000001</v>
      </c>
      <c r="M270" s="12">
        <v>14</v>
      </c>
      <c r="N270" s="12">
        <f t="shared" si="26"/>
        <v>16.8</v>
      </c>
      <c r="O270" s="8">
        <v>2736.27018</v>
      </c>
      <c r="P270" s="8">
        <f t="shared" si="27"/>
        <v>3283.5242159999998</v>
      </c>
      <c r="Q270" s="8">
        <v>2006.6200000000001</v>
      </c>
      <c r="R270" s="8">
        <f t="shared" si="28"/>
        <v>2769.1356000000001</v>
      </c>
      <c r="S270" s="8">
        <v>729.65017999999986</v>
      </c>
      <c r="T270" s="8">
        <f t="shared" si="29"/>
        <v>514.38861599999973</v>
      </c>
    </row>
    <row r="271" spans="1:20" ht="16.5" x14ac:dyDescent="0.3">
      <c r="A271" s="4" t="s">
        <v>15</v>
      </c>
      <c r="B271" s="6">
        <v>45362</v>
      </c>
      <c r="C271" s="14">
        <v>45362</v>
      </c>
      <c r="D271" s="4" t="s">
        <v>734</v>
      </c>
      <c r="E271" s="8">
        <v>279.24</v>
      </c>
      <c r="F271" s="8">
        <f t="shared" si="24"/>
        <v>321.12599999999998</v>
      </c>
      <c r="G271" s="8">
        <v>608.9</v>
      </c>
      <c r="H271" s="8">
        <v>608.9</v>
      </c>
      <c r="I271" s="8" t="s">
        <v>1471</v>
      </c>
      <c r="J271" s="10">
        <v>0.112</v>
      </c>
      <c r="K271" s="10">
        <v>0.112</v>
      </c>
      <c r="L271" s="10">
        <f t="shared" si="25"/>
        <v>0.112</v>
      </c>
      <c r="M271" s="12">
        <v>9</v>
      </c>
      <c r="N271" s="12">
        <f t="shared" si="26"/>
        <v>10.799999999999999</v>
      </c>
      <c r="O271" s="8">
        <v>4866.3287999999993</v>
      </c>
      <c r="P271" s="8">
        <f t="shared" si="27"/>
        <v>5839.5945599999995</v>
      </c>
      <c r="Q271" s="8">
        <v>2513.16</v>
      </c>
      <c r="R271" s="8">
        <f t="shared" si="28"/>
        <v>3468.1607999999992</v>
      </c>
      <c r="S271" s="8">
        <v>2353.1687999999995</v>
      </c>
      <c r="T271" s="8">
        <f t="shared" si="29"/>
        <v>2371.4337600000003</v>
      </c>
    </row>
    <row r="272" spans="1:20" ht="16.5" x14ac:dyDescent="0.3">
      <c r="A272" s="4" t="s">
        <v>302</v>
      </c>
      <c r="B272" s="6">
        <v>45319</v>
      </c>
      <c r="C272" s="14">
        <v>45319</v>
      </c>
      <c r="D272" s="4" t="s">
        <v>1022</v>
      </c>
      <c r="E272" s="8">
        <v>798.45</v>
      </c>
      <c r="F272" s="8">
        <f t="shared" si="24"/>
        <v>918.21749999999997</v>
      </c>
      <c r="G272" s="8">
        <v>1592.02</v>
      </c>
      <c r="H272" s="8">
        <v>1592.02</v>
      </c>
      <c r="I272" s="8" t="s">
        <v>1469</v>
      </c>
      <c r="J272" s="10">
        <v>6.6000000000000003E-2</v>
      </c>
      <c r="K272" s="10">
        <v>6.6000000000000003E-2</v>
      </c>
      <c r="L272" s="10">
        <f t="shared" si="25"/>
        <v>6.6000000000000003E-2</v>
      </c>
      <c r="M272" s="12">
        <v>18</v>
      </c>
      <c r="N272" s="12">
        <f t="shared" si="26"/>
        <v>21.599999999999998</v>
      </c>
      <c r="O272" s="8">
        <v>26765.040239999998</v>
      </c>
      <c r="P272" s="8">
        <f t="shared" si="27"/>
        <v>32118.048287999994</v>
      </c>
      <c r="Q272" s="8">
        <v>14372.1</v>
      </c>
      <c r="R272" s="8">
        <f t="shared" si="28"/>
        <v>19833.497999999996</v>
      </c>
      <c r="S272" s="8">
        <v>12392.940239999998</v>
      </c>
      <c r="T272" s="8">
        <f t="shared" si="29"/>
        <v>12284.550287999999</v>
      </c>
    </row>
    <row r="273" spans="1:20" ht="16.5" x14ac:dyDescent="0.3">
      <c r="A273" s="4" t="s">
        <v>249</v>
      </c>
      <c r="B273" s="6">
        <v>45302</v>
      </c>
      <c r="C273" s="14">
        <v>45302</v>
      </c>
      <c r="D273" s="4" t="s">
        <v>969</v>
      </c>
      <c r="E273" s="8">
        <v>1237.68</v>
      </c>
      <c r="F273" s="8">
        <f t="shared" si="24"/>
        <v>1423.3319999999999</v>
      </c>
      <c r="G273" s="8">
        <v>1432.8</v>
      </c>
      <c r="H273" s="8">
        <v>1432.8</v>
      </c>
      <c r="I273" s="8" t="s">
        <v>1469</v>
      </c>
      <c r="J273" s="10">
        <v>6.8000000000000005E-2</v>
      </c>
      <c r="K273" s="10">
        <v>6.8000000000000005E-2</v>
      </c>
      <c r="L273" s="10">
        <f t="shared" si="25"/>
        <v>6.8000000000000005E-2</v>
      </c>
      <c r="M273" s="12">
        <v>13</v>
      </c>
      <c r="N273" s="12">
        <f t="shared" si="26"/>
        <v>15.6</v>
      </c>
      <c r="O273" s="8">
        <v>17359.804799999998</v>
      </c>
      <c r="P273" s="8">
        <f t="shared" si="27"/>
        <v>20831.765759999998</v>
      </c>
      <c r="Q273" s="8">
        <v>16089.84</v>
      </c>
      <c r="R273" s="8">
        <f t="shared" si="28"/>
        <v>22203.979199999998</v>
      </c>
      <c r="S273" s="8">
        <v>1269.9647999999979</v>
      </c>
      <c r="T273" s="8">
        <f t="shared" si="29"/>
        <v>-1372.2134399999995</v>
      </c>
    </row>
    <row r="274" spans="1:20" ht="16.5" x14ac:dyDescent="0.3">
      <c r="A274" s="4" t="s">
        <v>122</v>
      </c>
      <c r="B274" s="6">
        <v>45518</v>
      </c>
      <c r="C274" s="14">
        <v>45518</v>
      </c>
      <c r="D274" s="4" t="s">
        <v>841</v>
      </c>
      <c r="E274" s="8">
        <v>1138.8</v>
      </c>
      <c r="F274" s="8">
        <f t="shared" si="24"/>
        <v>1309.6199999999999</v>
      </c>
      <c r="G274" s="8">
        <v>2250.81</v>
      </c>
      <c r="H274" s="8">
        <v>2250.81</v>
      </c>
      <c r="I274" s="8" t="s">
        <v>1470</v>
      </c>
      <c r="J274" s="10">
        <v>0.123</v>
      </c>
      <c r="K274" s="10">
        <v>0.123</v>
      </c>
      <c r="L274" s="10">
        <f t="shared" si="25"/>
        <v>0.123</v>
      </c>
      <c r="M274" s="12">
        <v>12</v>
      </c>
      <c r="N274" s="12">
        <f t="shared" si="26"/>
        <v>14.399999999999999</v>
      </c>
      <c r="O274" s="8">
        <v>23687.524440000001</v>
      </c>
      <c r="P274" s="8">
        <f t="shared" si="27"/>
        <v>28425.029327999997</v>
      </c>
      <c r="Q274" s="8">
        <v>13665.599999999999</v>
      </c>
      <c r="R274" s="8">
        <f t="shared" si="28"/>
        <v>18858.527999999995</v>
      </c>
      <c r="S274" s="8">
        <v>10021.924440000003</v>
      </c>
      <c r="T274" s="8">
        <f t="shared" si="29"/>
        <v>9566.5013280000021</v>
      </c>
    </row>
    <row r="275" spans="1:20" ht="16.5" x14ac:dyDescent="0.3">
      <c r="A275" s="4" t="s">
        <v>85</v>
      </c>
      <c r="B275" s="6">
        <v>45369</v>
      </c>
      <c r="C275" s="14">
        <v>45369</v>
      </c>
      <c r="D275" s="4" t="s">
        <v>804</v>
      </c>
      <c r="E275" s="8">
        <v>910.63</v>
      </c>
      <c r="F275" s="8">
        <f t="shared" si="24"/>
        <v>1047.2244999999998</v>
      </c>
      <c r="G275" s="8">
        <v>1269.4000000000001</v>
      </c>
      <c r="H275" s="8">
        <v>1269.4000000000001</v>
      </c>
      <c r="I275" s="8" t="s">
        <v>1469</v>
      </c>
      <c r="J275" s="10">
        <v>6.8000000000000005E-2</v>
      </c>
      <c r="K275" s="10">
        <v>6.8000000000000005E-2</v>
      </c>
      <c r="L275" s="10">
        <f t="shared" si="25"/>
        <v>6.8000000000000005E-2</v>
      </c>
      <c r="M275" s="12">
        <v>9</v>
      </c>
      <c r="N275" s="12">
        <f t="shared" si="26"/>
        <v>10.799999999999999</v>
      </c>
      <c r="O275" s="8">
        <v>10647.727199999999</v>
      </c>
      <c r="P275" s="8">
        <f t="shared" si="27"/>
        <v>12777.272639999999</v>
      </c>
      <c r="Q275" s="8">
        <v>8195.67</v>
      </c>
      <c r="R275" s="8">
        <f t="shared" si="28"/>
        <v>11310.024599999997</v>
      </c>
      <c r="S275" s="8">
        <v>2452.0571999999993</v>
      </c>
      <c r="T275" s="8">
        <f t="shared" si="29"/>
        <v>1467.2480400000022</v>
      </c>
    </row>
    <row r="276" spans="1:20" ht="16.5" x14ac:dyDescent="0.3">
      <c r="A276" s="4" t="s">
        <v>72</v>
      </c>
      <c r="B276" s="6">
        <v>45643</v>
      </c>
      <c r="C276" s="14">
        <v>45643</v>
      </c>
      <c r="D276" s="4" t="s">
        <v>791</v>
      </c>
      <c r="E276" s="8">
        <v>346.82</v>
      </c>
      <c r="F276" s="8">
        <f t="shared" si="24"/>
        <v>398.84299999999996</v>
      </c>
      <c r="G276" s="8">
        <v>701.95</v>
      </c>
      <c r="H276" s="8">
        <v>701.95</v>
      </c>
      <c r="I276" s="8" t="s">
        <v>1471</v>
      </c>
      <c r="J276" s="10">
        <v>0.14699999999999999</v>
      </c>
      <c r="K276" s="10">
        <v>0.14699999999999999</v>
      </c>
      <c r="L276" s="10">
        <f t="shared" si="25"/>
        <v>0.14699999999999999</v>
      </c>
      <c r="M276" s="12">
        <v>8</v>
      </c>
      <c r="N276" s="12">
        <f t="shared" si="26"/>
        <v>9.6</v>
      </c>
      <c r="O276" s="8">
        <v>4790.1068000000005</v>
      </c>
      <c r="P276" s="8">
        <f t="shared" si="27"/>
        <v>5748.1281600000002</v>
      </c>
      <c r="Q276" s="8">
        <v>2774.56</v>
      </c>
      <c r="R276" s="8">
        <f t="shared" si="28"/>
        <v>3828.8927999999996</v>
      </c>
      <c r="S276" s="8">
        <v>2015.5468000000005</v>
      </c>
      <c r="T276" s="8">
        <f t="shared" si="29"/>
        <v>1919.2353600000006</v>
      </c>
    </row>
    <row r="277" spans="1:20" ht="16.5" x14ac:dyDescent="0.3">
      <c r="A277" s="4" t="s">
        <v>56</v>
      </c>
      <c r="B277" s="6">
        <v>45302</v>
      </c>
      <c r="C277" s="14">
        <v>45302</v>
      </c>
      <c r="D277" s="4" t="s">
        <v>775</v>
      </c>
      <c r="E277" s="8">
        <v>1206.2</v>
      </c>
      <c r="F277" s="8">
        <f t="shared" si="24"/>
        <v>1387.1299999999999</v>
      </c>
      <c r="G277" s="8">
        <v>1759.79</v>
      </c>
      <c r="H277" s="8">
        <v>1759.79</v>
      </c>
      <c r="I277" s="8" t="s">
        <v>1470</v>
      </c>
      <c r="J277" s="10">
        <v>0</v>
      </c>
      <c r="K277" s="10">
        <v>0</v>
      </c>
      <c r="L277" s="10">
        <f t="shared" si="25"/>
        <v>0</v>
      </c>
      <c r="M277" s="12">
        <v>6</v>
      </c>
      <c r="N277" s="12">
        <f t="shared" si="26"/>
        <v>7.1999999999999993</v>
      </c>
      <c r="O277" s="8">
        <v>10558.74</v>
      </c>
      <c r="P277" s="8">
        <f t="shared" si="27"/>
        <v>12670.487999999999</v>
      </c>
      <c r="Q277" s="8">
        <v>7237.2000000000007</v>
      </c>
      <c r="R277" s="8">
        <f t="shared" si="28"/>
        <v>9987.3359999999975</v>
      </c>
      <c r="S277" s="8">
        <v>3321.5399999999991</v>
      </c>
      <c r="T277" s="8">
        <f t="shared" si="29"/>
        <v>2683.1520000000019</v>
      </c>
    </row>
    <row r="278" spans="1:20" ht="16.5" x14ac:dyDescent="0.3">
      <c r="A278" s="4" t="s">
        <v>267</v>
      </c>
      <c r="B278" s="6">
        <v>45502</v>
      </c>
      <c r="C278" s="14">
        <v>45502</v>
      </c>
      <c r="D278" s="4" t="s">
        <v>987</v>
      </c>
      <c r="E278" s="8">
        <v>798.97</v>
      </c>
      <c r="F278" s="8">
        <f t="shared" si="24"/>
        <v>918.81549999999993</v>
      </c>
      <c r="G278" s="8">
        <v>1814.06</v>
      </c>
      <c r="H278" s="8">
        <v>1814.06</v>
      </c>
      <c r="I278" s="8" t="s">
        <v>1470</v>
      </c>
      <c r="J278" s="10">
        <v>0.122</v>
      </c>
      <c r="K278" s="10">
        <v>0.122</v>
      </c>
      <c r="L278" s="10">
        <f t="shared" si="25"/>
        <v>0.122</v>
      </c>
      <c r="M278" s="12">
        <v>16</v>
      </c>
      <c r="N278" s="12">
        <f t="shared" si="26"/>
        <v>19.2</v>
      </c>
      <c r="O278" s="8">
        <v>25483.91488</v>
      </c>
      <c r="P278" s="8">
        <f t="shared" si="27"/>
        <v>30580.697855999999</v>
      </c>
      <c r="Q278" s="8">
        <v>12783.52</v>
      </c>
      <c r="R278" s="8">
        <f t="shared" si="28"/>
        <v>17641.257599999997</v>
      </c>
      <c r="S278" s="8">
        <v>12700.39488</v>
      </c>
      <c r="T278" s="8">
        <f t="shared" si="29"/>
        <v>12939.440256000002</v>
      </c>
    </row>
    <row r="279" spans="1:20" ht="16.5" x14ac:dyDescent="0.3">
      <c r="A279" s="4" t="s">
        <v>405</v>
      </c>
      <c r="B279" s="6">
        <v>45514</v>
      </c>
      <c r="C279" s="14">
        <v>45514</v>
      </c>
      <c r="D279" s="4" t="s">
        <v>1124</v>
      </c>
      <c r="E279" s="8">
        <v>229.96</v>
      </c>
      <c r="F279" s="8">
        <f t="shared" si="24"/>
        <v>264.45400000000001</v>
      </c>
      <c r="G279" s="8">
        <v>564.26</v>
      </c>
      <c r="H279" s="8">
        <v>564.26</v>
      </c>
      <c r="I279" s="8" t="s">
        <v>1471</v>
      </c>
      <c r="J279" s="10">
        <v>0.105</v>
      </c>
      <c r="K279" s="10">
        <v>0.105</v>
      </c>
      <c r="L279" s="10">
        <f t="shared" si="25"/>
        <v>0.105</v>
      </c>
      <c r="M279" s="12">
        <v>5</v>
      </c>
      <c r="N279" s="12">
        <f t="shared" si="26"/>
        <v>6</v>
      </c>
      <c r="O279" s="8">
        <v>2525.0635000000002</v>
      </c>
      <c r="P279" s="8">
        <f t="shared" si="27"/>
        <v>3030.0762</v>
      </c>
      <c r="Q279" s="8">
        <v>1149.8</v>
      </c>
      <c r="R279" s="8">
        <f t="shared" si="28"/>
        <v>1586.7240000000002</v>
      </c>
      <c r="S279" s="8">
        <v>1375.2635000000002</v>
      </c>
      <c r="T279" s="8">
        <f t="shared" si="29"/>
        <v>1443.3521999999998</v>
      </c>
    </row>
    <row r="280" spans="1:20" ht="16.5" x14ac:dyDescent="0.3">
      <c r="A280" s="4" t="s">
        <v>519</v>
      </c>
      <c r="B280" s="6">
        <v>45387</v>
      </c>
      <c r="C280" s="14">
        <v>45387</v>
      </c>
      <c r="D280" s="4" t="s">
        <v>1238</v>
      </c>
      <c r="E280" s="8">
        <v>395.07</v>
      </c>
      <c r="F280" s="8">
        <f t="shared" si="24"/>
        <v>454.33049999999997</v>
      </c>
      <c r="G280" s="8">
        <v>970.27</v>
      </c>
      <c r="H280" s="8">
        <v>970.27</v>
      </c>
      <c r="I280" s="8" t="s">
        <v>1469</v>
      </c>
      <c r="J280" s="10">
        <v>0.123</v>
      </c>
      <c r="K280" s="10">
        <v>0.123</v>
      </c>
      <c r="L280" s="10">
        <f t="shared" si="25"/>
        <v>0.123</v>
      </c>
      <c r="M280" s="12">
        <v>38</v>
      </c>
      <c r="N280" s="12">
        <f t="shared" si="26"/>
        <v>45.6</v>
      </c>
      <c r="O280" s="8">
        <v>32335.21802</v>
      </c>
      <c r="P280" s="8">
        <f t="shared" si="27"/>
        <v>38802.261623999999</v>
      </c>
      <c r="Q280" s="8">
        <v>15012.66</v>
      </c>
      <c r="R280" s="8">
        <f t="shared" si="28"/>
        <v>20717.470799999999</v>
      </c>
      <c r="S280" s="8">
        <v>17322.55802</v>
      </c>
      <c r="T280" s="8">
        <f t="shared" si="29"/>
        <v>18084.790824</v>
      </c>
    </row>
    <row r="281" spans="1:20" ht="16.5" x14ac:dyDescent="0.3">
      <c r="A281" s="4" t="s">
        <v>262</v>
      </c>
      <c r="B281" s="6">
        <v>45604</v>
      </c>
      <c r="C281" s="14">
        <v>45604</v>
      </c>
      <c r="D281" s="4" t="s">
        <v>982</v>
      </c>
      <c r="E281" s="8">
        <v>803.28</v>
      </c>
      <c r="F281" s="8">
        <f t="shared" si="24"/>
        <v>923.77199999999993</v>
      </c>
      <c r="G281" s="8">
        <v>1009</v>
      </c>
      <c r="H281" s="8">
        <v>1009</v>
      </c>
      <c r="I281" s="8" t="s">
        <v>1469</v>
      </c>
      <c r="J281" s="10">
        <v>0.11</v>
      </c>
      <c r="K281" s="10">
        <v>0.11</v>
      </c>
      <c r="L281" s="10">
        <f t="shared" si="25"/>
        <v>0.11</v>
      </c>
      <c r="M281" s="12">
        <v>4</v>
      </c>
      <c r="N281" s="12">
        <f t="shared" si="26"/>
        <v>4.8</v>
      </c>
      <c r="O281" s="8">
        <v>3592.04</v>
      </c>
      <c r="P281" s="8">
        <f t="shared" si="27"/>
        <v>4310.4480000000003</v>
      </c>
      <c r="Q281" s="8">
        <v>3213.12</v>
      </c>
      <c r="R281" s="8">
        <f t="shared" si="28"/>
        <v>4434.1055999999999</v>
      </c>
      <c r="S281" s="8">
        <v>378.92000000000007</v>
      </c>
      <c r="T281" s="8">
        <f t="shared" si="29"/>
        <v>-123.65759999999955</v>
      </c>
    </row>
    <row r="282" spans="1:20" ht="16.5" x14ac:dyDescent="0.3">
      <c r="A282" s="4" t="s">
        <v>182</v>
      </c>
      <c r="B282" s="6">
        <v>45435</v>
      </c>
      <c r="C282" s="14">
        <v>45435</v>
      </c>
      <c r="D282" s="4" t="s">
        <v>901</v>
      </c>
      <c r="E282" s="8">
        <v>1481.74</v>
      </c>
      <c r="F282" s="8">
        <f t="shared" si="24"/>
        <v>1704.001</v>
      </c>
      <c r="G282" s="8">
        <v>1848.97</v>
      </c>
      <c r="H282" s="8">
        <v>1848.97</v>
      </c>
      <c r="I282" s="8" t="s">
        <v>1470</v>
      </c>
      <c r="J282" s="10">
        <v>0.254</v>
      </c>
      <c r="K282" s="10">
        <v>0.254</v>
      </c>
      <c r="L282" s="10">
        <f t="shared" si="25"/>
        <v>0.25</v>
      </c>
      <c r="M282" s="12">
        <v>9</v>
      </c>
      <c r="N282" s="12">
        <f t="shared" si="26"/>
        <v>10.799999999999999</v>
      </c>
      <c r="O282" s="8">
        <v>12413.98458</v>
      </c>
      <c r="P282" s="8">
        <f t="shared" si="27"/>
        <v>14976.656999999997</v>
      </c>
      <c r="Q282" s="8">
        <v>13335.66</v>
      </c>
      <c r="R282" s="8">
        <f t="shared" si="28"/>
        <v>18403.210799999997</v>
      </c>
      <c r="S282" s="8">
        <v>-921.67541999999958</v>
      </c>
      <c r="T282" s="8">
        <f t="shared" si="29"/>
        <v>-3426.5537999999997</v>
      </c>
    </row>
    <row r="283" spans="1:20" ht="16.5" x14ac:dyDescent="0.3">
      <c r="A283" s="4" t="s">
        <v>576</v>
      </c>
      <c r="B283" s="6">
        <v>45626</v>
      </c>
      <c r="C283" s="14">
        <v>45626</v>
      </c>
      <c r="D283" s="4" t="s">
        <v>1294</v>
      </c>
      <c r="E283" s="8">
        <v>1195.98</v>
      </c>
      <c r="F283" s="8">
        <f t="shared" si="24"/>
        <v>1375.377</v>
      </c>
      <c r="G283" s="8">
        <v>1841.9</v>
      </c>
      <c r="H283" s="8">
        <v>1841.9</v>
      </c>
      <c r="I283" s="8" t="s">
        <v>1470</v>
      </c>
      <c r="J283" s="10">
        <v>5.5E-2</v>
      </c>
      <c r="K283" s="10">
        <v>5.5E-2</v>
      </c>
      <c r="L283" s="10">
        <f t="shared" si="25"/>
        <v>5.5E-2</v>
      </c>
      <c r="M283" s="12">
        <v>19</v>
      </c>
      <c r="N283" s="12">
        <f t="shared" si="26"/>
        <v>22.8</v>
      </c>
      <c r="O283" s="8">
        <v>33071.3145</v>
      </c>
      <c r="P283" s="8">
        <f t="shared" si="27"/>
        <v>39685.577400000002</v>
      </c>
      <c r="Q283" s="8">
        <v>22723.62</v>
      </c>
      <c r="R283" s="8">
        <f t="shared" si="28"/>
        <v>31358.595600000001</v>
      </c>
      <c r="S283" s="8">
        <v>10347.694500000001</v>
      </c>
      <c r="T283" s="8">
        <f t="shared" si="29"/>
        <v>8326.9818000000014</v>
      </c>
    </row>
    <row r="284" spans="1:20" ht="16.5" x14ac:dyDescent="0.3">
      <c r="A284" s="4" t="s">
        <v>625</v>
      </c>
      <c r="B284" s="6">
        <v>45323</v>
      </c>
      <c r="C284" s="14">
        <v>45323</v>
      </c>
      <c r="D284" s="4" t="s">
        <v>1343</v>
      </c>
      <c r="E284" s="8">
        <v>714.43</v>
      </c>
      <c r="F284" s="8">
        <f t="shared" si="24"/>
        <v>821.59449999999993</v>
      </c>
      <c r="G284" s="8">
        <v>1595.52</v>
      </c>
      <c r="H284" s="8">
        <v>1595.52</v>
      </c>
      <c r="I284" s="8" t="s">
        <v>1469</v>
      </c>
      <c r="J284" s="10">
        <v>0.19400000000000001</v>
      </c>
      <c r="K284" s="10">
        <v>0.19400000000000001</v>
      </c>
      <c r="L284" s="10">
        <f t="shared" si="25"/>
        <v>0.19400000000000001</v>
      </c>
      <c r="M284" s="12">
        <v>14</v>
      </c>
      <c r="N284" s="12">
        <f t="shared" si="26"/>
        <v>16.8</v>
      </c>
      <c r="O284" s="8">
        <v>18003.847679999999</v>
      </c>
      <c r="P284" s="8">
        <f t="shared" si="27"/>
        <v>21604.617216000002</v>
      </c>
      <c r="Q284" s="8">
        <v>10002.019999999999</v>
      </c>
      <c r="R284" s="8">
        <f t="shared" si="28"/>
        <v>13802.7876</v>
      </c>
      <c r="S284" s="8">
        <v>8001.8276800000003</v>
      </c>
      <c r="T284" s="8">
        <f t="shared" si="29"/>
        <v>7801.8296160000027</v>
      </c>
    </row>
    <row r="285" spans="1:20" ht="16.5" x14ac:dyDescent="0.3">
      <c r="A285" s="4" t="s">
        <v>349</v>
      </c>
      <c r="B285" s="6">
        <v>45391</v>
      </c>
      <c r="C285" s="14">
        <v>45391</v>
      </c>
      <c r="D285" s="4" t="s">
        <v>1069</v>
      </c>
      <c r="E285" s="8">
        <v>1288.8499999999999</v>
      </c>
      <c r="F285" s="8">
        <f t="shared" si="24"/>
        <v>1482.1774999999998</v>
      </c>
      <c r="G285" s="8">
        <v>2751.84</v>
      </c>
      <c r="H285" s="8">
        <v>2751.84</v>
      </c>
      <c r="I285" s="8" t="s">
        <v>1470</v>
      </c>
      <c r="J285" s="10">
        <v>0.158</v>
      </c>
      <c r="K285" s="10">
        <v>0.158</v>
      </c>
      <c r="L285" s="10">
        <f t="shared" si="25"/>
        <v>0.158</v>
      </c>
      <c r="M285" s="12">
        <v>7</v>
      </c>
      <c r="N285" s="12">
        <f t="shared" si="26"/>
        <v>8.4</v>
      </c>
      <c r="O285" s="8">
        <v>16219.34496</v>
      </c>
      <c r="P285" s="8">
        <f t="shared" si="27"/>
        <v>19463.213952000002</v>
      </c>
      <c r="Q285" s="8">
        <v>9021.9499999999989</v>
      </c>
      <c r="R285" s="8">
        <f t="shared" si="28"/>
        <v>12450.290999999999</v>
      </c>
      <c r="S285" s="8">
        <v>7197.3949600000014</v>
      </c>
      <c r="T285" s="8">
        <f t="shared" si="29"/>
        <v>7012.9229520000026</v>
      </c>
    </row>
    <row r="286" spans="1:20" ht="16.5" x14ac:dyDescent="0.3">
      <c r="A286" s="4" t="s">
        <v>356</v>
      </c>
      <c r="B286" s="6">
        <v>45594</v>
      </c>
      <c r="C286" s="14">
        <v>45594</v>
      </c>
      <c r="D286" s="4" t="s">
        <v>1076</v>
      </c>
      <c r="E286" s="8">
        <v>805.81</v>
      </c>
      <c r="F286" s="8">
        <f t="shared" si="24"/>
        <v>926.68149999999991</v>
      </c>
      <c r="G286" s="8">
        <v>1823.04</v>
      </c>
      <c r="H286" s="8">
        <v>1823.04</v>
      </c>
      <c r="I286" s="8" t="s">
        <v>1470</v>
      </c>
      <c r="J286" s="10">
        <v>0</v>
      </c>
      <c r="K286" s="10">
        <v>0</v>
      </c>
      <c r="L286" s="10">
        <f t="shared" si="25"/>
        <v>0</v>
      </c>
      <c r="M286" s="12">
        <v>11</v>
      </c>
      <c r="N286" s="12">
        <f t="shared" si="26"/>
        <v>13.2</v>
      </c>
      <c r="O286" s="8">
        <v>20053.439999999999</v>
      </c>
      <c r="P286" s="8">
        <f t="shared" si="27"/>
        <v>24064.127999999997</v>
      </c>
      <c r="Q286" s="8">
        <v>8863.91</v>
      </c>
      <c r="R286" s="8">
        <f t="shared" si="28"/>
        <v>12232.195799999998</v>
      </c>
      <c r="S286" s="8">
        <v>11189.529999999999</v>
      </c>
      <c r="T286" s="8">
        <f t="shared" si="29"/>
        <v>11831.932199999999</v>
      </c>
    </row>
    <row r="287" spans="1:20" ht="16.5" x14ac:dyDescent="0.3">
      <c r="A287" s="4" t="s">
        <v>21</v>
      </c>
      <c r="B287" s="6">
        <v>45653</v>
      </c>
      <c r="C287" s="14">
        <v>45653</v>
      </c>
      <c r="D287" s="4" t="s">
        <v>740</v>
      </c>
      <c r="E287" s="8">
        <v>586.07000000000005</v>
      </c>
      <c r="F287" s="8">
        <f t="shared" si="24"/>
        <v>673.98050000000001</v>
      </c>
      <c r="G287" s="8">
        <v>845.97</v>
      </c>
      <c r="H287" s="8">
        <v>845.97</v>
      </c>
      <c r="I287" s="8" t="s">
        <v>1469</v>
      </c>
      <c r="J287" s="10">
        <v>0.14699999999999999</v>
      </c>
      <c r="K287" s="10">
        <v>0.14699999999999999</v>
      </c>
      <c r="L287" s="10">
        <f t="shared" si="25"/>
        <v>0.14699999999999999</v>
      </c>
      <c r="M287" s="12">
        <v>4</v>
      </c>
      <c r="N287" s="12">
        <f t="shared" si="26"/>
        <v>4.8</v>
      </c>
      <c r="O287" s="8">
        <v>2886.4496399999998</v>
      </c>
      <c r="P287" s="8">
        <f t="shared" si="27"/>
        <v>3463.739568</v>
      </c>
      <c r="Q287" s="8">
        <v>2344.2800000000002</v>
      </c>
      <c r="R287" s="8">
        <f t="shared" si="28"/>
        <v>3235.1064000000001</v>
      </c>
      <c r="S287" s="8">
        <v>542.16963999999962</v>
      </c>
      <c r="T287" s="8">
        <f t="shared" si="29"/>
        <v>228.63316799999984</v>
      </c>
    </row>
    <row r="288" spans="1:20" ht="16.5" x14ac:dyDescent="0.3">
      <c r="A288" s="4" t="s">
        <v>627</v>
      </c>
      <c r="B288" s="6">
        <v>45468</v>
      </c>
      <c r="C288" s="14">
        <v>45468</v>
      </c>
      <c r="D288" s="4" t="s">
        <v>1345</v>
      </c>
      <c r="E288" s="8">
        <v>1323.55</v>
      </c>
      <c r="F288" s="8">
        <f t="shared" si="24"/>
        <v>1522.0824999999998</v>
      </c>
      <c r="G288" s="8">
        <v>3230.35</v>
      </c>
      <c r="H288" s="8">
        <v>3230.35</v>
      </c>
      <c r="I288" s="8" t="s">
        <v>1470</v>
      </c>
      <c r="J288" s="10">
        <v>2.1999999999999999E-2</v>
      </c>
      <c r="K288" s="10">
        <v>2.1999999999999999E-2</v>
      </c>
      <c r="L288" s="10">
        <f t="shared" si="25"/>
        <v>2.1999999999999999E-2</v>
      </c>
      <c r="M288" s="12">
        <v>26</v>
      </c>
      <c r="N288" s="12">
        <f t="shared" si="26"/>
        <v>31.2</v>
      </c>
      <c r="O288" s="8">
        <v>82141.339799999987</v>
      </c>
      <c r="P288" s="8">
        <f t="shared" si="27"/>
        <v>98569.607759999999</v>
      </c>
      <c r="Q288" s="8">
        <v>34412.299999999996</v>
      </c>
      <c r="R288" s="8">
        <f t="shared" si="28"/>
        <v>47488.973999999995</v>
      </c>
      <c r="S288" s="8">
        <v>47729.039799999991</v>
      </c>
      <c r="T288" s="8">
        <f t="shared" si="29"/>
        <v>51080.633760000004</v>
      </c>
    </row>
    <row r="289" spans="1:20" ht="16.5" x14ac:dyDescent="0.3">
      <c r="A289" s="4" t="s">
        <v>377</v>
      </c>
      <c r="B289" s="6">
        <v>45360</v>
      </c>
      <c r="C289" s="14">
        <v>45360</v>
      </c>
      <c r="D289" s="4" t="s">
        <v>1097</v>
      </c>
      <c r="E289" s="8">
        <v>1029.67</v>
      </c>
      <c r="F289" s="8">
        <f t="shared" si="24"/>
        <v>1184.1205</v>
      </c>
      <c r="G289" s="8">
        <v>1118.43</v>
      </c>
      <c r="H289" s="8">
        <v>1118.43</v>
      </c>
      <c r="I289" s="8" t="s">
        <v>1469</v>
      </c>
      <c r="J289" s="10">
        <v>0.27200000000000002</v>
      </c>
      <c r="K289" s="10">
        <v>0.27200000000000002</v>
      </c>
      <c r="L289" s="10">
        <f t="shared" si="25"/>
        <v>0.25</v>
      </c>
      <c r="M289" s="12">
        <v>9</v>
      </c>
      <c r="N289" s="12">
        <f t="shared" si="26"/>
        <v>10.799999999999999</v>
      </c>
      <c r="O289" s="8">
        <v>7327.9533600000004</v>
      </c>
      <c r="P289" s="8">
        <f t="shared" si="27"/>
        <v>9059.2829999999994</v>
      </c>
      <c r="Q289" s="8">
        <v>9267.0300000000007</v>
      </c>
      <c r="R289" s="8">
        <f t="shared" si="28"/>
        <v>12788.501399999999</v>
      </c>
      <c r="S289" s="8">
        <v>-1939.0766400000002</v>
      </c>
      <c r="T289" s="8">
        <f t="shared" si="29"/>
        <v>-3729.2183999999997</v>
      </c>
    </row>
    <row r="290" spans="1:20" ht="16.5" x14ac:dyDescent="0.3">
      <c r="A290" s="4" t="s">
        <v>82</v>
      </c>
      <c r="B290" s="6">
        <v>45434</v>
      </c>
      <c r="C290" s="14">
        <v>45434</v>
      </c>
      <c r="D290" s="4" t="s">
        <v>801</v>
      </c>
      <c r="E290" s="8">
        <v>673.88</v>
      </c>
      <c r="F290" s="8">
        <f t="shared" si="24"/>
        <v>774.96199999999999</v>
      </c>
      <c r="G290" s="8">
        <v>1228.01</v>
      </c>
      <c r="H290" s="8">
        <v>1228.01</v>
      </c>
      <c r="I290" s="8" t="s">
        <v>1469</v>
      </c>
      <c r="J290" s="10">
        <v>0.105</v>
      </c>
      <c r="K290" s="10">
        <v>0.105</v>
      </c>
      <c r="L290" s="10">
        <f t="shared" si="25"/>
        <v>0.105</v>
      </c>
      <c r="M290" s="12">
        <v>13</v>
      </c>
      <c r="N290" s="12">
        <f t="shared" si="26"/>
        <v>15.6</v>
      </c>
      <c r="O290" s="8">
        <v>14287.896349999999</v>
      </c>
      <c r="P290" s="8">
        <f t="shared" si="27"/>
        <v>17145.475619999997</v>
      </c>
      <c r="Q290" s="8">
        <v>8760.44</v>
      </c>
      <c r="R290" s="8">
        <f t="shared" si="28"/>
        <v>12089.4072</v>
      </c>
      <c r="S290" s="8">
        <v>5527.4563499999986</v>
      </c>
      <c r="T290" s="8">
        <f t="shared" si="29"/>
        <v>5056.0684199999978</v>
      </c>
    </row>
    <row r="291" spans="1:20" ht="16.5" x14ac:dyDescent="0.3">
      <c r="A291" s="4" t="s">
        <v>268</v>
      </c>
      <c r="B291" s="6">
        <v>45592</v>
      </c>
      <c r="C291" s="14">
        <v>45592</v>
      </c>
      <c r="D291" s="4" t="s">
        <v>988</v>
      </c>
      <c r="E291" s="8">
        <v>317.25</v>
      </c>
      <c r="F291" s="8">
        <f t="shared" si="24"/>
        <v>364.83749999999998</v>
      </c>
      <c r="G291" s="8">
        <v>758.92</v>
      </c>
      <c r="H291" s="8">
        <v>758.92</v>
      </c>
      <c r="I291" s="8" t="s">
        <v>1471</v>
      </c>
      <c r="J291" s="10">
        <v>5.2999999999999999E-2</v>
      </c>
      <c r="K291" s="10">
        <v>5.2999999999999999E-2</v>
      </c>
      <c r="L291" s="10">
        <f t="shared" si="25"/>
        <v>5.2999999999999999E-2</v>
      </c>
      <c r="M291" s="12">
        <v>9</v>
      </c>
      <c r="N291" s="12">
        <f t="shared" si="26"/>
        <v>10.799999999999999</v>
      </c>
      <c r="O291" s="8">
        <v>6468.2751599999992</v>
      </c>
      <c r="P291" s="8">
        <f t="shared" si="27"/>
        <v>7761.9301919999989</v>
      </c>
      <c r="Q291" s="8">
        <v>2855.25</v>
      </c>
      <c r="R291" s="8">
        <f t="shared" si="28"/>
        <v>3940.2449999999994</v>
      </c>
      <c r="S291" s="8">
        <v>3613.0251599999992</v>
      </c>
      <c r="T291" s="8">
        <f t="shared" si="29"/>
        <v>3821.6851919999995</v>
      </c>
    </row>
    <row r="292" spans="1:20" ht="16.5" x14ac:dyDescent="0.3">
      <c r="A292" s="4" t="s">
        <v>551</v>
      </c>
      <c r="B292" s="6">
        <v>45520</v>
      </c>
      <c r="C292" s="14">
        <v>45520</v>
      </c>
      <c r="D292" s="4" t="s">
        <v>1121</v>
      </c>
      <c r="E292" s="8">
        <v>1291.7</v>
      </c>
      <c r="F292" s="8">
        <f t="shared" si="24"/>
        <v>1485.4549999999999</v>
      </c>
      <c r="G292" s="8">
        <v>2657.84</v>
      </c>
      <c r="H292" s="8">
        <v>2657.84</v>
      </c>
      <c r="I292" s="8" t="s">
        <v>1470</v>
      </c>
      <c r="J292" s="10">
        <v>8.6999999999999994E-2</v>
      </c>
      <c r="K292" s="10">
        <v>8.6999999999999994E-2</v>
      </c>
      <c r="L292" s="10">
        <f t="shared" si="25"/>
        <v>8.6999999999999994E-2</v>
      </c>
      <c r="M292" s="12">
        <v>21</v>
      </c>
      <c r="N292" s="12">
        <f t="shared" si="26"/>
        <v>25.2</v>
      </c>
      <c r="O292" s="8">
        <v>50958.766320000002</v>
      </c>
      <c r="P292" s="8">
        <f t="shared" si="27"/>
        <v>61150.519584000001</v>
      </c>
      <c r="Q292" s="8">
        <v>27125.7</v>
      </c>
      <c r="R292" s="8">
        <f t="shared" si="28"/>
        <v>37433.466</v>
      </c>
      <c r="S292" s="8">
        <v>23833.066320000002</v>
      </c>
      <c r="T292" s="8">
        <f t="shared" si="29"/>
        <v>23717.053584000001</v>
      </c>
    </row>
    <row r="293" spans="1:20" ht="16.5" x14ac:dyDescent="0.3">
      <c r="A293" s="4" t="s">
        <v>587</v>
      </c>
      <c r="B293" s="6">
        <v>45293</v>
      </c>
      <c r="C293" s="14">
        <v>45293</v>
      </c>
      <c r="D293" s="4" t="s">
        <v>1305</v>
      </c>
      <c r="E293" s="8">
        <v>444.41</v>
      </c>
      <c r="F293" s="8">
        <f t="shared" si="24"/>
        <v>511.07150000000001</v>
      </c>
      <c r="G293" s="8">
        <v>754.24</v>
      </c>
      <c r="H293" s="8">
        <v>754.24</v>
      </c>
      <c r="I293" s="8" t="s">
        <v>1471</v>
      </c>
      <c r="J293" s="10">
        <v>0.20699999999999999</v>
      </c>
      <c r="K293" s="10">
        <v>0.20699999999999999</v>
      </c>
      <c r="L293" s="10">
        <f t="shared" si="25"/>
        <v>0.20699999999999999</v>
      </c>
      <c r="M293" s="12">
        <v>32</v>
      </c>
      <c r="N293" s="12">
        <f t="shared" si="26"/>
        <v>38.4</v>
      </c>
      <c r="O293" s="8">
        <v>19139.594240000002</v>
      </c>
      <c r="P293" s="8">
        <f t="shared" si="27"/>
        <v>22967.513088</v>
      </c>
      <c r="Q293" s="8">
        <v>14221.12</v>
      </c>
      <c r="R293" s="8">
        <f t="shared" si="28"/>
        <v>19625.1456</v>
      </c>
      <c r="S293" s="8">
        <v>4918.4742400000014</v>
      </c>
      <c r="T293" s="8">
        <f t="shared" si="29"/>
        <v>3342.3674879999999</v>
      </c>
    </row>
    <row r="294" spans="1:20" ht="16.5" x14ac:dyDescent="0.3">
      <c r="A294" s="4" t="s">
        <v>476</v>
      </c>
      <c r="B294" s="6">
        <v>45358</v>
      </c>
      <c r="C294" s="14">
        <v>45358</v>
      </c>
      <c r="D294" s="4" t="s">
        <v>1195</v>
      </c>
      <c r="E294" s="8">
        <v>738.16</v>
      </c>
      <c r="F294" s="8">
        <f t="shared" si="24"/>
        <v>848.8839999999999</v>
      </c>
      <c r="G294" s="8">
        <v>956.49</v>
      </c>
      <c r="H294" s="8">
        <v>956.49</v>
      </c>
      <c r="I294" s="8" t="s">
        <v>1469</v>
      </c>
      <c r="J294" s="10">
        <v>0.152</v>
      </c>
      <c r="K294" s="10">
        <v>0.152</v>
      </c>
      <c r="L294" s="10">
        <f t="shared" si="25"/>
        <v>0.152</v>
      </c>
      <c r="M294" s="12">
        <v>5</v>
      </c>
      <c r="N294" s="12">
        <f t="shared" si="26"/>
        <v>6</v>
      </c>
      <c r="O294" s="8">
        <v>4055.5175999999997</v>
      </c>
      <c r="P294" s="8">
        <f t="shared" si="27"/>
        <v>4866.6211200000007</v>
      </c>
      <c r="Q294" s="8">
        <v>3690.7999999999997</v>
      </c>
      <c r="R294" s="8">
        <f t="shared" si="28"/>
        <v>5093.3039999999992</v>
      </c>
      <c r="S294" s="8">
        <v>364.71759999999995</v>
      </c>
      <c r="T294" s="8">
        <f t="shared" si="29"/>
        <v>-226.68287999999848</v>
      </c>
    </row>
    <row r="295" spans="1:20" ht="16.5" x14ac:dyDescent="0.3">
      <c r="A295" s="4" t="s">
        <v>176</v>
      </c>
      <c r="B295" s="6">
        <v>45595</v>
      </c>
      <c r="C295" s="14">
        <v>45595</v>
      </c>
      <c r="D295" s="4" t="s">
        <v>895</v>
      </c>
      <c r="E295" s="8">
        <v>811.05</v>
      </c>
      <c r="F295" s="8">
        <f t="shared" si="24"/>
        <v>932.70749999999987</v>
      </c>
      <c r="G295" s="8">
        <v>1217.71</v>
      </c>
      <c r="H295" s="8">
        <v>1217.71</v>
      </c>
      <c r="I295" s="8" t="s">
        <v>1469</v>
      </c>
      <c r="J295" s="10">
        <v>7.1999999999999995E-2</v>
      </c>
      <c r="K295" s="10">
        <v>7.1999999999999995E-2</v>
      </c>
      <c r="L295" s="10">
        <f t="shared" si="25"/>
        <v>7.1999999999999995E-2</v>
      </c>
      <c r="M295" s="12">
        <v>5</v>
      </c>
      <c r="N295" s="12">
        <f t="shared" si="26"/>
        <v>6</v>
      </c>
      <c r="O295" s="8">
        <v>5650.1744000000008</v>
      </c>
      <c r="P295" s="8">
        <f t="shared" si="27"/>
        <v>6780.2092800000009</v>
      </c>
      <c r="Q295" s="8">
        <v>4055.25</v>
      </c>
      <c r="R295" s="8">
        <f t="shared" si="28"/>
        <v>5596.244999999999</v>
      </c>
      <c r="S295" s="8">
        <v>1594.9244000000008</v>
      </c>
      <c r="T295" s="8">
        <f t="shared" si="29"/>
        <v>1183.964280000002</v>
      </c>
    </row>
    <row r="296" spans="1:20" ht="16.5" x14ac:dyDescent="0.3">
      <c r="A296" s="4" t="s">
        <v>16</v>
      </c>
      <c r="B296" s="6">
        <v>45588</v>
      </c>
      <c r="C296" s="14">
        <v>45588</v>
      </c>
      <c r="D296" s="4" t="s">
        <v>735</v>
      </c>
      <c r="E296" s="8">
        <v>1084.3900000000001</v>
      </c>
      <c r="F296" s="8">
        <f t="shared" si="24"/>
        <v>1247.0485000000001</v>
      </c>
      <c r="G296" s="8">
        <v>759.33</v>
      </c>
      <c r="H296" s="8">
        <v>759.33</v>
      </c>
      <c r="I296" s="8" t="s">
        <v>1471</v>
      </c>
      <c r="J296" s="10">
        <v>0.23699999999999999</v>
      </c>
      <c r="K296" s="10">
        <v>0.23699999999999999</v>
      </c>
      <c r="L296" s="10">
        <f t="shared" si="25"/>
        <v>0.23699999999999999</v>
      </c>
      <c r="M296" s="12">
        <v>31</v>
      </c>
      <c r="N296" s="12">
        <f t="shared" si="26"/>
        <v>37.199999999999996</v>
      </c>
      <c r="O296" s="8">
        <v>17960.432489999999</v>
      </c>
      <c r="P296" s="8">
        <f t="shared" si="27"/>
        <v>21552.518988</v>
      </c>
      <c r="Q296" s="8">
        <v>33616.090000000004</v>
      </c>
      <c r="R296" s="8">
        <f t="shared" si="28"/>
        <v>46390.2042</v>
      </c>
      <c r="S296" s="8">
        <v>-15655.657510000005</v>
      </c>
      <c r="T296" s="8">
        <f t="shared" si="29"/>
        <v>-24837.685212</v>
      </c>
    </row>
    <row r="297" spans="1:20" ht="16.5" x14ac:dyDescent="0.3">
      <c r="A297" s="4" t="s">
        <v>539</v>
      </c>
      <c r="B297" s="6">
        <v>45398</v>
      </c>
      <c r="C297" s="14">
        <v>45398</v>
      </c>
      <c r="D297" s="4" t="s">
        <v>1258</v>
      </c>
      <c r="E297" s="8">
        <v>401.3</v>
      </c>
      <c r="F297" s="8">
        <f t="shared" si="24"/>
        <v>461.495</v>
      </c>
      <c r="G297" s="8">
        <v>826.47</v>
      </c>
      <c r="H297" s="8">
        <v>826.47</v>
      </c>
      <c r="I297" s="8" t="s">
        <v>1471</v>
      </c>
      <c r="J297" s="10">
        <v>0.22500000000000001</v>
      </c>
      <c r="K297" s="10">
        <v>0.22500000000000001</v>
      </c>
      <c r="L297" s="10">
        <f t="shared" si="25"/>
        <v>0.22500000000000001</v>
      </c>
      <c r="M297" s="12">
        <v>13</v>
      </c>
      <c r="N297" s="12">
        <f t="shared" si="26"/>
        <v>15.6</v>
      </c>
      <c r="O297" s="8">
        <v>8326.6852500000005</v>
      </c>
      <c r="P297" s="8">
        <f t="shared" si="27"/>
        <v>9992.0223000000005</v>
      </c>
      <c r="Q297" s="8">
        <v>5216.9000000000005</v>
      </c>
      <c r="R297" s="8">
        <f t="shared" si="28"/>
        <v>7199.3220000000001</v>
      </c>
      <c r="S297" s="8">
        <v>3109.7852499999999</v>
      </c>
      <c r="T297" s="8">
        <f t="shared" si="29"/>
        <v>2792.7003000000004</v>
      </c>
    </row>
    <row r="298" spans="1:20" ht="16.5" x14ac:dyDescent="0.3">
      <c r="A298" s="4" t="s">
        <v>298</v>
      </c>
      <c r="B298" s="6">
        <v>45304</v>
      </c>
      <c r="C298" s="14">
        <v>45304</v>
      </c>
      <c r="D298" s="4" t="s">
        <v>1018</v>
      </c>
      <c r="E298" s="8">
        <v>1017.93</v>
      </c>
      <c r="F298" s="8">
        <f t="shared" si="24"/>
        <v>1170.6194999999998</v>
      </c>
      <c r="G298" s="8">
        <v>1529.14</v>
      </c>
      <c r="H298" s="8">
        <v>1529.14</v>
      </c>
      <c r="I298" s="8" t="s">
        <v>1469</v>
      </c>
      <c r="J298" s="10">
        <v>0.155</v>
      </c>
      <c r="K298" s="10">
        <v>0.155</v>
      </c>
      <c r="L298" s="10">
        <f t="shared" si="25"/>
        <v>0.155</v>
      </c>
      <c r="M298" s="12">
        <v>12</v>
      </c>
      <c r="N298" s="12">
        <f t="shared" si="26"/>
        <v>14.399999999999999</v>
      </c>
      <c r="O298" s="8">
        <v>15505.479600000001</v>
      </c>
      <c r="P298" s="8">
        <f t="shared" si="27"/>
        <v>18606.575519999999</v>
      </c>
      <c r="Q298" s="8">
        <v>12215.16</v>
      </c>
      <c r="R298" s="8">
        <f t="shared" si="28"/>
        <v>16856.920799999996</v>
      </c>
      <c r="S298" s="8">
        <v>3290.3196000000007</v>
      </c>
      <c r="T298" s="8">
        <f t="shared" si="29"/>
        <v>1749.6547200000023</v>
      </c>
    </row>
    <row r="299" spans="1:20" ht="16.5" x14ac:dyDescent="0.3">
      <c r="A299" s="4" t="s">
        <v>501</v>
      </c>
      <c r="B299" s="6">
        <v>45613</v>
      </c>
      <c r="C299" s="14">
        <v>45613</v>
      </c>
      <c r="D299" s="4" t="s">
        <v>1220</v>
      </c>
      <c r="E299" s="8">
        <v>1008.16</v>
      </c>
      <c r="F299" s="8">
        <f t="shared" si="24"/>
        <v>1159.3839999999998</v>
      </c>
      <c r="G299" s="8">
        <v>2077.5</v>
      </c>
      <c r="H299" s="8">
        <v>2077.5</v>
      </c>
      <c r="I299" s="8" t="s">
        <v>1470</v>
      </c>
      <c r="J299" s="10">
        <v>7.3999999999999996E-2</v>
      </c>
      <c r="K299" s="10">
        <v>7.3999999999999996E-2</v>
      </c>
      <c r="L299" s="10">
        <f t="shared" si="25"/>
        <v>7.3999999999999996E-2</v>
      </c>
      <c r="M299" s="12">
        <v>15</v>
      </c>
      <c r="N299" s="12">
        <f t="shared" si="26"/>
        <v>18</v>
      </c>
      <c r="O299" s="8">
        <v>28856.475000000002</v>
      </c>
      <c r="P299" s="8">
        <f t="shared" si="27"/>
        <v>34627.770000000004</v>
      </c>
      <c r="Q299" s="8">
        <v>15122.4</v>
      </c>
      <c r="R299" s="8">
        <f t="shared" si="28"/>
        <v>20868.911999999997</v>
      </c>
      <c r="S299" s="8">
        <v>13734.075000000003</v>
      </c>
      <c r="T299" s="8">
        <f t="shared" si="29"/>
        <v>13758.858000000007</v>
      </c>
    </row>
    <row r="300" spans="1:20" ht="16.5" x14ac:dyDescent="0.3">
      <c r="A300" s="4" t="s">
        <v>425</v>
      </c>
      <c r="B300" s="6">
        <v>45430</v>
      </c>
      <c r="C300" s="14">
        <v>45430</v>
      </c>
      <c r="D300" s="4" t="s">
        <v>1144</v>
      </c>
      <c r="E300" s="8">
        <v>663.66</v>
      </c>
      <c r="F300" s="8">
        <f t="shared" si="24"/>
        <v>763.20899999999995</v>
      </c>
      <c r="G300" s="8">
        <v>824.26</v>
      </c>
      <c r="H300" s="8">
        <v>824.26</v>
      </c>
      <c r="I300" s="8" t="s">
        <v>1471</v>
      </c>
      <c r="J300" s="10">
        <v>0.23899999999999999</v>
      </c>
      <c r="K300" s="10">
        <v>0.23899999999999999</v>
      </c>
      <c r="L300" s="10">
        <f t="shared" si="25"/>
        <v>0.23899999999999999</v>
      </c>
      <c r="M300" s="12">
        <v>11</v>
      </c>
      <c r="N300" s="12">
        <f t="shared" si="26"/>
        <v>13.2</v>
      </c>
      <c r="O300" s="8">
        <v>6899.8804600000003</v>
      </c>
      <c r="P300" s="8">
        <f t="shared" si="27"/>
        <v>8279.8565519999993</v>
      </c>
      <c r="Q300" s="8">
        <v>7300.2599999999993</v>
      </c>
      <c r="R300" s="8">
        <f t="shared" si="28"/>
        <v>10074.358799999998</v>
      </c>
      <c r="S300" s="8">
        <v>-400.379539999999</v>
      </c>
      <c r="T300" s="8">
        <f t="shared" si="29"/>
        <v>-1794.5022479999989</v>
      </c>
    </row>
    <row r="301" spans="1:20" ht="16.5" x14ac:dyDescent="0.3">
      <c r="A301" s="4" t="s">
        <v>444</v>
      </c>
      <c r="B301" s="6">
        <v>45597</v>
      </c>
      <c r="C301" s="14">
        <v>45597</v>
      </c>
      <c r="D301" s="4" t="s">
        <v>1163</v>
      </c>
      <c r="E301" s="8">
        <v>599.84</v>
      </c>
      <c r="F301" s="8">
        <f t="shared" si="24"/>
        <v>689.81600000000003</v>
      </c>
      <c r="G301" s="8">
        <v>1330.85</v>
      </c>
      <c r="H301" s="8">
        <v>1330.85</v>
      </c>
      <c r="I301" s="8" t="s">
        <v>1469</v>
      </c>
      <c r="J301" s="10">
        <v>0.115</v>
      </c>
      <c r="K301" s="10">
        <v>0.115</v>
      </c>
      <c r="L301" s="10">
        <f t="shared" si="25"/>
        <v>0.115</v>
      </c>
      <c r="M301" s="12">
        <v>11</v>
      </c>
      <c r="N301" s="12">
        <f t="shared" si="26"/>
        <v>13.2</v>
      </c>
      <c r="O301" s="8">
        <v>12955.824749999998</v>
      </c>
      <c r="P301" s="8">
        <f t="shared" si="27"/>
        <v>15546.989699999998</v>
      </c>
      <c r="Q301" s="8">
        <v>6598.2400000000007</v>
      </c>
      <c r="R301" s="8">
        <f t="shared" si="28"/>
        <v>9105.5712000000003</v>
      </c>
      <c r="S301" s="8">
        <v>6357.5847499999973</v>
      </c>
      <c r="T301" s="8">
        <f t="shared" si="29"/>
        <v>6441.4184999999979</v>
      </c>
    </row>
    <row r="302" spans="1:20" ht="16.5" x14ac:dyDescent="0.3">
      <c r="A302" s="4" t="s">
        <v>499</v>
      </c>
      <c r="B302" s="6">
        <v>45634</v>
      </c>
      <c r="C302" s="14">
        <v>45634</v>
      </c>
      <c r="D302" s="4" t="s">
        <v>1218</v>
      </c>
      <c r="E302" s="8">
        <v>257.44</v>
      </c>
      <c r="F302" s="8">
        <f t="shared" si="24"/>
        <v>296.05599999999998</v>
      </c>
      <c r="G302" s="8">
        <v>290.33</v>
      </c>
      <c r="H302" s="8">
        <v>290.33</v>
      </c>
      <c r="I302" s="8" t="s">
        <v>1471</v>
      </c>
      <c r="J302" s="10">
        <v>9.1999999999999998E-2</v>
      </c>
      <c r="K302" s="10">
        <v>9.1999999999999998E-2</v>
      </c>
      <c r="L302" s="10">
        <f t="shared" si="25"/>
        <v>9.1999999999999998E-2</v>
      </c>
      <c r="M302" s="12">
        <v>23</v>
      </c>
      <c r="N302" s="12">
        <f t="shared" si="26"/>
        <v>27.599999999999998</v>
      </c>
      <c r="O302" s="8">
        <v>6063.2517199999993</v>
      </c>
      <c r="P302" s="8">
        <f t="shared" si="27"/>
        <v>7275.9020639999999</v>
      </c>
      <c r="Q302" s="8">
        <v>5921.12</v>
      </c>
      <c r="R302" s="8">
        <f t="shared" si="28"/>
        <v>8171.1455999999989</v>
      </c>
      <c r="S302" s="8">
        <v>142.1317199999994</v>
      </c>
      <c r="T302" s="8">
        <f t="shared" si="29"/>
        <v>-895.24353599999904</v>
      </c>
    </row>
    <row r="303" spans="1:20" ht="16.5" x14ac:dyDescent="0.3">
      <c r="A303" s="4" t="s">
        <v>158</v>
      </c>
      <c r="B303" s="6">
        <v>45458</v>
      </c>
      <c r="C303" s="14">
        <v>45458</v>
      </c>
      <c r="D303" s="4" t="s">
        <v>877</v>
      </c>
      <c r="E303" s="8">
        <v>817.23</v>
      </c>
      <c r="F303" s="8">
        <f t="shared" si="24"/>
        <v>939.81449999999995</v>
      </c>
      <c r="G303" s="8">
        <v>1467.17</v>
      </c>
      <c r="H303" s="8">
        <v>1467.17</v>
      </c>
      <c r="I303" s="8" t="s">
        <v>1469</v>
      </c>
      <c r="J303" s="10">
        <v>0.245</v>
      </c>
      <c r="K303" s="10">
        <v>0.245</v>
      </c>
      <c r="L303" s="10">
        <f t="shared" si="25"/>
        <v>0.245</v>
      </c>
      <c r="M303" s="12">
        <v>9</v>
      </c>
      <c r="N303" s="12">
        <f t="shared" si="26"/>
        <v>10.799999999999999</v>
      </c>
      <c r="O303" s="8">
        <v>9969.4201499999999</v>
      </c>
      <c r="P303" s="8">
        <f t="shared" si="27"/>
        <v>11963.304179999999</v>
      </c>
      <c r="Q303" s="8">
        <v>7355.07</v>
      </c>
      <c r="R303" s="8">
        <f t="shared" si="28"/>
        <v>10149.996599999999</v>
      </c>
      <c r="S303" s="8">
        <v>2614.3501500000002</v>
      </c>
      <c r="T303" s="8">
        <f t="shared" si="29"/>
        <v>1813.3075800000006</v>
      </c>
    </row>
    <row r="304" spans="1:20" ht="16.5" x14ac:dyDescent="0.3">
      <c r="A304" s="4" t="s">
        <v>59</v>
      </c>
      <c r="B304" s="6">
        <v>45432</v>
      </c>
      <c r="C304" s="14">
        <v>45432</v>
      </c>
      <c r="D304" s="4" t="s">
        <v>778</v>
      </c>
      <c r="E304" s="8">
        <v>675.43</v>
      </c>
      <c r="F304" s="8">
        <f t="shared" si="24"/>
        <v>776.7444999999999</v>
      </c>
      <c r="G304" s="8">
        <v>996.36</v>
      </c>
      <c r="H304" s="8">
        <v>996.36</v>
      </c>
      <c r="I304" s="8" t="s">
        <v>1469</v>
      </c>
      <c r="J304" s="10">
        <v>0.182</v>
      </c>
      <c r="K304" s="10">
        <v>0.182</v>
      </c>
      <c r="L304" s="10">
        <f t="shared" si="25"/>
        <v>0.182</v>
      </c>
      <c r="M304" s="12">
        <v>22</v>
      </c>
      <c r="N304" s="12">
        <f t="shared" si="26"/>
        <v>26.4</v>
      </c>
      <c r="O304" s="8">
        <v>17930.494560000003</v>
      </c>
      <c r="P304" s="8">
        <f t="shared" si="27"/>
        <v>21516.593472</v>
      </c>
      <c r="Q304" s="8">
        <v>14859.46</v>
      </c>
      <c r="R304" s="8">
        <f t="shared" si="28"/>
        <v>20506.054799999998</v>
      </c>
      <c r="S304" s="8">
        <v>3071.0345600000037</v>
      </c>
      <c r="T304" s="8">
        <f t="shared" si="29"/>
        <v>1010.5386720000024</v>
      </c>
    </row>
    <row r="305" spans="1:20" ht="16.5" x14ac:dyDescent="0.3">
      <c r="A305" s="4" t="s">
        <v>420</v>
      </c>
      <c r="B305" s="6">
        <v>45646</v>
      </c>
      <c r="C305" s="14">
        <v>45646</v>
      </c>
      <c r="D305" s="4" t="s">
        <v>1139</v>
      </c>
      <c r="E305" s="8">
        <v>1361.34</v>
      </c>
      <c r="F305" s="8">
        <f t="shared" si="24"/>
        <v>1565.5409999999997</v>
      </c>
      <c r="G305" s="8">
        <v>1737.9</v>
      </c>
      <c r="H305" s="8">
        <v>1737.9</v>
      </c>
      <c r="I305" s="8" t="s">
        <v>1470</v>
      </c>
      <c r="J305" s="10">
        <v>7.6999999999999999E-2</v>
      </c>
      <c r="K305" s="10">
        <v>7.6999999999999999E-2</v>
      </c>
      <c r="L305" s="10">
        <f t="shared" si="25"/>
        <v>7.6999999999999999E-2</v>
      </c>
      <c r="M305" s="12">
        <v>14</v>
      </c>
      <c r="N305" s="12">
        <f t="shared" si="26"/>
        <v>16.8</v>
      </c>
      <c r="O305" s="8">
        <v>22457.143800000002</v>
      </c>
      <c r="P305" s="8">
        <f t="shared" si="27"/>
        <v>26948.572560000001</v>
      </c>
      <c r="Q305" s="8">
        <v>19058.759999999998</v>
      </c>
      <c r="R305" s="8">
        <f t="shared" si="28"/>
        <v>26301.088799999998</v>
      </c>
      <c r="S305" s="8">
        <v>3398.3838000000032</v>
      </c>
      <c r="T305" s="8">
        <f t="shared" si="29"/>
        <v>647.4837600000028</v>
      </c>
    </row>
    <row r="306" spans="1:20" ht="16.5" x14ac:dyDescent="0.3">
      <c r="A306" s="4" t="s">
        <v>398</v>
      </c>
      <c r="B306" s="6">
        <v>45491</v>
      </c>
      <c r="C306" s="14">
        <v>45491</v>
      </c>
      <c r="D306" s="4" t="s">
        <v>1117</v>
      </c>
      <c r="E306" s="8">
        <v>941.35</v>
      </c>
      <c r="F306" s="8">
        <f t="shared" si="24"/>
        <v>1082.5525</v>
      </c>
      <c r="G306" s="8">
        <v>899.83</v>
      </c>
      <c r="H306" s="8">
        <v>899.83</v>
      </c>
      <c r="I306" s="8" t="s">
        <v>1469</v>
      </c>
      <c r="J306" s="10">
        <v>5.8000000000000003E-2</v>
      </c>
      <c r="K306" s="10">
        <v>5.8000000000000003E-2</v>
      </c>
      <c r="L306" s="10">
        <f t="shared" si="25"/>
        <v>5.8000000000000003E-2</v>
      </c>
      <c r="M306" s="12">
        <v>18</v>
      </c>
      <c r="N306" s="12">
        <f t="shared" si="26"/>
        <v>21.599999999999998</v>
      </c>
      <c r="O306" s="8">
        <v>15257.51748</v>
      </c>
      <c r="P306" s="8">
        <f t="shared" si="27"/>
        <v>18309.020975999996</v>
      </c>
      <c r="Q306" s="8">
        <v>16944.3</v>
      </c>
      <c r="R306" s="8">
        <f t="shared" si="28"/>
        <v>23383.133999999998</v>
      </c>
      <c r="S306" s="8">
        <v>-1686.7825199999988</v>
      </c>
      <c r="T306" s="8">
        <f t="shared" si="29"/>
        <v>-5074.113024000002</v>
      </c>
    </row>
    <row r="307" spans="1:20" ht="16.5" x14ac:dyDescent="0.3">
      <c r="A307" s="4" t="s">
        <v>532</v>
      </c>
      <c r="B307" s="6">
        <v>45413</v>
      </c>
      <c r="C307" s="14">
        <v>45413</v>
      </c>
      <c r="D307" s="4" t="s">
        <v>1251</v>
      </c>
      <c r="E307" s="8">
        <v>930.71</v>
      </c>
      <c r="F307" s="8">
        <f t="shared" si="24"/>
        <v>1070.3164999999999</v>
      </c>
      <c r="G307" s="8">
        <v>1625.42</v>
      </c>
      <c r="H307" s="8">
        <v>1625.42</v>
      </c>
      <c r="I307" s="8" t="s">
        <v>1469</v>
      </c>
      <c r="J307" s="10">
        <v>0.13800000000000001</v>
      </c>
      <c r="K307" s="10">
        <v>0.13800000000000001</v>
      </c>
      <c r="L307" s="10">
        <f t="shared" si="25"/>
        <v>0.13800000000000001</v>
      </c>
      <c r="M307" s="12">
        <v>7</v>
      </c>
      <c r="N307" s="12">
        <f t="shared" si="26"/>
        <v>8.4</v>
      </c>
      <c r="O307" s="8">
        <v>9807.7842799999999</v>
      </c>
      <c r="P307" s="8">
        <f t="shared" si="27"/>
        <v>11769.341136000001</v>
      </c>
      <c r="Q307" s="8">
        <v>6514.97</v>
      </c>
      <c r="R307" s="8">
        <f t="shared" si="28"/>
        <v>8990.6585999999988</v>
      </c>
      <c r="S307" s="8">
        <v>3292.8142799999996</v>
      </c>
      <c r="T307" s="8">
        <f t="shared" si="29"/>
        <v>2778.6825360000021</v>
      </c>
    </row>
    <row r="308" spans="1:20" ht="16.5" x14ac:dyDescent="0.3">
      <c r="A308" s="4" t="s">
        <v>325</v>
      </c>
      <c r="B308" s="6">
        <v>45435</v>
      </c>
      <c r="C308" s="14">
        <v>45435</v>
      </c>
      <c r="D308" s="4" t="s">
        <v>1045</v>
      </c>
      <c r="E308" s="8">
        <v>51.13</v>
      </c>
      <c r="F308" s="8">
        <f t="shared" si="24"/>
        <v>58.799500000000002</v>
      </c>
      <c r="G308" s="8">
        <v>57.53</v>
      </c>
      <c r="H308" s="8">
        <v>57.53</v>
      </c>
      <c r="I308" s="8" t="s">
        <v>1471</v>
      </c>
      <c r="J308" s="10">
        <v>4.4999999999999998E-2</v>
      </c>
      <c r="K308" s="10">
        <v>4.4999999999999998E-2</v>
      </c>
      <c r="L308" s="10">
        <f t="shared" si="25"/>
        <v>4.4999999999999998E-2</v>
      </c>
      <c r="M308" s="12">
        <v>16</v>
      </c>
      <c r="N308" s="12">
        <f t="shared" si="26"/>
        <v>19.2</v>
      </c>
      <c r="O308" s="8">
        <v>879.05840000000001</v>
      </c>
      <c r="P308" s="8">
        <f t="shared" si="27"/>
        <v>1054.8700799999999</v>
      </c>
      <c r="Q308" s="8">
        <v>818.08</v>
      </c>
      <c r="R308" s="8">
        <f t="shared" si="28"/>
        <v>1128.9503999999999</v>
      </c>
      <c r="S308" s="8">
        <v>60.978399999999965</v>
      </c>
      <c r="T308" s="8">
        <f t="shared" si="29"/>
        <v>-74.080320000000029</v>
      </c>
    </row>
    <row r="309" spans="1:20" ht="16.5" x14ac:dyDescent="0.3">
      <c r="A309" s="4" t="s">
        <v>560</v>
      </c>
      <c r="B309" s="6">
        <v>45355</v>
      </c>
      <c r="C309" s="14">
        <v>45355</v>
      </c>
      <c r="D309" s="4" t="s">
        <v>1278</v>
      </c>
      <c r="E309" s="8">
        <v>441.08</v>
      </c>
      <c r="F309" s="8">
        <f t="shared" si="24"/>
        <v>507.24199999999996</v>
      </c>
      <c r="G309" s="8">
        <v>1054.29</v>
      </c>
      <c r="H309" s="8">
        <v>1054.29</v>
      </c>
      <c r="I309" s="8" t="s">
        <v>1469</v>
      </c>
      <c r="J309" s="10">
        <v>0.23699999999999999</v>
      </c>
      <c r="K309" s="10">
        <v>0.23699999999999999</v>
      </c>
      <c r="L309" s="10">
        <f t="shared" si="25"/>
        <v>0.23699999999999999</v>
      </c>
      <c r="M309" s="12">
        <v>6</v>
      </c>
      <c r="N309" s="12">
        <f t="shared" si="26"/>
        <v>7.1999999999999993</v>
      </c>
      <c r="O309" s="8">
        <v>4826.5396199999996</v>
      </c>
      <c r="P309" s="8">
        <f t="shared" si="27"/>
        <v>5791.8475439999993</v>
      </c>
      <c r="Q309" s="8">
        <v>2646.48</v>
      </c>
      <c r="R309" s="8">
        <f t="shared" si="28"/>
        <v>3652.1423999999993</v>
      </c>
      <c r="S309" s="8">
        <v>2180.0596199999995</v>
      </c>
      <c r="T309" s="8">
        <f t="shared" si="29"/>
        <v>2139.705144</v>
      </c>
    </row>
    <row r="310" spans="1:20" ht="16.5" x14ac:dyDescent="0.3">
      <c r="A310" s="4" t="s">
        <v>246</v>
      </c>
      <c r="B310" s="6">
        <v>45538</v>
      </c>
      <c r="C310" s="14">
        <v>45538</v>
      </c>
      <c r="D310" s="4" t="s">
        <v>966</v>
      </c>
      <c r="E310" s="8">
        <v>197.63</v>
      </c>
      <c r="F310" s="8">
        <f t="shared" si="24"/>
        <v>227.27449999999999</v>
      </c>
      <c r="G310" s="8">
        <v>325.79000000000002</v>
      </c>
      <c r="H310" s="8">
        <v>325.79000000000002</v>
      </c>
      <c r="I310" s="8" t="s">
        <v>1471</v>
      </c>
      <c r="J310" s="10">
        <v>0.11600000000000001</v>
      </c>
      <c r="K310" s="10">
        <v>0.11600000000000001</v>
      </c>
      <c r="L310" s="10">
        <f t="shared" si="25"/>
        <v>0.11600000000000001</v>
      </c>
      <c r="M310" s="12">
        <v>10</v>
      </c>
      <c r="N310" s="12">
        <f t="shared" si="26"/>
        <v>12</v>
      </c>
      <c r="O310" s="8">
        <v>2879.9836</v>
      </c>
      <c r="P310" s="8">
        <f t="shared" si="27"/>
        <v>3455.9803200000006</v>
      </c>
      <c r="Q310" s="8">
        <v>1976.3</v>
      </c>
      <c r="R310" s="8">
        <f t="shared" si="28"/>
        <v>2727.2939999999999</v>
      </c>
      <c r="S310" s="8">
        <v>903.68360000000007</v>
      </c>
      <c r="T310" s="8">
        <f t="shared" si="29"/>
        <v>728.68632000000071</v>
      </c>
    </row>
    <row r="311" spans="1:20" ht="16.5" x14ac:dyDescent="0.3">
      <c r="A311" s="4" t="s">
        <v>328</v>
      </c>
      <c r="B311" s="6">
        <v>45451</v>
      </c>
      <c r="C311" s="14">
        <v>45451</v>
      </c>
      <c r="D311" s="4" t="s">
        <v>1048</v>
      </c>
      <c r="E311" s="8">
        <v>597.85</v>
      </c>
      <c r="F311" s="8">
        <f t="shared" si="24"/>
        <v>687.52749999999992</v>
      </c>
      <c r="G311" s="8">
        <v>741.92</v>
      </c>
      <c r="H311" s="8">
        <v>741.92</v>
      </c>
      <c r="I311" s="8" t="s">
        <v>1471</v>
      </c>
      <c r="J311" s="10">
        <v>3.1E-2</v>
      </c>
      <c r="K311" s="10">
        <v>3.1E-2</v>
      </c>
      <c r="L311" s="10">
        <f t="shared" si="25"/>
        <v>3.1E-2</v>
      </c>
      <c r="M311" s="12">
        <v>7</v>
      </c>
      <c r="N311" s="12">
        <f t="shared" si="26"/>
        <v>8.4</v>
      </c>
      <c r="O311" s="8">
        <v>5032.4433599999993</v>
      </c>
      <c r="P311" s="8">
        <f t="shared" si="27"/>
        <v>6038.9320319999997</v>
      </c>
      <c r="Q311" s="8">
        <v>4184.95</v>
      </c>
      <c r="R311" s="8">
        <f t="shared" si="28"/>
        <v>5775.2309999999998</v>
      </c>
      <c r="S311" s="8">
        <v>847.49335999999948</v>
      </c>
      <c r="T311" s="8">
        <f t="shared" si="29"/>
        <v>263.70103199999994</v>
      </c>
    </row>
    <row r="312" spans="1:20" ht="16.5" x14ac:dyDescent="0.3">
      <c r="A312" s="4" t="s">
        <v>509</v>
      </c>
      <c r="B312" s="6">
        <v>45508</v>
      </c>
      <c r="C312" s="14">
        <v>45508</v>
      </c>
      <c r="D312" s="4" t="s">
        <v>1228</v>
      </c>
      <c r="E312" s="8">
        <v>352.79</v>
      </c>
      <c r="F312" s="8">
        <f t="shared" si="24"/>
        <v>405.70850000000002</v>
      </c>
      <c r="G312" s="8">
        <v>754.22</v>
      </c>
      <c r="H312" s="8">
        <v>754.22</v>
      </c>
      <c r="I312" s="8" t="s">
        <v>1471</v>
      </c>
      <c r="J312" s="10">
        <v>0.113</v>
      </c>
      <c r="K312" s="10">
        <v>0.113</v>
      </c>
      <c r="L312" s="10">
        <f t="shared" si="25"/>
        <v>0.113</v>
      </c>
      <c r="M312" s="12">
        <v>7</v>
      </c>
      <c r="N312" s="12">
        <f t="shared" si="26"/>
        <v>8.4</v>
      </c>
      <c r="O312" s="8">
        <v>4682.9519799999998</v>
      </c>
      <c r="P312" s="8">
        <f t="shared" si="27"/>
        <v>5619.5423760000003</v>
      </c>
      <c r="Q312" s="8">
        <v>2469.5300000000002</v>
      </c>
      <c r="R312" s="8">
        <f t="shared" si="28"/>
        <v>3407.9514000000004</v>
      </c>
      <c r="S312" s="8">
        <v>2213.4219799999996</v>
      </c>
      <c r="T312" s="8">
        <f t="shared" si="29"/>
        <v>2211.590976</v>
      </c>
    </row>
    <row r="313" spans="1:20" ht="16.5" x14ac:dyDescent="0.3">
      <c r="A313" s="4" t="s">
        <v>583</v>
      </c>
      <c r="B313" s="6">
        <v>45342</v>
      </c>
      <c r="C313" s="14">
        <v>45342</v>
      </c>
      <c r="D313" s="4" t="s">
        <v>1301</v>
      </c>
      <c r="E313" s="8">
        <v>1407.05</v>
      </c>
      <c r="F313" s="8">
        <f t="shared" si="24"/>
        <v>1618.1074999999998</v>
      </c>
      <c r="G313" s="8">
        <v>2858.93</v>
      </c>
      <c r="H313" s="8">
        <v>2858.93</v>
      </c>
      <c r="I313" s="8" t="s">
        <v>1470</v>
      </c>
      <c r="J313" s="10">
        <v>0</v>
      </c>
      <c r="K313" s="10">
        <v>0</v>
      </c>
      <c r="L313" s="10">
        <f t="shared" si="25"/>
        <v>0</v>
      </c>
      <c r="M313" s="12">
        <v>12</v>
      </c>
      <c r="N313" s="12">
        <f t="shared" si="26"/>
        <v>14.399999999999999</v>
      </c>
      <c r="O313" s="8">
        <v>34307.159999999996</v>
      </c>
      <c r="P313" s="8">
        <f t="shared" si="27"/>
        <v>41168.591999999997</v>
      </c>
      <c r="Q313" s="8">
        <v>16884.599999999999</v>
      </c>
      <c r="R313" s="8">
        <f t="shared" si="28"/>
        <v>23300.747999999996</v>
      </c>
      <c r="S313" s="8">
        <v>17422.559999999998</v>
      </c>
      <c r="T313" s="8">
        <f t="shared" si="29"/>
        <v>17867.844000000001</v>
      </c>
    </row>
    <row r="314" spans="1:20" ht="16.5" x14ac:dyDescent="0.3">
      <c r="A314" s="4" t="s">
        <v>164</v>
      </c>
      <c r="B314" s="6">
        <v>45558</v>
      </c>
      <c r="C314" s="14">
        <v>45558</v>
      </c>
      <c r="D314" s="4" t="s">
        <v>883</v>
      </c>
      <c r="E314" s="8">
        <v>1297</v>
      </c>
      <c r="F314" s="8">
        <f t="shared" si="24"/>
        <v>1491.55</v>
      </c>
      <c r="G314" s="8">
        <v>2411.52</v>
      </c>
      <c r="H314" s="8">
        <v>2411.52</v>
      </c>
      <c r="I314" s="8" t="s">
        <v>1470</v>
      </c>
      <c r="J314" s="10">
        <v>2.1000000000000001E-2</v>
      </c>
      <c r="K314" s="10">
        <v>2.1000000000000001E-2</v>
      </c>
      <c r="L314" s="10">
        <f t="shared" si="25"/>
        <v>2.1000000000000001E-2</v>
      </c>
      <c r="M314" s="12">
        <v>18</v>
      </c>
      <c r="N314" s="12">
        <f t="shared" si="26"/>
        <v>21.599999999999998</v>
      </c>
      <c r="O314" s="8">
        <v>42495.805439999996</v>
      </c>
      <c r="P314" s="8">
        <f t="shared" si="27"/>
        <v>50994.966527999997</v>
      </c>
      <c r="Q314" s="8">
        <v>23346</v>
      </c>
      <c r="R314" s="8">
        <f t="shared" si="28"/>
        <v>32217.479999999996</v>
      </c>
      <c r="S314" s="8">
        <v>19149.805439999996</v>
      </c>
      <c r="T314" s="8">
        <f t="shared" si="29"/>
        <v>18777.486528000001</v>
      </c>
    </row>
    <row r="315" spans="1:20" ht="16.5" x14ac:dyDescent="0.3">
      <c r="A315" s="4" t="s">
        <v>609</v>
      </c>
      <c r="B315" s="6">
        <v>45473</v>
      </c>
      <c r="C315" s="14">
        <v>45473</v>
      </c>
      <c r="D315" s="4" t="s">
        <v>1327</v>
      </c>
      <c r="E315" s="8">
        <v>753.43</v>
      </c>
      <c r="F315" s="8">
        <f t="shared" si="24"/>
        <v>866.44449999999983</v>
      </c>
      <c r="G315" s="8">
        <v>1787.2</v>
      </c>
      <c r="H315" s="8">
        <v>1787.2</v>
      </c>
      <c r="I315" s="8" t="s">
        <v>1470</v>
      </c>
      <c r="J315" s="10">
        <v>7.2999999999999995E-2</v>
      </c>
      <c r="K315" s="10">
        <v>7.2999999999999995E-2</v>
      </c>
      <c r="L315" s="10">
        <f t="shared" si="25"/>
        <v>7.2999999999999995E-2</v>
      </c>
      <c r="M315" s="12">
        <v>9</v>
      </c>
      <c r="N315" s="12">
        <f t="shared" si="26"/>
        <v>10.799999999999999</v>
      </c>
      <c r="O315" s="8">
        <v>14910.609600000002</v>
      </c>
      <c r="P315" s="8">
        <f t="shared" si="27"/>
        <v>17892.731520000001</v>
      </c>
      <c r="Q315" s="8">
        <v>6780.87</v>
      </c>
      <c r="R315" s="8">
        <f t="shared" si="28"/>
        <v>9357.6005999999979</v>
      </c>
      <c r="S315" s="8">
        <v>8129.7396000000017</v>
      </c>
      <c r="T315" s="8">
        <f t="shared" si="29"/>
        <v>8535.1309200000032</v>
      </c>
    </row>
    <row r="316" spans="1:20" ht="16.5" x14ac:dyDescent="0.3">
      <c r="A316" s="4" t="s">
        <v>209</v>
      </c>
      <c r="B316" s="6">
        <v>45557</v>
      </c>
      <c r="C316" s="14">
        <v>45557</v>
      </c>
      <c r="D316" s="4" t="s">
        <v>929</v>
      </c>
      <c r="E316" s="8">
        <v>1378.8</v>
      </c>
      <c r="F316" s="8">
        <f t="shared" si="24"/>
        <v>1585.62</v>
      </c>
      <c r="G316" s="8">
        <v>1952.04</v>
      </c>
      <c r="H316" s="8">
        <v>1952.04</v>
      </c>
      <c r="I316" s="8" t="s">
        <v>1470</v>
      </c>
      <c r="J316" s="10">
        <v>0.159</v>
      </c>
      <c r="K316" s="10">
        <v>0.159</v>
      </c>
      <c r="L316" s="10">
        <f t="shared" si="25"/>
        <v>0.159</v>
      </c>
      <c r="M316" s="12">
        <v>19</v>
      </c>
      <c r="N316" s="12">
        <f t="shared" si="26"/>
        <v>22.8</v>
      </c>
      <c r="O316" s="8">
        <v>31191.64716</v>
      </c>
      <c r="P316" s="8">
        <f t="shared" si="27"/>
        <v>37429.976591999999</v>
      </c>
      <c r="Q316" s="8">
        <v>26197.200000000001</v>
      </c>
      <c r="R316" s="8">
        <f t="shared" si="28"/>
        <v>36152.135999999999</v>
      </c>
      <c r="S316" s="8">
        <v>4994.4471599999997</v>
      </c>
      <c r="T316" s="8">
        <f t="shared" si="29"/>
        <v>1277.8405920000005</v>
      </c>
    </row>
    <row r="317" spans="1:20" ht="16.5" x14ac:dyDescent="0.3">
      <c r="A317" s="4" t="s">
        <v>455</v>
      </c>
      <c r="B317" s="6">
        <v>45374</v>
      </c>
      <c r="C317" s="14">
        <v>45374</v>
      </c>
      <c r="D317" s="4" t="s">
        <v>1174</v>
      </c>
      <c r="E317" s="8">
        <v>382.21</v>
      </c>
      <c r="F317" s="8">
        <f t="shared" si="24"/>
        <v>439.54149999999993</v>
      </c>
      <c r="G317" s="8">
        <v>571.89</v>
      </c>
      <c r="H317" s="8">
        <v>571.89</v>
      </c>
      <c r="I317" s="8" t="s">
        <v>1471</v>
      </c>
      <c r="J317" s="10">
        <v>0.14799999999999999</v>
      </c>
      <c r="K317" s="10">
        <v>0.14799999999999999</v>
      </c>
      <c r="L317" s="10">
        <f t="shared" si="25"/>
        <v>0.14799999999999999</v>
      </c>
      <c r="M317" s="12">
        <v>26</v>
      </c>
      <c r="N317" s="12">
        <f t="shared" si="26"/>
        <v>31.2</v>
      </c>
      <c r="O317" s="8">
        <v>12668.50728</v>
      </c>
      <c r="P317" s="8">
        <f t="shared" si="27"/>
        <v>15202.208736</v>
      </c>
      <c r="Q317" s="8">
        <v>9937.4599999999991</v>
      </c>
      <c r="R317" s="8">
        <f t="shared" si="28"/>
        <v>13713.694799999997</v>
      </c>
      <c r="S317" s="8">
        <v>2731.0472800000007</v>
      </c>
      <c r="T317" s="8">
        <f t="shared" si="29"/>
        <v>1488.513936000003</v>
      </c>
    </row>
    <row r="318" spans="1:20" ht="16.5" x14ac:dyDescent="0.3">
      <c r="A318" s="4" t="s">
        <v>91</v>
      </c>
      <c r="B318" s="6">
        <v>45532</v>
      </c>
      <c r="C318" s="14">
        <v>45532</v>
      </c>
      <c r="D318" s="4" t="s">
        <v>810</v>
      </c>
      <c r="E318" s="8">
        <v>1394.65</v>
      </c>
      <c r="F318" s="8">
        <f t="shared" si="24"/>
        <v>1603.8475000000001</v>
      </c>
      <c r="G318" s="8">
        <v>3144.1</v>
      </c>
      <c r="H318" s="8">
        <v>3144.1</v>
      </c>
      <c r="I318" s="8" t="s">
        <v>1470</v>
      </c>
      <c r="J318" s="10">
        <v>0.13400000000000001</v>
      </c>
      <c r="K318" s="10">
        <v>0.13400000000000001</v>
      </c>
      <c r="L318" s="10">
        <f t="shared" si="25"/>
        <v>0.13400000000000001</v>
      </c>
      <c r="M318" s="12">
        <v>13</v>
      </c>
      <c r="N318" s="12">
        <f t="shared" si="26"/>
        <v>15.6</v>
      </c>
      <c r="O318" s="8">
        <v>35396.277799999996</v>
      </c>
      <c r="P318" s="8">
        <f t="shared" si="27"/>
        <v>42475.533360000001</v>
      </c>
      <c r="Q318" s="8">
        <v>18130.45</v>
      </c>
      <c r="R318" s="8">
        <f t="shared" si="28"/>
        <v>25020.021000000001</v>
      </c>
      <c r="S318" s="8">
        <v>17265.827799999995</v>
      </c>
      <c r="T318" s="8">
        <f t="shared" si="29"/>
        <v>17455.512360000001</v>
      </c>
    </row>
    <row r="319" spans="1:20" ht="16.5" x14ac:dyDescent="0.3">
      <c r="A319" s="4" t="s">
        <v>92</v>
      </c>
      <c r="B319" s="6">
        <v>45473</v>
      </c>
      <c r="C319" s="14">
        <v>45473</v>
      </c>
      <c r="D319" s="4" t="s">
        <v>811</v>
      </c>
      <c r="E319" s="8">
        <v>1112.98</v>
      </c>
      <c r="F319" s="8">
        <f t="shared" si="24"/>
        <v>1279.9269999999999</v>
      </c>
      <c r="G319" s="8">
        <v>2095.73</v>
      </c>
      <c r="H319" s="8">
        <v>2095.73</v>
      </c>
      <c r="I319" s="8" t="s">
        <v>1470</v>
      </c>
      <c r="J319" s="10">
        <v>7.1999999999999995E-2</v>
      </c>
      <c r="K319" s="10">
        <v>7.1999999999999995E-2</v>
      </c>
      <c r="L319" s="10">
        <f t="shared" si="25"/>
        <v>7.1999999999999995E-2</v>
      </c>
      <c r="M319" s="12">
        <v>17</v>
      </c>
      <c r="N319" s="12">
        <f t="shared" si="26"/>
        <v>20.399999999999999</v>
      </c>
      <c r="O319" s="8">
        <v>33062.236480000007</v>
      </c>
      <c r="P319" s="8">
        <f t="shared" si="27"/>
        <v>39674.683776000005</v>
      </c>
      <c r="Q319" s="8">
        <v>18920.66</v>
      </c>
      <c r="R319" s="8">
        <f t="shared" si="28"/>
        <v>26110.510799999996</v>
      </c>
      <c r="S319" s="8">
        <v>14141.576480000007</v>
      </c>
      <c r="T319" s="8">
        <f t="shared" si="29"/>
        <v>13564.172976000009</v>
      </c>
    </row>
    <row r="320" spans="1:20" ht="16.5" x14ac:dyDescent="0.3">
      <c r="A320" s="4" t="s">
        <v>428</v>
      </c>
      <c r="B320" s="6">
        <v>45449</v>
      </c>
      <c r="C320" s="14">
        <v>45449</v>
      </c>
      <c r="D320" s="4" t="s">
        <v>1147</v>
      </c>
      <c r="E320" s="8">
        <v>1253.25</v>
      </c>
      <c r="F320" s="8">
        <f t="shared" si="24"/>
        <v>1441.2375</v>
      </c>
      <c r="G320" s="8">
        <v>3087.13</v>
      </c>
      <c r="H320" s="8">
        <v>3087.13</v>
      </c>
      <c r="I320" s="8" t="s">
        <v>1470</v>
      </c>
      <c r="J320" s="10">
        <v>7.1999999999999995E-2</v>
      </c>
      <c r="K320" s="10">
        <v>7.1999999999999995E-2</v>
      </c>
      <c r="L320" s="10">
        <f t="shared" si="25"/>
        <v>7.1999999999999995E-2</v>
      </c>
      <c r="M320" s="12">
        <v>11</v>
      </c>
      <c r="N320" s="12">
        <f t="shared" si="26"/>
        <v>13.2</v>
      </c>
      <c r="O320" s="8">
        <v>31513.423040000001</v>
      </c>
      <c r="P320" s="8">
        <f t="shared" si="27"/>
        <v>37816.107648000005</v>
      </c>
      <c r="Q320" s="8">
        <v>13785.75</v>
      </c>
      <c r="R320" s="8">
        <f t="shared" si="28"/>
        <v>19024.334999999999</v>
      </c>
      <c r="S320" s="8">
        <v>17727.673040000001</v>
      </c>
      <c r="T320" s="8">
        <f t="shared" si="29"/>
        <v>18791.772648000006</v>
      </c>
    </row>
    <row r="321" spans="1:20" ht="16.5" x14ac:dyDescent="0.3">
      <c r="A321" s="4" t="s">
        <v>65</v>
      </c>
      <c r="B321" s="6">
        <v>45602</v>
      </c>
      <c r="C321" s="14">
        <v>45602</v>
      </c>
      <c r="D321" s="4" t="s">
        <v>784</v>
      </c>
      <c r="E321" s="8">
        <v>1454.11</v>
      </c>
      <c r="F321" s="8">
        <f t="shared" si="24"/>
        <v>1672.2264999999998</v>
      </c>
      <c r="G321" s="8">
        <v>2629.75</v>
      </c>
      <c r="H321" s="8">
        <v>2629.75</v>
      </c>
      <c r="I321" s="8" t="s">
        <v>1470</v>
      </c>
      <c r="J321" s="10">
        <v>0.29199999999999998</v>
      </c>
      <c r="K321" s="10">
        <v>0.29199999999999998</v>
      </c>
      <c r="L321" s="10">
        <f t="shared" si="25"/>
        <v>0.25</v>
      </c>
      <c r="M321" s="12">
        <v>8</v>
      </c>
      <c r="N321" s="12">
        <f t="shared" si="26"/>
        <v>9.6</v>
      </c>
      <c r="O321" s="8">
        <v>14894.903999999999</v>
      </c>
      <c r="P321" s="8">
        <f t="shared" si="27"/>
        <v>18934.199999999997</v>
      </c>
      <c r="Q321" s="8">
        <v>11632.88</v>
      </c>
      <c r="R321" s="8">
        <f t="shared" si="28"/>
        <v>16053.374399999997</v>
      </c>
      <c r="S321" s="8">
        <v>3262.0239999999994</v>
      </c>
      <c r="T321" s="8">
        <f t="shared" si="29"/>
        <v>2880.8256000000001</v>
      </c>
    </row>
    <row r="322" spans="1:20" ht="16.5" x14ac:dyDescent="0.3">
      <c r="A322" s="4" t="s">
        <v>536</v>
      </c>
      <c r="B322" s="6">
        <v>45482</v>
      </c>
      <c r="C322" s="14">
        <v>45482</v>
      </c>
      <c r="D322" s="4" t="s">
        <v>1255</v>
      </c>
      <c r="E322" s="8">
        <v>748.39</v>
      </c>
      <c r="F322" s="8">
        <f t="shared" si="24"/>
        <v>860.6484999999999</v>
      </c>
      <c r="G322" s="8">
        <v>979.42</v>
      </c>
      <c r="H322" s="8">
        <v>979.42</v>
      </c>
      <c r="I322" s="8" t="s">
        <v>1469</v>
      </c>
      <c r="J322" s="10">
        <v>0</v>
      </c>
      <c r="K322" s="10">
        <v>0</v>
      </c>
      <c r="L322" s="10">
        <f t="shared" si="25"/>
        <v>0</v>
      </c>
      <c r="M322" s="12">
        <v>23</v>
      </c>
      <c r="N322" s="12">
        <f t="shared" si="26"/>
        <v>27.599999999999998</v>
      </c>
      <c r="O322" s="8">
        <v>22526.66</v>
      </c>
      <c r="P322" s="8">
        <f t="shared" si="27"/>
        <v>27031.991999999998</v>
      </c>
      <c r="Q322" s="8">
        <v>17212.97</v>
      </c>
      <c r="R322" s="8">
        <f t="shared" si="28"/>
        <v>23753.898599999997</v>
      </c>
      <c r="S322" s="8">
        <v>5313.6899999999987</v>
      </c>
      <c r="T322" s="8">
        <f t="shared" si="29"/>
        <v>3278.0934000000016</v>
      </c>
    </row>
    <row r="323" spans="1:20" ht="16.5" x14ac:dyDescent="0.3">
      <c r="A323" s="4" t="s">
        <v>438</v>
      </c>
      <c r="B323" s="6">
        <v>45341</v>
      </c>
      <c r="C323" s="14">
        <v>45341</v>
      </c>
      <c r="D323" s="4" t="s">
        <v>1157</v>
      </c>
      <c r="E323" s="8">
        <v>1477.84</v>
      </c>
      <c r="F323" s="8">
        <f t="shared" ref="F323:F386" si="30">(E323*(1+$X$3))</f>
        <v>1699.5159999999998</v>
      </c>
      <c r="G323" s="8">
        <v>3197.47</v>
      </c>
      <c r="H323" s="8">
        <v>3197.47</v>
      </c>
      <c r="I323" s="8" t="s">
        <v>1470</v>
      </c>
      <c r="J323" s="10">
        <v>0.24299999999999999</v>
      </c>
      <c r="K323" s="10">
        <v>0.24299999999999999</v>
      </c>
      <c r="L323" s="10">
        <f t="shared" ref="L323:L386" si="31">MIN(K323, $X$2)</f>
        <v>0.24299999999999999</v>
      </c>
      <c r="M323" s="12">
        <v>24</v>
      </c>
      <c r="N323" s="12">
        <f t="shared" ref="N323:N386" si="32">(M323*(1+$X$4))</f>
        <v>28.799999999999997</v>
      </c>
      <c r="O323" s="8">
        <v>58091.634960000003</v>
      </c>
      <c r="P323" s="8">
        <f t="shared" ref="P323:P386" si="33">(H323*N323*(1-L323))</f>
        <v>69709.961951999983</v>
      </c>
      <c r="Q323" s="8">
        <v>35468.159999999996</v>
      </c>
      <c r="R323" s="8">
        <f t="shared" ref="R323:R386" si="34">F323*N323</f>
        <v>48946.060799999992</v>
      </c>
      <c r="S323" s="8">
        <v>22623.474960000007</v>
      </c>
      <c r="T323" s="8">
        <f t="shared" ref="T323:T386" si="35">P323-R323</f>
        <v>20763.901151999991</v>
      </c>
    </row>
    <row r="324" spans="1:20" ht="16.5" x14ac:dyDescent="0.3">
      <c r="A324" s="4" t="s">
        <v>132</v>
      </c>
      <c r="B324" s="6">
        <v>45653</v>
      </c>
      <c r="C324" s="14">
        <v>45653</v>
      </c>
      <c r="D324" s="4" t="s">
        <v>851</v>
      </c>
      <c r="E324" s="8">
        <v>1391.99</v>
      </c>
      <c r="F324" s="8">
        <f t="shared" si="30"/>
        <v>1600.7884999999999</v>
      </c>
      <c r="G324" s="8">
        <v>3469.7</v>
      </c>
      <c r="H324" s="8">
        <v>3469.7</v>
      </c>
      <c r="I324" s="8" t="s">
        <v>1470</v>
      </c>
      <c r="J324" s="10">
        <v>0.184</v>
      </c>
      <c r="K324" s="10">
        <v>0.184</v>
      </c>
      <c r="L324" s="10">
        <f t="shared" si="31"/>
        <v>0.184</v>
      </c>
      <c r="M324" s="12">
        <v>23</v>
      </c>
      <c r="N324" s="12">
        <f t="shared" si="32"/>
        <v>27.599999999999998</v>
      </c>
      <c r="O324" s="8">
        <v>65119.329599999997</v>
      </c>
      <c r="P324" s="8">
        <f t="shared" si="33"/>
        <v>78143.195519999994</v>
      </c>
      <c r="Q324" s="8">
        <v>32015.77</v>
      </c>
      <c r="R324" s="8">
        <f t="shared" si="34"/>
        <v>44181.762599999995</v>
      </c>
      <c r="S324" s="8">
        <v>33103.559599999993</v>
      </c>
      <c r="T324" s="8">
        <f t="shared" si="35"/>
        <v>33961.432919999999</v>
      </c>
    </row>
    <row r="325" spans="1:20" ht="16.5" x14ac:dyDescent="0.3">
      <c r="A325" s="4" t="s">
        <v>118</v>
      </c>
      <c r="B325" s="6">
        <v>45631</v>
      </c>
      <c r="C325" s="14">
        <v>45631</v>
      </c>
      <c r="D325" s="4" t="s">
        <v>837</v>
      </c>
      <c r="E325" s="8">
        <v>107.03</v>
      </c>
      <c r="F325" s="8">
        <f t="shared" si="30"/>
        <v>123.08449999999999</v>
      </c>
      <c r="G325" s="8">
        <v>242.29</v>
      </c>
      <c r="H325" s="8">
        <v>242.29</v>
      </c>
      <c r="I325" s="8" t="s">
        <v>1471</v>
      </c>
      <c r="J325" s="10">
        <v>0.18</v>
      </c>
      <c r="K325" s="10">
        <v>0.18</v>
      </c>
      <c r="L325" s="10">
        <f t="shared" si="31"/>
        <v>0.18</v>
      </c>
      <c r="M325" s="12">
        <v>30</v>
      </c>
      <c r="N325" s="12">
        <f t="shared" si="32"/>
        <v>36</v>
      </c>
      <c r="O325" s="8">
        <v>5960.3340000000007</v>
      </c>
      <c r="P325" s="8">
        <f t="shared" si="33"/>
        <v>7152.4008000000013</v>
      </c>
      <c r="Q325" s="8">
        <v>3210.9</v>
      </c>
      <c r="R325" s="8">
        <f t="shared" si="34"/>
        <v>4431.0419999999995</v>
      </c>
      <c r="S325" s="8">
        <v>2749.4340000000007</v>
      </c>
      <c r="T325" s="8">
        <f t="shared" si="35"/>
        <v>2721.3588000000018</v>
      </c>
    </row>
    <row r="326" spans="1:20" ht="16.5" x14ac:dyDescent="0.3">
      <c r="A326" s="4" t="s">
        <v>593</v>
      </c>
      <c r="B326" s="6">
        <v>45607</v>
      </c>
      <c r="C326" s="14">
        <v>45607</v>
      </c>
      <c r="D326" s="4" t="s">
        <v>1311</v>
      </c>
      <c r="E326" s="8">
        <v>164.53</v>
      </c>
      <c r="F326" s="8">
        <f t="shared" si="30"/>
        <v>189.20949999999999</v>
      </c>
      <c r="G326" s="8">
        <v>327.72</v>
      </c>
      <c r="H326" s="8">
        <v>327.72</v>
      </c>
      <c r="I326" s="8" t="s">
        <v>1471</v>
      </c>
      <c r="J326" s="10">
        <v>6.7000000000000004E-2</v>
      </c>
      <c r="K326" s="10">
        <v>6.7000000000000004E-2</v>
      </c>
      <c r="L326" s="10">
        <f t="shared" si="31"/>
        <v>6.7000000000000004E-2</v>
      </c>
      <c r="M326" s="12">
        <v>14</v>
      </c>
      <c r="N326" s="12">
        <f t="shared" si="32"/>
        <v>16.8</v>
      </c>
      <c r="O326" s="8">
        <v>4280.6786400000001</v>
      </c>
      <c r="P326" s="8">
        <f t="shared" si="33"/>
        <v>5136.8143680000012</v>
      </c>
      <c r="Q326" s="8">
        <v>2303.42</v>
      </c>
      <c r="R326" s="8">
        <f t="shared" si="34"/>
        <v>3178.7195999999999</v>
      </c>
      <c r="S326" s="8">
        <v>1977.25864</v>
      </c>
      <c r="T326" s="8">
        <f t="shared" si="35"/>
        <v>1958.0947680000013</v>
      </c>
    </row>
    <row r="327" spans="1:20" ht="16.5" x14ac:dyDescent="0.3">
      <c r="A327" s="4" t="s">
        <v>289</v>
      </c>
      <c r="B327" s="6">
        <v>45316</v>
      </c>
      <c r="C327" s="14">
        <v>45316</v>
      </c>
      <c r="D327" s="4" t="s">
        <v>1009</v>
      </c>
      <c r="E327" s="8">
        <v>1410.97</v>
      </c>
      <c r="F327" s="8">
        <f t="shared" si="30"/>
        <v>1622.6154999999999</v>
      </c>
      <c r="G327" s="8">
        <v>1650.75</v>
      </c>
      <c r="H327" s="8">
        <v>1650.75</v>
      </c>
      <c r="I327" s="8" t="s">
        <v>1470</v>
      </c>
      <c r="J327" s="10">
        <v>0.13500000000000001</v>
      </c>
      <c r="K327" s="10">
        <v>0.13500000000000001</v>
      </c>
      <c r="L327" s="10">
        <f t="shared" si="31"/>
        <v>0.13500000000000001</v>
      </c>
      <c r="M327" s="12">
        <v>6</v>
      </c>
      <c r="N327" s="12">
        <f t="shared" si="32"/>
        <v>7.1999999999999993</v>
      </c>
      <c r="O327" s="8">
        <v>8567.3924999999999</v>
      </c>
      <c r="P327" s="8">
        <f t="shared" si="33"/>
        <v>10280.870999999999</v>
      </c>
      <c r="Q327" s="8">
        <v>8465.82</v>
      </c>
      <c r="R327" s="8">
        <f t="shared" si="34"/>
        <v>11682.831599999998</v>
      </c>
      <c r="S327" s="8">
        <v>101.57250000000022</v>
      </c>
      <c r="T327" s="8">
        <f t="shared" si="35"/>
        <v>-1401.9605999999985</v>
      </c>
    </row>
    <row r="328" spans="1:20" ht="16.5" x14ac:dyDescent="0.3">
      <c r="A328" s="4" t="s">
        <v>38</v>
      </c>
      <c r="B328" s="6">
        <v>45430</v>
      </c>
      <c r="C328" s="14">
        <v>45430</v>
      </c>
      <c r="D328" s="4" t="s">
        <v>757</v>
      </c>
      <c r="E328" s="8">
        <v>1274.5899999999999</v>
      </c>
      <c r="F328" s="8">
        <f t="shared" si="30"/>
        <v>1465.7784999999999</v>
      </c>
      <c r="G328" s="8">
        <v>2553.69</v>
      </c>
      <c r="H328" s="8">
        <v>2553.69</v>
      </c>
      <c r="I328" s="8" t="s">
        <v>1470</v>
      </c>
      <c r="J328" s="10">
        <v>0.01</v>
      </c>
      <c r="K328" s="10">
        <v>0.01</v>
      </c>
      <c r="L328" s="10">
        <f t="shared" si="31"/>
        <v>0.01</v>
      </c>
      <c r="M328" s="12">
        <v>8</v>
      </c>
      <c r="N328" s="12">
        <f t="shared" si="32"/>
        <v>9.6</v>
      </c>
      <c r="O328" s="8">
        <v>20225.2248</v>
      </c>
      <c r="P328" s="8">
        <f t="shared" si="33"/>
        <v>24270.269759999999</v>
      </c>
      <c r="Q328" s="8">
        <v>10196.719999999999</v>
      </c>
      <c r="R328" s="8">
        <f t="shared" si="34"/>
        <v>14071.473599999999</v>
      </c>
      <c r="S328" s="8">
        <v>10028.504800000001</v>
      </c>
      <c r="T328" s="8">
        <f t="shared" si="35"/>
        <v>10198.79616</v>
      </c>
    </row>
    <row r="329" spans="1:20" ht="16.5" x14ac:dyDescent="0.3">
      <c r="A329" s="4" t="s">
        <v>280</v>
      </c>
      <c r="B329" s="6">
        <v>45573</v>
      </c>
      <c r="C329" s="14">
        <v>45573</v>
      </c>
      <c r="D329" s="4" t="s">
        <v>1000</v>
      </c>
      <c r="E329" s="8">
        <v>1108.1099999999999</v>
      </c>
      <c r="F329" s="8">
        <f t="shared" si="30"/>
        <v>1274.3264999999999</v>
      </c>
      <c r="G329" s="8">
        <v>2503.79</v>
      </c>
      <c r="H329" s="8">
        <v>2503.79</v>
      </c>
      <c r="I329" s="8" t="s">
        <v>1470</v>
      </c>
      <c r="J329" s="10">
        <v>0.184</v>
      </c>
      <c r="K329" s="10">
        <v>0.184</v>
      </c>
      <c r="L329" s="10">
        <f t="shared" si="31"/>
        <v>0.184</v>
      </c>
      <c r="M329" s="12">
        <v>19</v>
      </c>
      <c r="N329" s="12">
        <f t="shared" si="32"/>
        <v>22.8</v>
      </c>
      <c r="O329" s="8">
        <v>38818.760160000005</v>
      </c>
      <c r="P329" s="8">
        <f t="shared" si="33"/>
        <v>46582.512192000009</v>
      </c>
      <c r="Q329" s="8">
        <v>21054.089999999997</v>
      </c>
      <c r="R329" s="8">
        <f t="shared" si="34"/>
        <v>29054.644199999999</v>
      </c>
      <c r="S329" s="8">
        <v>17764.670160000009</v>
      </c>
      <c r="T329" s="8">
        <f t="shared" si="35"/>
        <v>17527.86799200001</v>
      </c>
    </row>
    <row r="330" spans="1:20" ht="16.5" x14ac:dyDescent="0.3">
      <c r="A330" s="4" t="s">
        <v>338</v>
      </c>
      <c r="B330" s="6">
        <v>45544</v>
      </c>
      <c r="C330" s="14">
        <v>45544</v>
      </c>
      <c r="D330" s="4" t="s">
        <v>1058</v>
      </c>
      <c r="E330" s="8">
        <v>1010.33</v>
      </c>
      <c r="F330" s="8">
        <f t="shared" si="30"/>
        <v>1161.8795</v>
      </c>
      <c r="G330" s="8">
        <v>2492.14</v>
      </c>
      <c r="H330" s="8">
        <v>2492.14</v>
      </c>
      <c r="I330" s="8" t="s">
        <v>1470</v>
      </c>
      <c r="J330" s="10">
        <v>5.0999999999999997E-2</v>
      </c>
      <c r="K330" s="10">
        <v>5.0999999999999997E-2</v>
      </c>
      <c r="L330" s="10">
        <f t="shared" si="31"/>
        <v>5.0999999999999997E-2</v>
      </c>
      <c r="M330" s="12">
        <v>11</v>
      </c>
      <c r="N330" s="12">
        <f t="shared" si="32"/>
        <v>13.2</v>
      </c>
      <c r="O330" s="8">
        <v>26015.449459999996</v>
      </c>
      <c r="P330" s="8">
        <f t="shared" si="33"/>
        <v>31218.539352</v>
      </c>
      <c r="Q330" s="8">
        <v>11113.630000000001</v>
      </c>
      <c r="R330" s="8">
        <f t="shared" si="34"/>
        <v>15336.8094</v>
      </c>
      <c r="S330" s="8">
        <v>14901.819459999995</v>
      </c>
      <c r="T330" s="8">
        <f t="shared" si="35"/>
        <v>15881.729952</v>
      </c>
    </row>
    <row r="331" spans="1:20" ht="16.5" x14ac:dyDescent="0.3">
      <c r="A331" s="4" t="s">
        <v>203</v>
      </c>
      <c r="B331" s="6">
        <v>45431</v>
      </c>
      <c r="C331" s="14">
        <v>45431</v>
      </c>
      <c r="D331" s="4" t="s">
        <v>923</v>
      </c>
      <c r="E331" s="8">
        <v>1075.9000000000001</v>
      </c>
      <c r="F331" s="8">
        <f t="shared" si="30"/>
        <v>1237.2850000000001</v>
      </c>
      <c r="G331" s="8">
        <v>1242.1500000000001</v>
      </c>
      <c r="H331" s="8">
        <v>1242.1500000000001</v>
      </c>
      <c r="I331" s="8" t="s">
        <v>1469</v>
      </c>
      <c r="J331" s="10">
        <v>1.2E-2</v>
      </c>
      <c r="K331" s="10">
        <v>1.2E-2</v>
      </c>
      <c r="L331" s="10">
        <f t="shared" si="31"/>
        <v>1.2E-2</v>
      </c>
      <c r="M331" s="12">
        <v>7</v>
      </c>
      <c r="N331" s="12">
        <f t="shared" si="32"/>
        <v>8.4</v>
      </c>
      <c r="O331" s="8">
        <v>8590.7094000000016</v>
      </c>
      <c r="P331" s="8">
        <f t="shared" si="33"/>
        <v>10308.851280000001</v>
      </c>
      <c r="Q331" s="8">
        <v>7531.3000000000011</v>
      </c>
      <c r="R331" s="8">
        <f t="shared" si="34"/>
        <v>10393.194000000001</v>
      </c>
      <c r="S331" s="8">
        <v>1059.4094000000005</v>
      </c>
      <c r="T331" s="8">
        <f t="shared" si="35"/>
        <v>-84.342720000000554</v>
      </c>
    </row>
    <row r="332" spans="1:20" ht="16.5" x14ac:dyDescent="0.3">
      <c r="A332" s="4" t="s">
        <v>479</v>
      </c>
      <c r="B332" s="6">
        <v>45618</v>
      </c>
      <c r="C332" s="14">
        <v>45618</v>
      </c>
      <c r="D332" s="4" t="s">
        <v>1198</v>
      </c>
      <c r="E332" s="8">
        <v>1335.76</v>
      </c>
      <c r="F332" s="8">
        <f t="shared" si="30"/>
        <v>1536.1239999999998</v>
      </c>
      <c r="G332" s="8">
        <v>2665.91</v>
      </c>
      <c r="H332" s="8">
        <v>2665.91</v>
      </c>
      <c r="I332" s="8" t="s">
        <v>1470</v>
      </c>
      <c r="J332" s="10">
        <v>0.21099999999999999</v>
      </c>
      <c r="K332" s="10">
        <v>0.21099999999999999</v>
      </c>
      <c r="L332" s="10">
        <f t="shared" si="31"/>
        <v>0.21099999999999999</v>
      </c>
      <c r="M332" s="12">
        <v>40</v>
      </c>
      <c r="N332" s="12">
        <f t="shared" si="32"/>
        <v>48</v>
      </c>
      <c r="O332" s="8">
        <v>84136.119600000005</v>
      </c>
      <c r="P332" s="8">
        <f t="shared" si="33"/>
        <v>100963.34351999999</v>
      </c>
      <c r="Q332" s="8">
        <v>53430.400000000001</v>
      </c>
      <c r="R332" s="8">
        <f t="shared" si="34"/>
        <v>73733.95199999999</v>
      </c>
      <c r="S332" s="8">
        <v>30705.719600000004</v>
      </c>
      <c r="T332" s="8">
        <f t="shared" si="35"/>
        <v>27229.391520000005</v>
      </c>
    </row>
    <row r="333" spans="1:20" ht="16.5" x14ac:dyDescent="0.3">
      <c r="A333" s="4" t="s">
        <v>458</v>
      </c>
      <c r="B333" s="6">
        <v>45560</v>
      </c>
      <c r="C333" s="14">
        <v>45560</v>
      </c>
      <c r="D333" s="4" t="s">
        <v>1177</v>
      </c>
      <c r="E333" s="8">
        <v>558.19000000000005</v>
      </c>
      <c r="F333" s="8">
        <f t="shared" si="30"/>
        <v>641.91849999999999</v>
      </c>
      <c r="G333" s="8">
        <v>1031.6400000000001</v>
      </c>
      <c r="H333" s="8">
        <v>1031.6400000000001</v>
      </c>
      <c r="I333" s="8" t="s">
        <v>1469</v>
      </c>
      <c r="J333" s="10">
        <v>0</v>
      </c>
      <c r="K333" s="10">
        <v>0</v>
      </c>
      <c r="L333" s="10">
        <f t="shared" si="31"/>
        <v>0</v>
      </c>
      <c r="M333" s="12">
        <v>21</v>
      </c>
      <c r="N333" s="12">
        <f t="shared" si="32"/>
        <v>25.2</v>
      </c>
      <c r="O333" s="8">
        <v>21664.440000000002</v>
      </c>
      <c r="P333" s="8">
        <f t="shared" si="33"/>
        <v>25997.328000000001</v>
      </c>
      <c r="Q333" s="8">
        <v>11721.990000000002</v>
      </c>
      <c r="R333" s="8">
        <f t="shared" si="34"/>
        <v>16176.3462</v>
      </c>
      <c r="S333" s="8">
        <v>9942.4500000000007</v>
      </c>
      <c r="T333" s="8">
        <f t="shared" si="35"/>
        <v>9820.9818000000014</v>
      </c>
    </row>
    <row r="334" spans="1:20" ht="16.5" x14ac:dyDescent="0.3">
      <c r="A334" s="4" t="s">
        <v>371</v>
      </c>
      <c r="B334" s="6">
        <v>45385</v>
      </c>
      <c r="C334" s="14">
        <v>45385</v>
      </c>
      <c r="D334" s="4" t="s">
        <v>1091</v>
      </c>
      <c r="E334" s="8">
        <v>1176.69</v>
      </c>
      <c r="F334" s="8">
        <f t="shared" si="30"/>
        <v>1353.1934999999999</v>
      </c>
      <c r="G334" s="8">
        <v>2201.54</v>
      </c>
      <c r="H334" s="8">
        <v>2201.54</v>
      </c>
      <c r="I334" s="8" t="s">
        <v>1470</v>
      </c>
      <c r="J334" s="10">
        <v>0.17</v>
      </c>
      <c r="K334" s="10">
        <v>0.17</v>
      </c>
      <c r="L334" s="10">
        <f t="shared" si="31"/>
        <v>0.17</v>
      </c>
      <c r="M334" s="12">
        <v>27</v>
      </c>
      <c r="N334" s="12">
        <f t="shared" si="32"/>
        <v>32.4</v>
      </c>
      <c r="O334" s="8">
        <v>49336.511399999996</v>
      </c>
      <c r="P334" s="8">
        <f t="shared" si="33"/>
        <v>59203.813679999992</v>
      </c>
      <c r="Q334" s="8">
        <v>31770.63</v>
      </c>
      <c r="R334" s="8">
        <f t="shared" si="34"/>
        <v>43843.469399999994</v>
      </c>
      <c r="S334" s="8">
        <v>17565.881399999995</v>
      </c>
      <c r="T334" s="8">
        <f t="shared" si="35"/>
        <v>15360.344279999998</v>
      </c>
    </row>
    <row r="335" spans="1:20" ht="16.5" x14ac:dyDescent="0.3">
      <c r="A335" s="4" t="s">
        <v>439</v>
      </c>
      <c r="B335" s="6">
        <v>45349</v>
      </c>
      <c r="C335" s="14">
        <v>45349</v>
      </c>
      <c r="D335" s="4" t="s">
        <v>1158</v>
      </c>
      <c r="E335" s="8">
        <v>1035.19</v>
      </c>
      <c r="F335" s="8">
        <f t="shared" si="30"/>
        <v>1190.4684999999999</v>
      </c>
      <c r="G335" s="8">
        <v>2322.6999999999998</v>
      </c>
      <c r="H335" s="8">
        <v>2322.6999999999998</v>
      </c>
      <c r="I335" s="8" t="s">
        <v>1470</v>
      </c>
      <c r="J335" s="10">
        <v>0.17299999999999999</v>
      </c>
      <c r="K335" s="10">
        <v>0.17299999999999999</v>
      </c>
      <c r="L335" s="10">
        <f t="shared" si="31"/>
        <v>0.17299999999999999</v>
      </c>
      <c r="M335" s="12">
        <v>8</v>
      </c>
      <c r="N335" s="12">
        <f t="shared" si="32"/>
        <v>9.6</v>
      </c>
      <c r="O335" s="8">
        <v>15366.983199999999</v>
      </c>
      <c r="P335" s="8">
        <f t="shared" si="33"/>
        <v>18440.379839999998</v>
      </c>
      <c r="Q335" s="8">
        <v>8281.52</v>
      </c>
      <c r="R335" s="8">
        <f t="shared" si="34"/>
        <v>11428.497599999999</v>
      </c>
      <c r="S335" s="8">
        <v>7085.4631999999983</v>
      </c>
      <c r="T335" s="8">
        <f t="shared" si="35"/>
        <v>7011.882239999999</v>
      </c>
    </row>
    <row r="336" spans="1:20" ht="16.5" x14ac:dyDescent="0.3">
      <c r="A336" s="4" t="s">
        <v>507</v>
      </c>
      <c r="B336" s="6">
        <v>45352</v>
      </c>
      <c r="C336" s="14">
        <v>45352</v>
      </c>
      <c r="D336" s="4" t="s">
        <v>1226</v>
      </c>
      <c r="E336" s="8">
        <v>5.34</v>
      </c>
      <c r="F336" s="8">
        <f t="shared" si="30"/>
        <v>6.1409999999999991</v>
      </c>
      <c r="G336" s="8">
        <v>12.69</v>
      </c>
      <c r="H336" s="8">
        <v>12.69</v>
      </c>
      <c r="I336" s="8" t="s">
        <v>1471</v>
      </c>
      <c r="J336" s="10">
        <v>0.13200000000000001</v>
      </c>
      <c r="K336" s="10">
        <v>0.13200000000000001</v>
      </c>
      <c r="L336" s="10">
        <f t="shared" si="31"/>
        <v>0.13200000000000001</v>
      </c>
      <c r="M336" s="12">
        <v>10</v>
      </c>
      <c r="N336" s="12">
        <f t="shared" si="32"/>
        <v>12</v>
      </c>
      <c r="O336" s="8">
        <v>110.14919999999999</v>
      </c>
      <c r="P336" s="8">
        <f t="shared" si="33"/>
        <v>132.17903999999999</v>
      </c>
      <c r="Q336" s="8">
        <v>53.4</v>
      </c>
      <c r="R336" s="8">
        <f t="shared" si="34"/>
        <v>73.691999999999993</v>
      </c>
      <c r="S336" s="8">
        <v>56.749199999999995</v>
      </c>
      <c r="T336" s="8">
        <f t="shared" si="35"/>
        <v>58.487039999999993</v>
      </c>
    </row>
    <row r="337" spans="1:20" ht="16.5" x14ac:dyDescent="0.3">
      <c r="A337" s="4" t="s">
        <v>401</v>
      </c>
      <c r="B337" s="6">
        <v>45419</v>
      </c>
      <c r="C337" s="14">
        <v>45419</v>
      </c>
      <c r="D337" s="4" t="s">
        <v>1120</v>
      </c>
      <c r="E337" s="8">
        <v>1163.99</v>
      </c>
      <c r="F337" s="8">
        <f t="shared" si="30"/>
        <v>1338.5884999999998</v>
      </c>
      <c r="G337" s="8">
        <v>1617.85</v>
      </c>
      <c r="H337" s="8">
        <v>1617.85</v>
      </c>
      <c r="I337" s="8" t="s">
        <v>1470</v>
      </c>
      <c r="J337" s="10">
        <v>0.127</v>
      </c>
      <c r="K337" s="10">
        <v>0.127</v>
      </c>
      <c r="L337" s="10">
        <f t="shared" si="31"/>
        <v>0.127</v>
      </c>
      <c r="M337" s="12">
        <v>14</v>
      </c>
      <c r="N337" s="12">
        <f t="shared" si="32"/>
        <v>16.8</v>
      </c>
      <c r="O337" s="8">
        <v>19773.362699999998</v>
      </c>
      <c r="P337" s="8">
        <f t="shared" si="33"/>
        <v>23728.035240000001</v>
      </c>
      <c r="Q337" s="8">
        <v>16295.86</v>
      </c>
      <c r="R337" s="8">
        <f t="shared" si="34"/>
        <v>22488.286799999998</v>
      </c>
      <c r="S337" s="8">
        <v>3477.5026999999973</v>
      </c>
      <c r="T337" s="8">
        <f t="shared" si="35"/>
        <v>1239.748440000003</v>
      </c>
    </row>
    <row r="338" spans="1:20" ht="16.5" x14ac:dyDescent="0.3">
      <c r="A338" s="4" t="s">
        <v>544</v>
      </c>
      <c r="B338" s="6">
        <v>45316</v>
      </c>
      <c r="C338" s="14">
        <v>45316</v>
      </c>
      <c r="D338" s="4" t="s">
        <v>1263</v>
      </c>
      <c r="E338" s="8">
        <v>937.16</v>
      </c>
      <c r="F338" s="8">
        <f t="shared" si="30"/>
        <v>1077.7339999999999</v>
      </c>
      <c r="G338" s="8">
        <v>1069.77</v>
      </c>
      <c r="H338" s="8">
        <v>1069.77</v>
      </c>
      <c r="I338" s="8" t="s">
        <v>1469</v>
      </c>
      <c r="J338" s="10">
        <v>3.7999999999999999E-2</v>
      </c>
      <c r="K338" s="10">
        <v>3.7999999999999999E-2</v>
      </c>
      <c r="L338" s="10">
        <f t="shared" si="31"/>
        <v>3.7999999999999999E-2</v>
      </c>
      <c r="M338" s="12">
        <v>9</v>
      </c>
      <c r="N338" s="12">
        <f t="shared" si="32"/>
        <v>10.799999999999999</v>
      </c>
      <c r="O338" s="8">
        <v>9262.0686600000008</v>
      </c>
      <c r="P338" s="8">
        <f t="shared" si="33"/>
        <v>11114.482391999998</v>
      </c>
      <c r="Q338" s="8">
        <v>8434.44</v>
      </c>
      <c r="R338" s="8">
        <f t="shared" si="34"/>
        <v>11639.527199999999</v>
      </c>
      <c r="S338" s="8">
        <v>827.62866000000031</v>
      </c>
      <c r="T338" s="8">
        <f t="shared" si="35"/>
        <v>-525.04480800000056</v>
      </c>
    </row>
    <row r="339" spans="1:20" ht="16.5" x14ac:dyDescent="0.3">
      <c r="A339" s="4" t="s">
        <v>569</v>
      </c>
      <c r="B339" s="6">
        <v>45535</v>
      </c>
      <c r="C339" s="14">
        <v>45535</v>
      </c>
      <c r="D339" s="4" t="s">
        <v>1287</v>
      </c>
      <c r="E339" s="8">
        <v>1189.03</v>
      </c>
      <c r="F339" s="8">
        <f t="shared" si="30"/>
        <v>1367.3844999999999</v>
      </c>
      <c r="G339" s="8">
        <v>2949.62</v>
      </c>
      <c r="H339" s="8">
        <v>2949.62</v>
      </c>
      <c r="I339" s="8" t="s">
        <v>1470</v>
      </c>
      <c r="J339" s="10">
        <v>0.125</v>
      </c>
      <c r="K339" s="10">
        <v>0.125</v>
      </c>
      <c r="L339" s="10">
        <f t="shared" si="31"/>
        <v>0.125</v>
      </c>
      <c r="M339" s="12">
        <v>13</v>
      </c>
      <c r="N339" s="12">
        <f t="shared" si="32"/>
        <v>15.6</v>
      </c>
      <c r="O339" s="8">
        <v>33551.927499999998</v>
      </c>
      <c r="P339" s="8">
        <f t="shared" si="33"/>
        <v>40262.313000000002</v>
      </c>
      <c r="Q339" s="8">
        <v>15457.39</v>
      </c>
      <c r="R339" s="8">
        <f t="shared" si="34"/>
        <v>21331.198199999999</v>
      </c>
      <c r="S339" s="8">
        <v>18094.537499999999</v>
      </c>
      <c r="T339" s="8">
        <f t="shared" si="35"/>
        <v>18931.114800000003</v>
      </c>
    </row>
    <row r="340" spans="1:20" ht="16.5" x14ac:dyDescent="0.3">
      <c r="A340" s="4" t="s">
        <v>424</v>
      </c>
      <c r="B340" s="6">
        <v>45534</v>
      </c>
      <c r="C340" s="14">
        <v>45534</v>
      </c>
      <c r="D340" s="4" t="s">
        <v>1143</v>
      </c>
      <c r="E340" s="8">
        <v>466.16</v>
      </c>
      <c r="F340" s="8">
        <f t="shared" si="30"/>
        <v>536.08399999999995</v>
      </c>
      <c r="G340" s="8">
        <v>876.81</v>
      </c>
      <c r="H340" s="8">
        <v>876.81</v>
      </c>
      <c r="I340" s="8" t="s">
        <v>1469</v>
      </c>
      <c r="J340" s="10">
        <v>0.24099999999999999</v>
      </c>
      <c r="K340" s="10">
        <v>0.24099999999999999</v>
      </c>
      <c r="L340" s="10">
        <f t="shared" si="31"/>
        <v>0.24099999999999999</v>
      </c>
      <c r="M340" s="12">
        <v>8</v>
      </c>
      <c r="N340" s="12">
        <f t="shared" si="32"/>
        <v>9.6</v>
      </c>
      <c r="O340" s="8">
        <v>5323.9903199999999</v>
      </c>
      <c r="P340" s="8">
        <f t="shared" si="33"/>
        <v>6388.7883839999986</v>
      </c>
      <c r="Q340" s="8">
        <v>3729.28</v>
      </c>
      <c r="R340" s="8">
        <f t="shared" si="34"/>
        <v>5146.4063999999989</v>
      </c>
      <c r="S340" s="8">
        <v>1594.7103199999997</v>
      </c>
      <c r="T340" s="8">
        <f t="shared" si="35"/>
        <v>1242.3819839999996</v>
      </c>
    </row>
    <row r="341" spans="1:20" ht="16.5" x14ac:dyDescent="0.3">
      <c r="A341" s="4" t="s">
        <v>260</v>
      </c>
      <c r="B341" s="6">
        <v>45338</v>
      </c>
      <c r="C341" s="14">
        <v>45338</v>
      </c>
      <c r="D341" s="4" t="s">
        <v>980</v>
      </c>
      <c r="E341" s="8">
        <v>1350.98</v>
      </c>
      <c r="F341" s="8">
        <f t="shared" si="30"/>
        <v>1553.627</v>
      </c>
      <c r="G341" s="8">
        <v>2210.4</v>
      </c>
      <c r="H341" s="8">
        <v>2210.4</v>
      </c>
      <c r="I341" s="8" t="s">
        <v>1470</v>
      </c>
      <c r="J341" s="10">
        <v>0.26300000000000001</v>
      </c>
      <c r="K341" s="10">
        <v>0.26300000000000001</v>
      </c>
      <c r="L341" s="10">
        <f t="shared" si="31"/>
        <v>0.25</v>
      </c>
      <c r="M341" s="12">
        <v>6</v>
      </c>
      <c r="N341" s="12">
        <f t="shared" si="32"/>
        <v>7.1999999999999993</v>
      </c>
      <c r="O341" s="8">
        <v>9774.3888000000006</v>
      </c>
      <c r="P341" s="8">
        <f t="shared" si="33"/>
        <v>11936.16</v>
      </c>
      <c r="Q341" s="8">
        <v>8105.88</v>
      </c>
      <c r="R341" s="8">
        <f t="shared" si="34"/>
        <v>11186.114399999999</v>
      </c>
      <c r="S341" s="8">
        <v>1668.5088000000005</v>
      </c>
      <c r="T341" s="8">
        <f t="shared" si="35"/>
        <v>750.04560000000129</v>
      </c>
    </row>
    <row r="342" spans="1:20" ht="16.5" x14ac:dyDescent="0.3">
      <c r="A342" s="4" t="s">
        <v>62</v>
      </c>
      <c r="B342" s="6">
        <v>45426</v>
      </c>
      <c r="C342" s="14">
        <v>45426</v>
      </c>
      <c r="D342" s="4" t="s">
        <v>781</v>
      </c>
      <c r="E342" s="8">
        <v>1421.14</v>
      </c>
      <c r="F342" s="8">
        <f t="shared" si="30"/>
        <v>1634.3109999999999</v>
      </c>
      <c r="G342" s="8">
        <v>3524</v>
      </c>
      <c r="H342" s="8">
        <v>3524</v>
      </c>
      <c r="I342" s="8" t="s">
        <v>1470</v>
      </c>
      <c r="J342" s="10">
        <v>0</v>
      </c>
      <c r="K342" s="10">
        <v>0</v>
      </c>
      <c r="L342" s="10">
        <f t="shared" si="31"/>
        <v>0</v>
      </c>
      <c r="M342" s="12">
        <v>31</v>
      </c>
      <c r="N342" s="12">
        <f t="shared" si="32"/>
        <v>37.199999999999996</v>
      </c>
      <c r="O342" s="8">
        <v>109244</v>
      </c>
      <c r="P342" s="8">
        <f t="shared" si="33"/>
        <v>131092.79999999999</v>
      </c>
      <c r="Q342" s="8">
        <v>44055.340000000004</v>
      </c>
      <c r="R342" s="8">
        <f t="shared" si="34"/>
        <v>60796.369199999994</v>
      </c>
      <c r="S342" s="8">
        <v>65188.659999999996</v>
      </c>
      <c r="T342" s="8">
        <f t="shared" si="35"/>
        <v>70296.430800000002</v>
      </c>
    </row>
    <row r="343" spans="1:20" ht="16.5" x14ac:dyDescent="0.3">
      <c r="A343" s="4" t="s">
        <v>615</v>
      </c>
      <c r="B343" s="6">
        <v>45523</v>
      </c>
      <c r="C343" s="14">
        <v>45523</v>
      </c>
      <c r="D343" s="4" t="s">
        <v>1333</v>
      </c>
      <c r="E343" s="8">
        <v>1337.01</v>
      </c>
      <c r="F343" s="8">
        <f t="shared" si="30"/>
        <v>1537.5614999999998</v>
      </c>
      <c r="G343" s="8">
        <v>1269.78</v>
      </c>
      <c r="H343" s="8">
        <v>1269.78</v>
      </c>
      <c r="I343" s="8" t="s">
        <v>1469</v>
      </c>
      <c r="J343" s="10">
        <v>0.16</v>
      </c>
      <c r="K343" s="10">
        <v>0.16</v>
      </c>
      <c r="L343" s="10">
        <f t="shared" si="31"/>
        <v>0.16</v>
      </c>
      <c r="M343" s="12">
        <v>7</v>
      </c>
      <c r="N343" s="12">
        <f t="shared" si="32"/>
        <v>8.4</v>
      </c>
      <c r="O343" s="8">
        <v>7466.3063999999986</v>
      </c>
      <c r="P343" s="8">
        <f t="shared" si="33"/>
        <v>8959.5676800000001</v>
      </c>
      <c r="Q343" s="8">
        <v>9359.07</v>
      </c>
      <c r="R343" s="8">
        <f t="shared" si="34"/>
        <v>12915.516599999999</v>
      </c>
      <c r="S343" s="8">
        <v>-1892.7636000000011</v>
      </c>
      <c r="T343" s="8">
        <f t="shared" si="35"/>
        <v>-3955.9489199999989</v>
      </c>
    </row>
    <row r="344" spans="1:20" ht="16.5" x14ac:dyDescent="0.3">
      <c r="A344" s="4" t="s">
        <v>172</v>
      </c>
      <c r="B344" s="6">
        <v>45531</v>
      </c>
      <c r="C344" s="14">
        <v>45531</v>
      </c>
      <c r="D344" s="4" t="s">
        <v>891</v>
      </c>
      <c r="E344" s="8">
        <v>896.75</v>
      </c>
      <c r="F344" s="8">
        <f t="shared" si="30"/>
        <v>1031.2624999999998</v>
      </c>
      <c r="G344" s="8">
        <v>1651.14</v>
      </c>
      <c r="H344" s="8">
        <v>1651.14</v>
      </c>
      <c r="I344" s="8" t="s">
        <v>1470</v>
      </c>
      <c r="J344" s="10">
        <v>2.5000000000000001E-2</v>
      </c>
      <c r="K344" s="10">
        <v>2.5000000000000001E-2</v>
      </c>
      <c r="L344" s="10">
        <f t="shared" si="31"/>
        <v>2.5000000000000001E-2</v>
      </c>
      <c r="M344" s="12">
        <v>15</v>
      </c>
      <c r="N344" s="12">
        <f t="shared" si="32"/>
        <v>18</v>
      </c>
      <c r="O344" s="8">
        <v>24147.922500000001</v>
      </c>
      <c r="P344" s="8">
        <f t="shared" si="33"/>
        <v>28977.507000000001</v>
      </c>
      <c r="Q344" s="8">
        <v>13451.25</v>
      </c>
      <c r="R344" s="8">
        <f t="shared" si="34"/>
        <v>18562.724999999999</v>
      </c>
      <c r="S344" s="8">
        <v>10696.672500000001</v>
      </c>
      <c r="T344" s="8">
        <f t="shared" si="35"/>
        <v>10414.782000000003</v>
      </c>
    </row>
    <row r="345" spans="1:20" ht="16.5" x14ac:dyDescent="0.3">
      <c r="A345" s="4" t="s">
        <v>573</v>
      </c>
      <c r="B345" s="6">
        <v>45430</v>
      </c>
      <c r="C345" s="14">
        <v>45430</v>
      </c>
      <c r="D345" s="4" t="s">
        <v>1291</v>
      </c>
      <c r="E345" s="8">
        <v>857.42</v>
      </c>
      <c r="F345" s="8">
        <f t="shared" si="30"/>
        <v>986.0329999999999</v>
      </c>
      <c r="G345" s="8">
        <v>1658.92</v>
      </c>
      <c r="H345" s="8">
        <v>1658.92</v>
      </c>
      <c r="I345" s="8" t="s">
        <v>1470</v>
      </c>
      <c r="J345" s="10">
        <v>0.122</v>
      </c>
      <c r="K345" s="10">
        <v>0.122</v>
      </c>
      <c r="L345" s="10">
        <f t="shared" si="31"/>
        <v>0.122</v>
      </c>
      <c r="M345" s="12">
        <v>9</v>
      </c>
      <c r="N345" s="12">
        <f t="shared" si="32"/>
        <v>10.799999999999999</v>
      </c>
      <c r="O345" s="8">
        <v>13108.78584</v>
      </c>
      <c r="P345" s="8">
        <f t="shared" si="33"/>
        <v>15730.543007999999</v>
      </c>
      <c r="Q345" s="8">
        <v>7716.78</v>
      </c>
      <c r="R345" s="8">
        <f t="shared" si="34"/>
        <v>10649.156399999998</v>
      </c>
      <c r="S345" s="8">
        <v>5392.0058400000007</v>
      </c>
      <c r="T345" s="8">
        <f t="shared" si="35"/>
        <v>5081.3866080000007</v>
      </c>
    </row>
    <row r="346" spans="1:20" ht="16.5" x14ac:dyDescent="0.3">
      <c r="A346" s="4" t="s">
        <v>463</v>
      </c>
      <c r="B346" s="6">
        <v>45454</v>
      </c>
      <c r="C346" s="14">
        <v>45454</v>
      </c>
      <c r="D346" s="4" t="s">
        <v>1182</v>
      </c>
      <c r="E346" s="8">
        <v>895.54</v>
      </c>
      <c r="F346" s="8">
        <f t="shared" si="30"/>
        <v>1029.8709999999999</v>
      </c>
      <c r="G346" s="8">
        <v>1045</v>
      </c>
      <c r="H346" s="8">
        <v>1045</v>
      </c>
      <c r="I346" s="8" t="s">
        <v>1469</v>
      </c>
      <c r="J346" s="10">
        <v>0.216</v>
      </c>
      <c r="K346" s="10">
        <v>0.216</v>
      </c>
      <c r="L346" s="10">
        <f t="shared" si="31"/>
        <v>0.216</v>
      </c>
      <c r="M346" s="12">
        <v>15</v>
      </c>
      <c r="N346" s="12">
        <f t="shared" si="32"/>
        <v>18</v>
      </c>
      <c r="O346" s="8">
        <v>12289.2</v>
      </c>
      <c r="P346" s="8">
        <f t="shared" si="33"/>
        <v>14747.04</v>
      </c>
      <c r="Q346" s="8">
        <v>13433.099999999999</v>
      </c>
      <c r="R346" s="8">
        <f t="shared" si="34"/>
        <v>18537.677999999996</v>
      </c>
      <c r="S346" s="8">
        <v>-1143.8999999999978</v>
      </c>
      <c r="T346" s="8">
        <f t="shared" si="35"/>
        <v>-3790.6379999999954</v>
      </c>
    </row>
    <row r="347" spans="1:20" ht="16.5" x14ac:dyDescent="0.3">
      <c r="A347" s="4" t="s">
        <v>515</v>
      </c>
      <c r="B347" s="6">
        <v>45408</v>
      </c>
      <c r="C347" s="14">
        <v>45408</v>
      </c>
      <c r="D347" s="4" t="s">
        <v>1234</v>
      </c>
      <c r="E347" s="8">
        <v>1232.77</v>
      </c>
      <c r="F347" s="8">
        <f t="shared" si="30"/>
        <v>1417.6854999999998</v>
      </c>
      <c r="G347" s="8">
        <v>891.73</v>
      </c>
      <c r="H347" s="8">
        <v>891.73</v>
      </c>
      <c r="I347" s="8" t="s">
        <v>1469</v>
      </c>
      <c r="J347" s="10">
        <v>0.16700000000000001</v>
      </c>
      <c r="K347" s="10">
        <v>0.16700000000000001</v>
      </c>
      <c r="L347" s="10">
        <f t="shared" si="31"/>
        <v>0.16700000000000001</v>
      </c>
      <c r="M347" s="12">
        <v>10</v>
      </c>
      <c r="N347" s="12">
        <f t="shared" si="32"/>
        <v>12</v>
      </c>
      <c r="O347" s="8">
        <v>7428.1108999999988</v>
      </c>
      <c r="P347" s="8">
        <f t="shared" si="33"/>
        <v>8913.73308</v>
      </c>
      <c r="Q347" s="8">
        <v>12327.7</v>
      </c>
      <c r="R347" s="8">
        <f t="shared" si="34"/>
        <v>17012.225999999999</v>
      </c>
      <c r="S347" s="8">
        <v>-4899.589100000002</v>
      </c>
      <c r="T347" s="8">
        <f t="shared" si="35"/>
        <v>-8098.4929199999988</v>
      </c>
    </row>
    <row r="348" spans="1:20" ht="16.5" x14ac:dyDescent="0.3">
      <c r="A348" s="4" t="s">
        <v>247</v>
      </c>
      <c r="B348" s="6">
        <v>45540</v>
      </c>
      <c r="C348" s="14">
        <v>45540</v>
      </c>
      <c r="D348" s="4" t="s">
        <v>967</v>
      </c>
      <c r="E348" s="8">
        <v>195.54</v>
      </c>
      <c r="F348" s="8">
        <f t="shared" si="30"/>
        <v>224.87099999999998</v>
      </c>
      <c r="G348" s="8">
        <v>405.97</v>
      </c>
      <c r="H348" s="8">
        <v>405.97</v>
      </c>
      <c r="I348" s="8" t="s">
        <v>1471</v>
      </c>
      <c r="J348" s="10">
        <v>0.187</v>
      </c>
      <c r="K348" s="10">
        <v>0.187</v>
      </c>
      <c r="L348" s="10">
        <f t="shared" si="31"/>
        <v>0.187</v>
      </c>
      <c r="M348" s="12">
        <v>16</v>
      </c>
      <c r="N348" s="12">
        <f t="shared" si="32"/>
        <v>19.2</v>
      </c>
      <c r="O348" s="8">
        <v>5280.8577599999999</v>
      </c>
      <c r="P348" s="8">
        <f t="shared" si="33"/>
        <v>6337.0293119999997</v>
      </c>
      <c r="Q348" s="8">
        <v>3128.64</v>
      </c>
      <c r="R348" s="8">
        <f t="shared" si="34"/>
        <v>4317.5231999999996</v>
      </c>
      <c r="S348" s="8">
        <v>2152.21776</v>
      </c>
      <c r="T348" s="8">
        <f t="shared" si="35"/>
        <v>2019.506112</v>
      </c>
    </row>
    <row r="349" spans="1:20" ht="16.5" x14ac:dyDescent="0.3">
      <c r="A349" s="4" t="s">
        <v>350</v>
      </c>
      <c r="B349" s="6">
        <v>45484</v>
      </c>
      <c r="C349" s="14">
        <v>45484</v>
      </c>
      <c r="D349" s="4" t="s">
        <v>1070</v>
      </c>
      <c r="E349" s="8">
        <v>647.26</v>
      </c>
      <c r="F349" s="8">
        <f t="shared" si="30"/>
        <v>744.34899999999993</v>
      </c>
      <c r="G349" s="8">
        <v>1374.72</v>
      </c>
      <c r="H349" s="8">
        <v>1374.72</v>
      </c>
      <c r="I349" s="8" t="s">
        <v>1469</v>
      </c>
      <c r="J349" s="10">
        <v>6.6000000000000003E-2</v>
      </c>
      <c r="K349" s="10">
        <v>6.6000000000000003E-2</v>
      </c>
      <c r="L349" s="10">
        <f t="shared" si="31"/>
        <v>6.6000000000000003E-2</v>
      </c>
      <c r="M349" s="12">
        <v>22</v>
      </c>
      <c r="N349" s="12">
        <f t="shared" si="32"/>
        <v>26.4</v>
      </c>
      <c r="O349" s="8">
        <v>28247.74656</v>
      </c>
      <c r="P349" s="8">
        <f t="shared" si="33"/>
        <v>33897.295871999995</v>
      </c>
      <c r="Q349" s="8">
        <v>14239.72</v>
      </c>
      <c r="R349" s="8">
        <f t="shared" si="34"/>
        <v>19650.813599999998</v>
      </c>
      <c r="S349" s="8">
        <v>14008.02656</v>
      </c>
      <c r="T349" s="8">
        <f t="shared" si="35"/>
        <v>14246.482271999997</v>
      </c>
    </row>
    <row r="350" spans="1:20" ht="16.5" x14ac:dyDescent="0.3">
      <c r="A350" s="4" t="s">
        <v>602</v>
      </c>
      <c r="B350" s="6">
        <v>45459</v>
      </c>
      <c r="C350" s="14">
        <v>45459</v>
      </c>
      <c r="D350" s="4" t="s">
        <v>1320</v>
      </c>
      <c r="E350" s="8">
        <v>1367.13</v>
      </c>
      <c r="F350" s="8">
        <f t="shared" si="30"/>
        <v>1572.1994999999999</v>
      </c>
      <c r="G350" s="8">
        <v>3062.01</v>
      </c>
      <c r="H350" s="8">
        <v>3062.01</v>
      </c>
      <c r="I350" s="8" t="s">
        <v>1470</v>
      </c>
      <c r="J350" s="10">
        <v>0.10299999999999999</v>
      </c>
      <c r="K350" s="10">
        <v>0.10299999999999999</v>
      </c>
      <c r="L350" s="10">
        <f t="shared" si="31"/>
        <v>0.10299999999999999</v>
      </c>
      <c r="M350" s="12">
        <v>25</v>
      </c>
      <c r="N350" s="12">
        <f t="shared" si="32"/>
        <v>30</v>
      </c>
      <c r="O350" s="8">
        <v>68665.574250000005</v>
      </c>
      <c r="P350" s="8">
        <f t="shared" si="33"/>
        <v>82398.689100000003</v>
      </c>
      <c r="Q350" s="8">
        <v>34178.25</v>
      </c>
      <c r="R350" s="8">
        <f t="shared" si="34"/>
        <v>47165.985000000001</v>
      </c>
      <c r="S350" s="8">
        <v>34487.324250000005</v>
      </c>
      <c r="T350" s="8">
        <f t="shared" si="35"/>
        <v>35232.704100000003</v>
      </c>
    </row>
    <row r="351" spans="1:20" ht="16.5" x14ac:dyDescent="0.3">
      <c r="A351" s="4" t="s">
        <v>508</v>
      </c>
      <c r="B351" s="6">
        <v>45439</v>
      </c>
      <c r="C351" s="14">
        <v>45439</v>
      </c>
      <c r="D351" s="4" t="s">
        <v>1227</v>
      </c>
      <c r="E351" s="8">
        <v>465.02</v>
      </c>
      <c r="F351" s="8">
        <f t="shared" si="30"/>
        <v>534.77299999999991</v>
      </c>
      <c r="G351" s="8">
        <v>651.55999999999995</v>
      </c>
      <c r="H351" s="8">
        <v>651.55999999999995</v>
      </c>
      <c r="I351" s="8" t="s">
        <v>1471</v>
      </c>
      <c r="J351" s="10">
        <v>4.2000000000000003E-2</v>
      </c>
      <c r="K351" s="10">
        <v>4.2000000000000003E-2</v>
      </c>
      <c r="L351" s="10">
        <f t="shared" si="31"/>
        <v>4.2000000000000003E-2</v>
      </c>
      <c r="M351" s="12">
        <v>19</v>
      </c>
      <c r="N351" s="12">
        <f t="shared" si="32"/>
        <v>22.8</v>
      </c>
      <c r="O351" s="8">
        <v>11859.695119999998</v>
      </c>
      <c r="P351" s="8">
        <f t="shared" si="33"/>
        <v>14231.634144</v>
      </c>
      <c r="Q351" s="8">
        <v>8835.3799999999992</v>
      </c>
      <c r="R351" s="8">
        <f t="shared" si="34"/>
        <v>12192.824399999998</v>
      </c>
      <c r="S351" s="8">
        <v>3024.3151199999993</v>
      </c>
      <c r="T351" s="8">
        <f t="shared" si="35"/>
        <v>2038.809744000002</v>
      </c>
    </row>
    <row r="352" spans="1:20" ht="16.5" x14ac:dyDescent="0.3">
      <c r="A352" s="4" t="s">
        <v>292</v>
      </c>
      <c r="B352" s="6">
        <v>45459</v>
      </c>
      <c r="C352" s="14">
        <v>45459</v>
      </c>
      <c r="D352" s="4" t="s">
        <v>1012</v>
      </c>
      <c r="E352" s="8">
        <v>1173.83</v>
      </c>
      <c r="F352" s="8">
        <f t="shared" si="30"/>
        <v>1349.9044999999999</v>
      </c>
      <c r="G352" s="8">
        <v>2328.9</v>
      </c>
      <c r="H352" s="8">
        <v>2328.9</v>
      </c>
      <c r="I352" s="8" t="s">
        <v>1470</v>
      </c>
      <c r="J352" s="10">
        <v>0.12</v>
      </c>
      <c r="K352" s="10">
        <v>0.12</v>
      </c>
      <c r="L352" s="10">
        <f t="shared" si="31"/>
        <v>0.12</v>
      </c>
      <c r="M352" s="12">
        <v>17</v>
      </c>
      <c r="N352" s="12">
        <f t="shared" si="32"/>
        <v>20.399999999999999</v>
      </c>
      <c r="O352" s="8">
        <v>34840.344000000005</v>
      </c>
      <c r="P352" s="8">
        <f t="shared" si="33"/>
        <v>41808.412799999998</v>
      </c>
      <c r="Q352" s="8">
        <v>19955.11</v>
      </c>
      <c r="R352" s="8">
        <f t="shared" si="34"/>
        <v>27538.051799999994</v>
      </c>
      <c r="S352" s="8">
        <v>14885.234000000004</v>
      </c>
      <c r="T352" s="8">
        <f t="shared" si="35"/>
        <v>14270.361000000004</v>
      </c>
    </row>
    <row r="353" spans="1:20" ht="16.5" x14ac:dyDescent="0.3">
      <c r="A353" s="4" t="s">
        <v>448</v>
      </c>
      <c r="B353" s="6">
        <v>45542</v>
      </c>
      <c r="C353" s="14">
        <v>45542</v>
      </c>
      <c r="D353" s="4" t="s">
        <v>1167</v>
      </c>
      <c r="E353" s="8">
        <v>181.74</v>
      </c>
      <c r="F353" s="8">
        <f t="shared" si="30"/>
        <v>209.001</v>
      </c>
      <c r="G353" s="8">
        <v>190.84</v>
      </c>
      <c r="H353" s="8">
        <v>190.84</v>
      </c>
      <c r="I353" s="8" t="s">
        <v>1471</v>
      </c>
      <c r="J353" s="10">
        <v>0.214</v>
      </c>
      <c r="K353" s="10">
        <v>0.214</v>
      </c>
      <c r="L353" s="10">
        <f t="shared" si="31"/>
        <v>0.214</v>
      </c>
      <c r="M353" s="12">
        <v>13</v>
      </c>
      <c r="N353" s="12">
        <f t="shared" si="32"/>
        <v>15.6</v>
      </c>
      <c r="O353" s="8">
        <v>1950.0031200000001</v>
      </c>
      <c r="P353" s="8">
        <f t="shared" si="33"/>
        <v>2340.0037440000001</v>
      </c>
      <c r="Q353" s="8">
        <v>2362.62</v>
      </c>
      <c r="R353" s="8">
        <f t="shared" si="34"/>
        <v>3260.4155999999998</v>
      </c>
      <c r="S353" s="8">
        <v>-412.61687999999981</v>
      </c>
      <c r="T353" s="8">
        <f t="shared" si="35"/>
        <v>-920.41185599999972</v>
      </c>
    </row>
    <row r="354" spans="1:20" ht="16.5" x14ac:dyDescent="0.3">
      <c r="A354" s="4" t="s">
        <v>141</v>
      </c>
      <c r="B354" s="6">
        <v>45450</v>
      </c>
      <c r="C354" s="14">
        <v>45450</v>
      </c>
      <c r="D354" s="4" t="s">
        <v>860</v>
      </c>
      <c r="E354" s="8">
        <v>1064.32</v>
      </c>
      <c r="F354" s="8">
        <f t="shared" si="30"/>
        <v>1223.9679999999998</v>
      </c>
      <c r="G354" s="8">
        <v>1848.39</v>
      </c>
      <c r="H354" s="8">
        <v>1848.39</v>
      </c>
      <c r="I354" s="8" t="s">
        <v>1470</v>
      </c>
      <c r="J354" s="10">
        <v>7.2999999999999995E-2</v>
      </c>
      <c r="K354" s="10">
        <v>7.2999999999999995E-2</v>
      </c>
      <c r="L354" s="10">
        <f t="shared" si="31"/>
        <v>7.2999999999999995E-2</v>
      </c>
      <c r="M354" s="12">
        <v>38</v>
      </c>
      <c r="N354" s="12">
        <f t="shared" si="32"/>
        <v>45.6</v>
      </c>
      <c r="O354" s="8">
        <v>65111.38614000001</v>
      </c>
      <c r="P354" s="8">
        <f t="shared" si="33"/>
        <v>78133.663368000009</v>
      </c>
      <c r="Q354" s="8">
        <v>40444.159999999996</v>
      </c>
      <c r="R354" s="8">
        <f t="shared" si="34"/>
        <v>55812.940799999997</v>
      </c>
      <c r="S354" s="8">
        <v>24667.226140000013</v>
      </c>
      <c r="T354" s="8">
        <f t="shared" si="35"/>
        <v>22320.722568000012</v>
      </c>
    </row>
    <row r="355" spans="1:20" ht="16.5" x14ac:dyDescent="0.3">
      <c r="A355" s="4" t="s">
        <v>613</v>
      </c>
      <c r="B355" s="6">
        <v>45521</v>
      </c>
      <c r="C355" s="14">
        <v>45521</v>
      </c>
      <c r="D355" s="4" t="s">
        <v>1331</v>
      </c>
      <c r="E355" s="8">
        <v>165.3</v>
      </c>
      <c r="F355" s="8">
        <f t="shared" si="30"/>
        <v>190.095</v>
      </c>
      <c r="G355" s="8">
        <v>275.07</v>
      </c>
      <c r="H355" s="8">
        <v>275.07</v>
      </c>
      <c r="I355" s="8" t="s">
        <v>1471</v>
      </c>
      <c r="J355" s="10">
        <v>0.13300000000000001</v>
      </c>
      <c r="K355" s="10">
        <v>0.13300000000000001</v>
      </c>
      <c r="L355" s="10">
        <f t="shared" si="31"/>
        <v>0.13300000000000001</v>
      </c>
      <c r="M355" s="12">
        <v>25</v>
      </c>
      <c r="N355" s="12">
        <f t="shared" si="32"/>
        <v>30</v>
      </c>
      <c r="O355" s="8">
        <v>5962.1422499999999</v>
      </c>
      <c r="P355" s="8">
        <f t="shared" si="33"/>
        <v>7154.5707000000002</v>
      </c>
      <c r="Q355" s="8">
        <v>4132.5</v>
      </c>
      <c r="R355" s="8">
        <f t="shared" si="34"/>
        <v>5702.85</v>
      </c>
      <c r="S355" s="8">
        <v>1829.6422499999999</v>
      </c>
      <c r="T355" s="8">
        <f t="shared" si="35"/>
        <v>1451.7206999999999</v>
      </c>
    </row>
    <row r="356" spans="1:20" ht="16.5" x14ac:dyDescent="0.3">
      <c r="A356" s="4" t="s">
        <v>138</v>
      </c>
      <c r="B356" s="6">
        <v>45598</v>
      </c>
      <c r="C356" s="14">
        <v>45598</v>
      </c>
      <c r="D356" s="4" t="s">
        <v>857</v>
      </c>
      <c r="E356" s="8">
        <v>1363.51</v>
      </c>
      <c r="F356" s="8">
        <f t="shared" si="30"/>
        <v>1568.0364999999999</v>
      </c>
      <c r="G356" s="8">
        <v>1433.9</v>
      </c>
      <c r="H356" s="8">
        <v>1433.9</v>
      </c>
      <c r="I356" s="8" t="s">
        <v>1469</v>
      </c>
      <c r="J356" s="10">
        <v>5.7000000000000002E-2</v>
      </c>
      <c r="K356" s="10">
        <v>5.7000000000000002E-2</v>
      </c>
      <c r="L356" s="10">
        <f t="shared" si="31"/>
        <v>5.7000000000000002E-2</v>
      </c>
      <c r="M356" s="12">
        <v>8</v>
      </c>
      <c r="N356" s="12">
        <f t="shared" si="32"/>
        <v>9.6</v>
      </c>
      <c r="O356" s="8">
        <v>10817.3416</v>
      </c>
      <c r="P356" s="8">
        <f t="shared" si="33"/>
        <v>12980.80992</v>
      </c>
      <c r="Q356" s="8">
        <v>10908.08</v>
      </c>
      <c r="R356" s="8">
        <f t="shared" si="34"/>
        <v>15053.150399999999</v>
      </c>
      <c r="S356" s="8">
        <v>-90.738400000000183</v>
      </c>
      <c r="T356" s="8">
        <f t="shared" si="35"/>
        <v>-2072.3404799999989</v>
      </c>
    </row>
    <row r="357" spans="1:20" ht="16.5" x14ac:dyDescent="0.3">
      <c r="A357" s="4" t="s">
        <v>23</v>
      </c>
      <c r="B357" s="6">
        <v>45416</v>
      </c>
      <c r="C357" s="14">
        <v>45416</v>
      </c>
      <c r="D357" s="4" t="s">
        <v>742</v>
      </c>
      <c r="E357" s="8">
        <v>1295.3399999999999</v>
      </c>
      <c r="F357" s="8">
        <f t="shared" si="30"/>
        <v>1489.6409999999998</v>
      </c>
      <c r="G357" s="8">
        <v>2530.81</v>
      </c>
      <c r="H357" s="8">
        <v>2530.81</v>
      </c>
      <c r="I357" s="8" t="s">
        <v>1470</v>
      </c>
      <c r="J357" s="10">
        <v>3.1E-2</v>
      </c>
      <c r="K357" s="10">
        <v>3.1E-2</v>
      </c>
      <c r="L357" s="10">
        <f t="shared" si="31"/>
        <v>3.1E-2</v>
      </c>
      <c r="M357" s="12">
        <v>6</v>
      </c>
      <c r="N357" s="12">
        <f t="shared" si="32"/>
        <v>7.1999999999999993</v>
      </c>
      <c r="O357" s="8">
        <v>14714.12934</v>
      </c>
      <c r="P357" s="8">
        <f t="shared" si="33"/>
        <v>17656.955207999999</v>
      </c>
      <c r="Q357" s="8">
        <v>7772.0399999999991</v>
      </c>
      <c r="R357" s="8">
        <f t="shared" si="34"/>
        <v>10725.415199999998</v>
      </c>
      <c r="S357" s="8">
        <v>6942.0893400000004</v>
      </c>
      <c r="T357" s="8">
        <f t="shared" si="35"/>
        <v>6931.5400080000018</v>
      </c>
    </row>
    <row r="358" spans="1:20" ht="16.5" x14ac:dyDescent="0.3">
      <c r="A358" s="4" t="s">
        <v>597</v>
      </c>
      <c r="B358" s="6">
        <v>45541</v>
      </c>
      <c r="C358" s="14">
        <v>45541</v>
      </c>
      <c r="D358" s="4" t="s">
        <v>1315</v>
      </c>
      <c r="E358" s="8">
        <v>1368.17</v>
      </c>
      <c r="F358" s="8">
        <f t="shared" si="30"/>
        <v>1573.3954999999999</v>
      </c>
      <c r="G358" s="8">
        <v>2307.75</v>
      </c>
      <c r="H358" s="8">
        <v>2307.75</v>
      </c>
      <c r="I358" s="8" t="s">
        <v>1470</v>
      </c>
      <c r="J358" s="10">
        <v>0.16300000000000001</v>
      </c>
      <c r="K358" s="10">
        <v>0.16300000000000001</v>
      </c>
      <c r="L358" s="10">
        <f t="shared" si="31"/>
        <v>0.16300000000000001</v>
      </c>
      <c r="M358" s="12">
        <v>21</v>
      </c>
      <c r="N358" s="12">
        <f t="shared" si="32"/>
        <v>25.2</v>
      </c>
      <c r="O358" s="8">
        <v>40563.321749999996</v>
      </c>
      <c r="P358" s="8">
        <f t="shared" si="33"/>
        <v>48675.986099999995</v>
      </c>
      <c r="Q358" s="8">
        <v>28731.57</v>
      </c>
      <c r="R358" s="8">
        <f t="shared" si="34"/>
        <v>39649.566599999998</v>
      </c>
      <c r="S358" s="8">
        <v>11831.751749999996</v>
      </c>
      <c r="T358" s="8">
        <f t="shared" si="35"/>
        <v>9026.4194999999963</v>
      </c>
    </row>
    <row r="359" spans="1:20" ht="16.5" x14ac:dyDescent="0.3">
      <c r="A359" s="4" t="s">
        <v>101</v>
      </c>
      <c r="B359" s="6">
        <v>45388</v>
      </c>
      <c r="C359" s="14">
        <v>45388</v>
      </c>
      <c r="D359" s="4" t="s">
        <v>820</v>
      </c>
      <c r="E359" s="8">
        <v>1366.48</v>
      </c>
      <c r="F359" s="8">
        <f t="shared" si="30"/>
        <v>1571.452</v>
      </c>
      <c r="G359" s="8">
        <v>1678.14</v>
      </c>
      <c r="H359" s="8">
        <v>1678.14</v>
      </c>
      <c r="I359" s="8" t="s">
        <v>1470</v>
      </c>
      <c r="J359" s="10">
        <v>0.154</v>
      </c>
      <c r="K359" s="10">
        <v>0.154</v>
      </c>
      <c r="L359" s="10">
        <f t="shared" si="31"/>
        <v>0.154</v>
      </c>
      <c r="M359" s="12">
        <v>10</v>
      </c>
      <c r="N359" s="12">
        <f t="shared" si="32"/>
        <v>12</v>
      </c>
      <c r="O359" s="8">
        <v>14197.064400000001</v>
      </c>
      <c r="P359" s="8">
        <f t="shared" si="33"/>
        <v>17036.477279999999</v>
      </c>
      <c r="Q359" s="8">
        <v>13664.8</v>
      </c>
      <c r="R359" s="8">
        <f t="shared" si="34"/>
        <v>18857.423999999999</v>
      </c>
      <c r="S359" s="8">
        <v>532.26440000000184</v>
      </c>
      <c r="T359" s="8">
        <f t="shared" si="35"/>
        <v>-1820.9467199999999</v>
      </c>
    </row>
    <row r="360" spans="1:20" ht="16.5" x14ac:dyDescent="0.3">
      <c r="A360" s="4" t="s">
        <v>53</v>
      </c>
      <c r="B360" s="6">
        <v>45401</v>
      </c>
      <c r="C360" s="14">
        <v>45401</v>
      </c>
      <c r="D360" s="4" t="s">
        <v>772</v>
      </c>
      <c r="E360" s="8">
        <v>865.33</v>
      </c>
      <c r="F360" s="8">
        <f t="shared" si="30"/>
        <v>995.12950000000001</v>
      </c>
      <c r="G360" s="8">
        <v>1395.64</v>
      </c>
      <c r="H360" s="8">
        <v>1395.64</v>
      </c>
      <c r="I360" s="8" t="s">
        <v>1469</v>
      </c>
      <c r="J360" s="10">
        <v>0.17499999999999999</v>
      </c>
      <c r="K360" s="10">
        <v>0.17499999999999999</v>
      </c>
      <c r="L360" s="10">
        <f t="shared" si="31"/>
        <v>0.17499999999999999</v>
      </c>
      <c r="M360" s="12">
        <v>13</v>
      </c>
      <c r="N360" s="12">
        <f t="shared" si="32"/>
        <v>15.6</v>
      </c>
      <c r="O360" s="8">
        <v>14968.239</v>
      </c>
      <c r="P360" s="8">
        <f t="shared" si="33"/>
        <v>17961.8868</v>
      </c>
      <c r="Q360" s="8">
        <v>11249.29</v>
      </c>
      <c r="R360" s="8">
        <f t="shared" si="34"/>
        <v>15524.020199999999</v>
      </c>
      <c r="S360" s="8">
        <v>3718.9489999999987</v>
      </c>
      <c r="T360" s="8">
        <f t="shared" si="35"/>
        <v>2437.8666000000012</v>
      </c>
    </row>
    <row r="361" spans="1:20" ht="16.5" x14ac:dyDescent="0.3">
      <c r="A361" s="4" t="s">
        <v>103</v>
      </c>
      <c r="B361" s="6">
        <v>45312</v>
      </c>
      <c r="C361" s="14">
        <v>45312</v>
      </c>
      <c r="D361" s="4" t="s">
        <v>822</v>
      </c>
      <c r="E361" s="8">
        <v>523.70000000000005</v>
      </c>
      <c r="F361" s="8">
        <f t="shared" si="30"/>
        <v>602.255</v>
      </c>
      <c r="G361" s="8">
        <v>1109.92</v>
      </c>
      <c r="H361" s="8">
        <v>1109.92</v>
      </c>
      <c r="I361" s="8" t="s">
        <v>1469</v>
      </c>
      <c r="J361" s="10">
        <v>0.03</v>
      </c>
      <c r="K361" s="10">
        <v>0.03</v>
      </c>
      <c r="L361" s="10">
        <f t="shared" si="31"/>
        <v>0.03</v>
      </c>
      <c r="M361" s="12">
        <v>11</v>
      </c>
      <c r="N361" s="12">
        <f t="shared" si="32"/>
        <v>13.2</v>
      </c>
      <c r="O361" s="8">
        <v>11842.8464</v>
      </c>
      <c r="P361" s="8">
        <f t="shared" si="33"/>
        <v>14211.415679999998</v>
      </c>
      <c r="Q361" s="8">
        <v>5760.7000000000007</v>
      </c>
      <c r="R361" s="8">
        <f t="shared" si="34"/>
        <v>7949.7659999999996</v>
      </c>
      <c r="S361" s="8">
        <v>6082.1463999999996</v>
      </c>
      <c r="T361" s="8">
        <f t="shared" si="35"/>
        <v>6261.6496799999986</v>
      </c>
    </row>
    <row r="362" spans="1:20" ht="16.5" x14ac:dyDescent="0.3">
      <c r="A362" s="4" t="s">
        <v>143</v>
      </c>
      <c r="B362" s="6">
        <v>45442</v>
      </c>
      <c r="C362" s="14">
        <v>45442</v>
      </c>
      <c r="D362" s="4" t="s">
        <v>862</v>
      </c>
      <c r="E362" s="8">
        <v>157.78</v>
      </c>
      <c r="F362" s="8">
        <f t="shared" si="30"/>
        <v>181.44699999999997</v>
      </c>
      <c r="G362" s="8">
        <v>361.1</v>
      </c>
      <c r="H362" s="8">
        <v>361.1</v>
      </c>
      <c r="I362" s="8" t="s">
        <v>1471</v>
      </c>
      <c r="J362" s="10">
        <v>0.187</v>
      </c>
      <c r="K362" s="10">
        <v>0.187</v>
      </c>
      <c r="L362" s="10">
        <f t="shared" si="31"/>
        <v>0.187</v>
      </c>
      <c r="M362" s="12">
        <v>9</v>
      </c>
      <c r="N362" s="12">
        <f t="shared" si="32"/>
        <v>10.799999999999999</v>
      </c>
      <c r="O362" s="8">
        <v>2642.1686999999997</v>
      </c>
      <c r="P362" s="8">
        <f t="shared" si="33"/>
        <v>3170.6024399999997</v>
      </c>
      <c r="Q362" s="8">
        <v>1420.02</v>
      </c>
      <c r="R362" s="8">
        <f t="shared" si="34"/>
        <v>1959.6275999999996</v>
      </c>
      <c r="S362" s="8">
        <v>1222.1486999999997</v>
      </c>
      <c r="T362" s="8">
        <f t="shared" si="35"/>
        <v>1210.9748400000001</v>
      </c>
    </row>
    <row r="363" spans="1:20" ht="16.5" x14ac:dyDescent="0.3">
      <c r="A363" s="4" t="s">
        <v>185</v>
      </c>
      <c r="B363" s="6">
        <v>45488</v>
      </c>
      <c r="C363" s="14">
        <v>45488</v>
      </c>
      <c r="D363" s="4" t="s">
        <v>904</v>
      </c>
      <c r="E363" s="8">
        <v>801.77</v>
      </c>
      <c r="F363" s="8">
        <f t="shared" si="30"/>
        <v>922.03549999999996</v>
      </c>
      <c r="G363" s="8">
        <v>1218.92</v>
      </c>
      <c r="H363" s="8">
        <v>1218.92</v>
      </c>
      <c r="I363" s="8" t="s">
        <v>1469</v>
      </c>
      <c r="J363" s="10">
        <v>0.254</v>
      </c>
      <c r="K363" s="10">
        <v>0.254</v>
      </c>
      <c r="L363" s="10">
        <f t="shared" si="31"/>
        <v>0.25</v>
      </c>
      <c r="M363" s="12">
        <v>16</v>
      </c>
      <c r="N363" s="12">
        <f t="shared" si="32"/>
        <v>19.2</v>
      </c>
      <c r="O363" s="8">
        <v>14549.029120000001</v>
      </c>
      <c r="P363" s="8">
        <f t="shared" si="33"/>
        <v>17552.448</v>
      </c>
      <c r="Q363" s="8">
        <v>12828.32</v>
      </c>
      <c r="R363" s="8">
        <f t="shared" si="34"/>
        <v>17703.081599999998</v>
      </c>
      <c r="S363" s="8">
        <v>1720.7091200000013</v>
      </c>
      <c r="T363" s="8">
        <f t="shared" si="35"/>
        <v>-150.63359999999739</v>
      </c>
    </row>
    <row r="364" spans="1:20" ht="16.5" x14ac:dyDescent="0.3">
      <c r="A364" s="4" t="s">
        <v>415</v>
      </c>
      <c r="B364" s="6">
        <v>45516</v>
      </c>
      <c r="C364" s="14">
        <v>45516</v>
      </c>
      <c r="D364" s="4" t="s">
        <v>1134</v>
      </c>
      <c r="E364" s="8">
        <v>850.7</v>
      </c>
      <c r="F364" s="8">
        <f t="shared" si="30"/>
        <v>978.30499999999995</v>
      </c>
      <c r="G364" s="8">
        <v>1118.56</v>
      </c>
      <c r="H364" s="8">
        <v>1118.56</v>
      </c>
      <c r="I364" s="8" t="s">
        <v>1469</v>
      </c>
      <c r="J364" s="10">
        <v>0.18</v>
      </c>
      <c r="K364" s="10">
        <v>0.18</v>
      </c>
      <c r="L364" s="10">
        <f t="shared" si="31"/>
        <v>0.18</v>
      </c>
      <c r="M364" s="12">
        <v>19</v>
      </c>
      <c r="N364" s="12">
        <f t="shared" si="32"/>
        <v>22.8</v>
      </c>
      <c r="O364" s="8">
        <v>17427.164800000002</v>
      </c>
      <c r="P364" s="8">
        <f t="shared" si="33"/>
        <v>20912.597760000001</v>
      </c>
      <c r="Q364" s="8">
        <v>16163.300000000001</v>
      </c>
      <c r="R364" s="8">
        <f t="shared" si="34"/>
        <v>22305.353999999999</v>
      </c>
      <c r="S364" s="8">
        <v>1263.8648000000012</v>
      </c>
      <c r="T364" s="8">
        <f t="shared" si="35"/>
        <v>-1392.7562399999988</v>
      </c>
    </row>
    <row r="365" spans="1:20" ht="16.5" x14ac:dyDescent="0.3">
      <c r="A365" s="4" t="s">
        <v>556</v>
      </c>
      <c r="B365" s="6">
        <v>45450</v>
      </c>
      <c r="C365" s="14">
        <v>45450</v>
      </c>
      <c r="D365" s="4" t="s">
        <v>1274</v>
      </c>
      <c r="E365" s="8">
        <v>1370.28</v>
      </c>
      <c r="F365" s="8">
        <f t="shared" si="30"/>
        <v>1575.8219999999999</v>
      </c>
      <c r="G365" s="8">
        <v>2209.66</v>
      </c>
      <c r="H365" s="8">
        <v>2209.66</v>
      </c>
      <c r="I365" s="8" t="s">
        <v>1470</v>
      </c>
      <c r="J365" s="10">
        <v>0.13300000000000001</v>
      </c>
      <c r="K365" s="10">
        <v>0.13300000000000001</v>
      </c>
      <c r="L365" s="10">
        <f t="shared" si="31"/>
        <v>0.13300000000000001</v>
      </c>
      <c r="M365" s="12">
        <v>16</v>
      </c>
      <c r="N365" s="12">
        <f t="shared" si="32"/>
        <v>19.2</v>
      </c>
      <c r="O365" s="8">
        <v>30652.403519999996</v>
      </c>
      <c r="P365" s="8">
        <f t="shared" si="33"/>
        <v>36782.884223999994</v>
      </c>
      <c r="Q365" s="8">
        <v>21924.48</v>
      </c>
      <c r="R365" s="8">
        <f t="shared" si="34"/>
        <v>30255.782399999996</v>
      </c>
      <c r="S365" s="8">
        <v>8727.9235199999966</v>
      </c>
      <c r="T365" s="8">
        <f t="shared" si="35"/>
        <v>6527.1018239999976</v>
      </c>
    </row>
    <row r="366" spans="1:20" ht="16.5" x14ac:dyDescent="0.3">
      <c r="A366" s="4" t="s">
        <v>48</v>
      </c>
      <c r="B366" s="6">
        <v>45400</v>
      </c>
      <c r="C366" s="14">
        <v>45400</v>
      </c>
      <c r="D366" s="4" t="s">
        <v>767</v>
      </c>
      <c r="E366" s="8">
        <v>645.33000000000004</v>
      </c>
      <c r="F366" s="8">
        <f t="shared" si="30"/>
        <v>742.12950000000001</v>
      </c>
      <c r="G366" s="8">
        <v>1321.85</v>
      </c>
      <c r="H366" s="8">
        <v>1321.85</v>
      </c>
      <c r="I366" s="8" t="s">
        <v>1469</v>
      </c>
      <c r="J366" s="10">
        <v>0</v>
      </c>
      <c r="K366" s="10">
        <v>0</v>
      </c>
      <c r="L366" s="10">
        <f t="shared" si="31"/>
        <v>0</v>
      </c>
      <c r="M366" s="12">
        <v>10</v>
      </c>
      <c r="N366" s="12">
        <f t="shared" si="32"/>
        <v>12</v>
      </c>
      <c r="O366" s="8">
        <v>13218.5</v>
      </c>
      <c r="P366" s="8">
        <f t="shared" si="33"/>
        <v>15862.199999999999</v>
      </c>
      <c r="Q366" s="8">
        <v>6453.3</v>
      </c>
      <c r="R366" s="8">
        <f t="shared" si="34"/>
        <v>8905.5540000000001</v>
      </c>
      <c r="S366" s="8">
        <v>6765.2</v>
      </c>
      <c r="T366" s="8">
        <f t="shared" si="35"/>
        <v>6956.6459999999988</v>
      </c>
    </row>
    <row r="367" spans="1:20" ht="16.5" x14ac:dyDescent="0.3">
      <c r="A367" s="4" t="s">
        <v>55</v>
      </c>
      <c r="B367" s="6">
        <v>45531</v>
      </c>
      <c r="C367" s="14">
        <v>45531</v>
      </c>
      <c r="D367" s="4" t="s">
        <v>774</v>
      </c>
      <c r="E367" s="8">
        <v>1024.01</v>
      </c>
      <c r="F367" s="8">
        <f t="shared" si="30"/>
        <v>1177.6115</v>
      </c>
      <c r="G367" s="8">
        <v>1580.97</v>
      </c>
      <c r="H367" s="8">
        <v>1580.97</v>
      </c>
      <c r="I367" s="8" t="s">
        <v>1470</v>
      </c>
      <c r="J367" s="10">
        <v>3.6999999999999998E-2</v>
      </c>
      <c r="K367" s="10">
        <v>3.6999999999999998E-2</v>
      </c>
      <c r="L367" s="10">
        <f t="shared" si="31"/>
        <v>3.6999999999999998E-2</v>
      </c>
      <c r="M367" s="12">
        <v>27</v>
      </c>
      <c r="N367" s="12">
        <f t="shared" si="32"/>
        <v>32.4</v>
      </c>
      <c r="O367" s="8">
        <v>41106.800970000004</v>
      </c>
      <c r="P367" s="8">
        <f t="shared" si="33"/>
        <v>49328.161163999997</v>
      </c>
      <c r="Q367" s="8">
        <v>27648.27</v>
      </c>
      <c r="R367" s="8">
        <f t="shared" si="34"/>
        <v>38154.6126</v>
      </c>
      <c r="S367" s="8">
        <v>13458.530970000003</v>
      </c>
      <c r="T367" s="8">
        <f t="shared" si="35"/>
        <v>11173.548563999997</v>
      </c>
    </row>
    <row r="368" spans="1:20" ht="16.5" x14ac:dyDescent="0.3">
      <c r="A368" s="4" t="s">
        <v>112</v>
      </c>
      <c r="B368" s="6">
        <v>45440</v>
      </c>
      <c r="C368" s="14">
        <v>45440</v>
      </c>
      <c r="D368" s="4" t="s">
        <v>831</v>
      </c>
      <c r="E368" s="8">
        <v>1227.08</v>
      </c>
      <c r="F368" s="8">
        <f t="shared" si="30"/>
        <v>1411.1419999999998</v>
      </c>
      <c r="G368" s="8">
        <v>1896.62</v>
      </c>
      <c r="H368" s="8">
        <v>1896.62</v>
      </c>
      <c r="I368" s="8" t="s">
        <v>1470</v>
      </c>
      <c r="J368" s="10">
        <v>0</v>
      </c>
      <c r="K368" s="10">
        <v>0</v>
      </c>
      <c r="L368" s="10">
        <f t="shared" si="31"/>
        <v>0</v>
      </c>
      <c r="M368" s="12">
        <v>18</v>
      </c>
      <c r="N368" s="12">
        <f t="shared" si="32"/>
        <v>21.599999999999998</v>
      </c>
      <c r="O368" s="8">
        <v>34139.159999999996</v>
      </c>
      <c r="P368" s="8">
        <f t="shared" si="33"/>
        <v>40966.991999999991</v>
      </c>
      <c r="Q368" s="8">
        <v>22087.439999999999</v>
      </c>
      <c r="R368" s="8">
        <f t="shared" si="34"/>
        <v>30480.667199999993</v>
      </c>
      <c r="S368" s="8">
        <v>12051.719999999998</v>
      </c>
      <c r="T368" s="8">
        <f t="shared" si="35"/>
        <v>10486.324799999999</v>
      </c>
    </row>
    <row r="369" spans="1:20" ht="16.5" x14ac:dyDescent="0.3">
      <c r="A369" s="4" t="s">
        <v>199</v>
      </c>
      <c r="B369" s="6">
        <v>45587</v>
      </c>
      <c r="C369" s="14">
        <v>45587</v>
      </c>
      <c r="D369" s="4" t="s">
        <v>918</v>
      </c>
      <c r="E369" s="8">
        <v>1023.06</v>
      </c>
      <c r="F369" s="8">
        <f t="shared" si="30"/>
        <v>1176.5189999999998</v>
      </c>
      <c r="G369" s="8">
        <v>1355.61</v>
      </c>
      <c r="H369" s="8">
        <v>1355.61</v>
      </c>
      <c r="I369" s="8" t="s">
        <v>1469</v>
      </c>
      <c r="J369" s="10">
        <v>0.153</v>
      </c>
      <c r="K369" s="10">
        <v>0.153</v>
      </c>
      <c r="L369" s="10">
        <f t="shared" si="31"/>
        <v>0.153</v>
      </c>
      <c r="M369" s="12">
        <v>23</v>
      </c>
      <c r="N369" s="12">
        <f t="shared" si="32"/>
        <v>27.599999999999998</v>
      </c>
      <c r="O369" s="8">
        <v>26408.63841</v>
      </c>
      <c r="P369" s="8">
        <f t="shared" si="33"/>
        <v>31690.366091999997</v>
      </c>
      <c r="Q369" s="8">
        <v>23530.379999999997</v>
      </c>
      <c r="R369" s="8">
        <f t="shared" si="34"/>
        <v>32471.924399999993</v>
      </c>
      <c r="S369" s="8">
        <v>2878.2584100000022</v>
      </c>
      <c r="T369" s="8">
        <f t="shared" si="35"/>
        <v>-781.55830799999603</v>
      </c>
    </row>
    <row r="370" spans="1:20" ht="16.5" x14ac:dyDescent="0.3">
      <c r="A370" s="4" t="s">
        <v>490</v>
      </c>
      <c r="B370" s="6">
        <v>45422</v>
      </c>
      <c r="C370" s="14">
        <v>45422</v>
      </c>
      <c r="D370" s="4" t="s">
        <v>1209</v>
      </c>
      <c r="E370" s="8">
        <v>210.76</v>
      </c>
      <c r="F370" s="8">
        <f t="shared" si="30"/>
        <v>242.37399999999997</v>
      </c>
      <c r="G370" s="8">
        <v>221.58</v>
      </c>
      <c r="H370" s="8">
        <v>221.58</v>
      </c>
      <c r="I370" s="8" t="s">
        <v>1471</v>
      </c>
      <c r="J370" s="10">
        <v>8.8999999999999996E-2</v>
      </c>
      <c r="K370" s="10">
        <v>8.8999999999999996E-2</v>
      </c>
      <c r="L370" s="10">
        <f t="shared" si="31"/>
        <v>8.8999999999999996E-2</v>
      </c>
      <c r="M370" s="12">
        <v>5</v>
      </c>
      <c r="N370" s="12">
        <f t="shared" si="32"/>
        <v>6</v>
      </c>
      <c r="O370" s="8">
        <v>1009.2969000000002</v>
      </c>
      <c r="P370" s="8">
        <f t="shared" si="33"/>
        <v>1211.1562800000002</v>
      </c>
      <c r="Q370" s="8">
        <v>1053.8</v>
      </c>
      <c r="R370" s="8">
        <f t="shared" si="34"/>
        <v>1454.2439999999997</v>
      </c>
      <c r="S370" s="8">
        <v>-44.50309999999979</v>
      </c>
      <c r="T370" s="8">
        <f t="shared" si="35"/>
        <v>-243.08771999999954</v>
      </c>
    </row>
    <row r="371" spans="1:20" ht="16.5" x14ac:dyDescent="0.3">
      <c r="A371" s="4" t="s">
        <v>357</v>
      </c>
      <c r="B371" s="6">
        <v>45339</v>
      </c>
      <c r="C371" s="14">
        <v>45339</v>
      </c>
      <c r="D371" s="4" t="s">
        <v>1077</v>
      </c>
      <c r="E371" s="8">
        <v>1231.8</v>
      </c>
      <c r="F371" s="8">
        <f t="shared" si="30"/>
        <v>1416.57</v>
      </c>
      <c r="G371" s="8">
        <v>2015.99</v>
      </c>
      <c r="H371" s="8">
        <v>2015.99</v>
      </c>
      <c r="I371" s="8" t="s">
        <v>1470</v>
      </c>
      <c r="J371" s="10">
        <v>0.26100000000000001</v>
      </c>
      <c r="K371" s="10">
        <v>0.26100000000000001</v>
      </c>
      <c r="L371" s="10">
        <f t="shared" si="31"/>
        <v>0.25</v>
      </c>
      <c r="M371" s="12">
        <v>6</v>
      </c>
      <c r="N371" s="12">
        <f t="shared" si="32"/>
        <v>7.1999999999999993</v>
      </c>
      <c r="O371" s="8">
        <v>8938.8996600000009</v>
      </c>
      <c r="P371" s="8">
        <f t="shared" si="33"/>
        <v>10886.346</v>
      </c>
      <c r="Q371" s="8">
        <v>7390.7999999999993</v>
      </c>
      <c r="R371" s="8">
        <f t="shared" si="34"/>
        <v>10199.303999999998</v>
      </c>
      <c r="S371" s="8">
        <v>1548.0996600000017</v>
      </c>
      <c r="T371" s="8">
        <f t="shared" si="35"/>
        <v>687.04200000000128</v>
      </c>
    </row>
    <row r="372" spans="1:20" ht="16.5" x14ac:dyDescent="0.3">
      <c r="A372" s="4" t="s">
        <v>487</v>
      </c>
      <c r="B372" s="6">
        <v>45328</v>
      </c>
      <c r="C372" s="14">
        <v>45328</v>
      </c>
      <c r="D372" s="4" t="s">
        <v>1206</v>
      </c>
      <c r="E372" s="8">
        <v>834.93</v>
      </c>
      <c r="F372" s="8">
        <f t="shared" si="30"/>
        <v>960.16949999999986</v>
      </c>
      <c r="G372" s="8">
        <v>1588.53</v>
      </c>
      <c r="H372" s="8">
        <v>1588.53</v>
      </c>
      <c r="I372" s="8" t="s">
        <v>1470</v>
      </c>
      <c r="J372" s="10">
        <v>0.126</v>
      </c>
      <c r="K372" s="10">
        <v>0.126</v>
      </c>
      <c r="L372" s="10">
        <f t="shared" si="31"/>
        <v>0.126</v>
      </c>
      <c r="M372" s="12">
        <v>6</v>
      </c>
      <c r="N372" s="12">
        <f t="shared" si="32"/>
        <v>7.1999999999999993</v>
      </c>
      <c r="O372" s="8">
        <v>8330.2513199999994</v>
      </c>
      <c r="P372" s="8">
        <f t="shared" si="33"/>
        <v>9996.3015839999989</v>
      </c>
      <c r="Q372" s="8">
        <v>5009.58</v>
      </c>
      <c r="R372" s="8">
        <f t="shared" si="34"/>
        <v>6913.2203999999983</v>
      </c>
      <c r="S372" s="8">
        <v>3320.6713199999995</v>
      </c>
      <c r="T372" s="8">
        <f t="shared" si="35"/>
        <v>3083.0811840000006</v>
      </c>
    </row>
    <row r="373" spans="1:20" ht="16.5" x14ac:dyDescent="0.3">
      <c r="A373" s="4" t="s">
        <v>445</v>
      </c>
      <c r="B373" s="6">
        <v>45654</v>
      </c>
      <c r="C373" s="14">
        <v>45654</v>
      </c>
      <c r="D373" s="4" t="s">
        <v>1164</v>
      </c>
      <c r="E373" s="8">
        <v>1201.31</v>
      </c>
      <c r="F373" s="8">
        <f t="shared" si="30"/>
        <v>1381.5064999999997</v>
      </c>
      <c r="G373" s="8">
        <v>2764.65</v>
      </c>
      <c r="H373" s="8">
        <v>2764.65</v>
      </c>
      <c r="I373" s="8" t="s">
        <v>1470</v>
      </c>
      <c r="J373" s="10">
        <v>0</v>
      </c>
      <c r="K373" s="10">
        <v>0</v>
      </c>
      <c r="L373" s="10">
        <f t="shared" si="31"/>
        <v>0</v>
      </c>
      <c r="M373" s="12">
        <v>21</v>
      </c>
      <c r="N373" s="12">
        <f t="shared" si="32"/>
        <v>25.2</v>
      </c>
      <c r="O373" s="8">
        <v>58057.65</v>
      </c>
      <c r="P373" s="8">
        <f t="shared" si="33"/>
        <v>69669.180000000008</v>
      </c>
      <c r="Q373" s="8">
        <v>25227.51</v>
      </c>
      <c r="R373" s="8">
        <f t="shared" si="34"/>
        <v>34813.96379999999</v>
      </c>
      <c r="S373" s="8">
        <v>32830.14</v>
      </c>
      <c r="T373" s="8">
        <f t="shared" si="35"/>
        <v>34855.216200000017</v>
      </c>
    </row>
    <row r="374" spans="1:20" ht="16.5" x14ac:dyDescent="0.3">
      <c r="A374" s="4" t="s">
        <v>430</v>
      </c>
      <c r="B374" s="6">
        <v>45626</v>
      </c>
      <c r="C374" s="14">
        <v>45626</v>
      </c>
      <c r="D374" s="4" t="s">
        <v>1149</v>
      </c>
      <c r="E374" s="8">
        <v>851.49</v>
      </c>
      <c r="F374" s="8">
        <f t="shared" si="30"/>
        <v>979.21349999999995</v>
      </c>
      <c r="G374" s="8">
        <v>901.79</v>
      </c>
      <c r="H374" s="8">
        <v>901.79</v>
      </c>
      <c r="I374" s="8" t="s">
        <v>1469</v>
      </c>
      <c r="J374" s="10">
        <v>0.245</v>
      </c>
      <c r="K374" s="10">
        <v>0.245</v>
      </c>
      <c r="L374" s="10">
        <f t="shared" si="31"/>
        <v>0.245</v>
      </c>
      <c r="M374" s="12">
        <v>16</v>
      </c>
      <c r="N374" s="12">
        <f t="shared" si="32"/>
        <v>19.2</v>
      </c>
      <c r="O374" s="8">
        <v>10893.6232</v>
      </c>
      <c r="P374" s="8">
        <f t="shared" si="33"/>
        <v>13072.347839999999</v>
      </c>
      <c r="Q374" s="8">
        <v>13623.84</v>
      </c>
      <c r="R374" s="8">
        <f t="shared" si="34"/>
        <v>18800.8992</v>
      </c>
      <c r="S374" s="8">
        <v>-2730.2168000000001</v>
      </c>
      <c r="T374" s="8">
        <f t="shared" si="35"/>
        <v>-5728.5513600000013</v>
      </c>
    </row>
    <row r="375" spans="1:20" ht="16.5" x14ac:dyDescent="0.3">
      <c r="A375" s="4" t="s">
        <v>264</v>
      </c>
      <c r="B375" s="6">
        <v>45537</v>
      </c>
      <c r="C375" s="14">
        <v>45537</v>
      </c>
      <c r="D375" s="4" t="s">
        <v>984</v>
      </c>
      <c r="E375" s="8">
        <v>462.94</v>
      </c>
      <c r="F375" s="8">
        <f t="shared" si="30"/>
        <v>532.38099999999997</v>
      </c>
      <c r="G375" s="8">
        <v>1015.7</v>
      </c>
      <c r="H375" s="8">
        <v>1015.7</v>
      </c>
      <c r="I375" s="8" t="s">
        <v>1469</v>
      </c>
      <c r="J375" s="10">
        <v>0.14299999999999999</v>
      </c>
      <c r="K375" s="10">
        <v>0.14299999999999999</v>
      </c>
      <c r="L375" s="10">
        <f t="shared" si="31"/>
        <v>0.14299999999999999</v>
      </c>
      <c r="M375" s="12">
        <v>14</v>
      </c>
      <c r="N375" s="12">
        <f t="shared" si="32"/>
        <v>16.8</v>
      </c>
      <c r="O375" s="8">
        <v>12186.368600000002</v>
      </c>
      <c r="P375" s="8">
        <f t="shared" si="33"/>
        <v>14623.642320000001</v>
      </c>
      <c r="Q375" s="8">
        <v>6481.16</v>
      </c>
      <c r="R375" s="8">
        <f t="shared" si="34"/>
        <v>8944.0007999999998</v>
      </c>
      <c r="S375" s="8">
        <v>5705.2086000000018</v>
      </c>
      <c r="T375" s="8">
        <f t="shared" si="35"/>
        <v>5679.641520000001</v>
      </c>
    </row>
    <row r="376" spans="1:20" ht="16.5" x14ac:dyDescent="0.3">
      <c r="A376" s="4" t="s">
        <v>210</v>
      </c>
      <c r="B376" s="6">
        <v>45588</v>
      </c>
      <c r="C376" s="14">
        <v>45588</v>
      </c>
      <c r="D376" s="4" t="s">
        <v>930</v>
      </c>
      <c r="E376" s="8">
        <v>1406.4</v>
      </c>
      <c r="F376" s="8">
        <f t="shared" si="30"/>
        <v>1617.36</v>
      </c>
      <c r="G376" s="8">
        <v>1564.76</v>
      </c>
      <c r="H376" s="8">
        <v>1564.76</v>
      </c>
      <c r="I376" s="8" t="s">
        <v>1470</v>
      </c>
      <c r="J376" s="10">
        <v>0.185</v>
      </c>
      <c r="K376" s="10">
        <v>0.185</v>
      </c>
      <c r="L376" s="10">
        <f t="shared" si="31"/>
        <v>0.185</v>
      </c>
      <c r="M376" s="12">
        <v>17</v>
      </c>
      <c r="N376" s="12">
        <f t="shared" si="32"/>
        <v>20.399999999999999</v>
      </c>
      <c r="O376" s="8">
        <v>21679.749799999998</v>
      </c>
      <c r="P376" s="8">
        <f t="shared" si="33"/>
        <v>26015.69976</v>
      </c>
      <c r="Q376" s="8">
        <v>23908.800000000003</v>
      </c>
      <c r="R376" s="8">
        <f t="shared" si="34"/>
        <v>32994.143999999993</v>
      </c>
      <c r="S376" s="8">
        <v>-2229.0502000000051</v>
      </c>
      <c r="T376" s="8">
        <f t="shared" si="35"/>
        <v>-6978.4442399999934</v>
      </c>
    </row>
    <row r="377" spans="1:20" ht="16.5" x14ac:dyDescent="0.3">
      <c r="A377" s="4" t="s">
        <v>417</v>
      </c>
      <c r="B377" s="6">
        <v>45497</v>
      </c>
      <c r="C377" s="14">
        <v>45497</v>
      </c>
      <c r="D377" s="4" t="s">
        <v>1136</v>
      </c>
      <c r="E377" s="8">
        <v>501.5</v>
      </c>
      <c r="F377" s="8">
        <f t="shared" si="30"/>
        <v>576.72499999999991</v>
      </c>
      <c r="G377" s="8">
        <v>1201.47</v>
      </c>
      <c r="H377" s="8">
        <v>1201.47</v>
      </c>
      <c r="I377" s="8" t="s">
        <v>1469</v>
      </c>
      <c r="J377" s="10">
        <v>0.126</v>
      </c>
      <c r="K377" s="10">
        <v>0.126</v>
      </c>
      <c r="L377" s="10">
        <f t="shared" si="31"/>
        <v>0.126</v>
      </c>
      <c r="M377" s="12">
        <v>5</v>
      </c>
      <c r="N377" s="12">
        <f t="shared" si="32"/>
        <v>6</v>
      </c>
      <c r="O377" s="8">
        <v>5250.4239000000007</v>
      </c>
      <c r="P377" s="8">
        <f t="shared" si="33"/>
        <v>6300.5086799999999</v>
      </c>
      <c r="Q377" s="8">
        <v>2507.5</v>
      </c>
      <c r="R377" s="8">
        <f t="shared" si="34"/>
        <v>3460.3499999999995</v>
      </c>
      <c r="S377" s="8">
        <v>2742.9239000000007</v>
      </c>
      <c r="T377" s="8">
        <f t="shared" si="35"/>
        <v>2840.1586800000005</v>
      </c>
    </row>
    <row r="378" spans="1:20" ht="16.5" x14ac:dyDescent="0.3">
      <c r="A378" s="4" t="s">
        <v>224</v>
      </c>
      <c r="B378" s="6">
        <v>45567</v>
      </c>
      <c r="C378" s="14">
        <v>45567</v>
      </c>
      <c r="D378" s="4" t="s">
        <v>944</v>
      </c>
      <c r="E378" s="8">
        <v>1095.6099999999999</v>
      </c>
      <c r="F378" s="8">
        <f t="shared" si="30"/>
        <v>1259.9514999999999</v>
      </c>
      <c r="G378" s="8">
        <v>2366.5100000000002</v>
      </c>
      <c r="H378" s="8">
        <v>2366.5100000000002</v>
      </c>
      <c r="I378" s="8" t="s">
        <v>1470</v>
      </c>
      <c r="J378" s="10">
        <v>0.152</v>
      </c>
      <c r="K378" s="10">
        <v>0.152</v>
      </c>
      <c r="L378" s="10">
        <f t="shared" si="31"/>
        <v>0.152</v>
      </c>
      <c r="M378" s="12">
        <v>9</v>
      </c>
      <c r="N378" s="12">
        <f t="shared" si="32"/>
        <v>10.799999999999999</v>
      </c>
      <c r="O378" s="8">
        <v>18061.204320000004</v>
      </c>
      <c r="P378" s="8">
        <f t="shared" si="33"/>
        <v>21673.445184</v>
      </c>
      <c r="Q378" s="8">
        <v>9860.49</v>
      </c>
      <c r="R378" s="8">
        <f t="shared" si="34"/>
        <v>13607.476199999997</v>
      </c>
      <c r="S378" s="8">
        <v>8200.7143200000046</v>
      </c>
      <c r="T378" s="8">
        <f t="shared" si="35"/>
        <v>8065.9689840000028</v>
      </c>
    </row>
    <row r="379" spans="1:20" ht="16.5" x14ac:dyDescent="0.3">
      <c r="A379" s="4" t="s">
        <v>572</v>
      </c>
      <c r="B379" s="6">
        <v>45362</v>
      </c>
      <c r="C379" s="14">
        <v>45362</v>
      </c>
      <c r="D379" s="4" t="s">
        <v>1290</v>
      </c>
      <c r="E379" s="8">
        <v>710.98</v>
      </c>
      <c r="F379" s="8">
        <f t="shared" si="30"/>
        <v>817.62699999999995</v>
      </c>
      <c r="G379" s="8">
        <v>1481.45</v>
      </c>
      <c r="H379" s="8">
        <v>1481.45</v>
      </c>
      <c r="I379" s="8" t="s">
        <v>1469</v>
      </c>
      <c r="J379" s="10">
        <v>0.21099999999999999</v>
      </c>
      <c r="K379" s="10">
        <v>0.21099999999999999</v>
      </c>
      <c r="L379" s="10">
        <f t="shared" si="31"/>
        <v>0.21099999999999999</v>
      </c>
      <c r="M379" s="12">
        <v>9</v>
      </c>
      <c r="N379" s="12">
        <f t="shared" si="32"/>
        <v>10.799999999999999</v>
      </c>
      <c r="O379" s="8">
        <v>10519.776450000001</v>
      </c>
      <c r="P379" s="8">
        <f t="shared" si="33"/>
        <v>12623.731739999999</v>
      </c>
      <c r="Q379" s="8">
        <v>6398.82</v>
      </c>
      <c r="R379" s="8">
        <f t="shared" si="34"/>
        <v>8830.3715999999986</v>
      </c>
      <c r="S379" s="8">
        <v>4120.9564500000015</v>
      </c>
      <c r="T379" s="8">
        <f t="shared" si="35"/>
        <v>3793.3601400000007</v>
      </c>
    </row>
    <row r="380" spans="1:20" ht="16.5" x14ac:dyDescent="0.3">
      <c r="A380" s="4" t="s">
        <v>222</v>
      </c>
      <c r="B380" s="6">
        <v>45545</v>
      </c>
      <c r="C380" s="14">
        <v>45545</v>
      </c>
      <c r="D380" s="4" t="s">
        <v>942</v>
      </c>
      <c r="E380" s="8">
        <v>1248.3900000000001</v>
      </c>
      <c r="F380" s="8">
        <f t="shared" si="30"/>
        <v>1435.6485</v>
      </c>
      <c r="G380" s="8">
        <v>1805.11</v>
      </c>
      <c r="H380" s="8">
        <v>1805.11</v>
      </c>
      <c r="I380" s="8" t="s">
        <v>1470</v>
      </c>
      <c r="J380" s="10">
        <v>0.20300000000000001</v>
      </c>
      <c r="K380" s="10">
        <v>0.20300000000000001</v>
      </c>
      <c r="L380" s="10">
        <f t="shared" si="31"/>
        <v>0.20300000000000001</v>
      </c>
      <c r="M380" s="12">
        <v>11</v>
      </c>
      <c r="N380" s="12">
        <f t="shared" si="32"/>
        <v>13.2</v>
      </c>
      <c r="O380" s="8">
        <v>15825.399369999997</v>
      </c>
      <c r="P380" s="8">
        <f t="shared" si="33"/>
        <v>18990.479243999995</v>
      </c>
      <c r="Q380" s="8">
        <v>13732.29</v>
      </c>
      <c r="R380" s="8">
        <f t="shared" si="34"/>
        <v>18950.5602</v>
      </c>
      <c r="S380" s="8">
        <v>2093.1093699999965</v>
      </c>
      <c r="T380" s="8">
        <f t="shared" si="35"/>
        <v>39.919043999994756</v>
      </c>
    </row>
    <row r="381" spans="1:20" ht="16.5" x14ac:dyDescent="0.3">
      <c r="A381" s="4" t="s">
        <v>598</v>
      </c>
      <c r="B381" s="6">
        <v>45507</v>
      </c>
      <c r="C381" s="14">
        <v>45507</v>
      </c>
      <c r="D381" s="4" t="s">
        <v>1316</v>
      </c>
      <c r="E381" s="8">
        <v>643.21</v>
      </c>
      <c r="F381" s="8">
        <f t="shared" si="30"/>
        <v>739.69150000000002</v>
      </c>
      <c r="G381" s="8">
        <v>1112.81</v>
      </c>
      <c r="H381" s="8">
        <v>1112.81</v>
      </c>
      <c r="I381" s="8" t="s">
        <v>1469</v>
      </c>
      <c r="J381" s="10">
        <v>0.14099999999999999</v>
      </c>
      <c r="K381" s="10">
        <v>0.14099999999999999</v>
      </c>
      <c r="L381" s="10">
        <f t="shared" si="31"/>
        <v>0.14099999999999999</v>
      </c>
      <c r="M381" s="12">
        <v>4</v>
      </c>
      <c r="N381" s="12">
        <f t="shared" si="32"/>
        <v>4.8</v>
      </c>
      <c r="O381" s="8">
        <v>3823.6151599999998</v>
      </c>
      <c r="P381" s="8">
        <f t="shared" si="33"/>
        <v>4588.3381919999993</v>
      </c>
      <c r="Q381" s="8">
        <v>2572.84</v>
      </c>
      <c r="R381" s="8">
        <f t="shared" si="34"/>
        <v>3550.5192000000002</v>
      </c>
      <c r="S381" s="8">
        <v>1250.7751599999997</v>
      </c>
      <c r="T381" s="8">
        <f t="shared" si="35"/>
        <v>1037.8189919999991</v>
      </c>
    </row>
    <row r="382" spans="1:20" ht="16.5" x14ac:dyDescent="0.3">
      <c r="A382" s="4" t="s">
        <v>388</v>
      </c>
      <c r="B382" s="6">
        <v>45429</v>
      </c>
      <c r="C382" s="14">
        <v>45429</v>
      </c>
      <c r="D382" s="4" t="s">
        <v>1108</v>
      </c>
      <c r="E382" s="8">
        <v>1484.23</v>
      </c>
      <c r="F382" s="8">
        <f t="shared" si="30"/>
        <v>1706.8644999999999</v>
      </c>
      <c r="G382" s="8">
        <v>3472.81</v>
      </c>
      <c r="H382" s="8">
        <v>3472.81</v>
      </c>
      <c r="I382" s="8" t="s">
        <v>1470</v>
      </c>
      <c r="J382" s="10">
        <v>0.25600000000000001</v>
      </c>
      <c r="K382" s="10">
        <v>0.25600000000000001</v>
      </c>
      <c r="L382" s="10">
        <f t="shared" si="31"/>
        <v>0.25</v>
      </c>
      <c r="M382" s="12">
        <v>12</v>
      </c>
      <c r="N382" s="12">
        <f t="shared" si="32"/>
        <v>14.399999999999999</v>
      </c>
      <c r="O382" s="8">
        <v>31005.24768</v>
      </c>
      <c r="P382" s="8">
        <f t="shared" si="33"/>
        <v>37506.347999999998</v>
      </c>
      <c r="Q382" s="8">
        <v>17810.760000000002</v>
      </c>
      <c r="R382" s="8">
        <f t="shared" si="34"/>
        <v>24578.848799999996</v>
      </c>
      <c r="S382" s="8">
        <v>13194.487679999998</v>
      </c>
      <c r="T382" s="8">
        <f t="shared" si="35"/>
        <v>12927.499200000002</v>
      </c>
    </row>
    <row r="383" spans="1:20" ht="16.5" x14ac:dyDescent="0.3">
      <c r="A383" s="4" t="s">
        <v>51</v>
      </c>
      <c r="B383" s="6">
        <v>45358</v>
      </c>
      <c r="C383" s="14">
        <v>45358</v>
      </c>
      <c r="D383" s="4" t="s">
        <v>770</v>
      </c>
      <c r="E383" s="8">
        <v>712.84</v>
      </c>
      <c r="F383" s="8">
        <f t="shared" si="30"/>
        <v>819.76599999999996</v>
      </c>
      <c r="G383" s="8">
        <v>927.51</v>
      </c>
      <c r="H383" s="8">
        <v>927.51</v>
      </c>
      <c r="I383" s="8" t="s">
        <v>1469</v>
      </c>
      <c r="J383" s="10">
        <v>0.24299999999999999</v>
      </c>
      <c r="K383" s="10">
        <v>0.24299999999999999</v>
      </c>
      <c r="L383" s="10">
        <f t="shared" si="31"/>
        <v>0.24299999999999999</v>
      </c>
      <c r="M383" s="12">
        <v>27</v>
      </c>
      <c r="N383" s="12">
        <f t="shared" si="32"/>
        <v>32.4</v>
      </c>
      <c r="O383" s="8">
        <v>18957.37689</v>
      </c>
      <c r="P383" s="8">
        <f t="shared" si="33"/>
        <v>22748.852267999999</v>
      </c>
      <c r="Q383" s="8">
        <v>19246.68</v>
      </c>
      <c r="R383" s="8">
        <f t="shared" si="34"/>
        <v>26560.418399999999</v>
      </c>
      <c r="S383" s="8">
        <v>-289.30311000000074</v>
      </c>
      <c r="T383" s="8">
        <f t="shared" si="35"/>
        <v>-3811.5661319999999</v>
      </c>
    </row>
    <row r="384" spans="1:20" ht="16.5" x14ac:dyDescent="0.3">
      <c r="A384" s="4" t="s">
        <v>374</v>
      </c>
      <c r="B384" s="6">
        <v>45466</v>
      </c>
      <c r="C384" s="14">
        <v>45466</v>
      </c>
      <c r="D384" s="4" t="s">
        <v>1094</v>
      </c>
      <c r="E384" s="8">
        <v>951.44</v>
      </c>
      <c r="F384" s="8">
        <f t="shared" si="30"/>
        <v>1094.1559999999999</v>
      </c>
      <c r="G384" s="8">
        <v>1646.43</v>
      </c>
      <c r="H384" s="8">
        <v>1646.43</v>
      </c>
      <c r="I384" s="8" t="s">
        <v>1470</v>
      </c>
      <c r="J384" s="10">
        <v>0.11</v>
      </c>
      <c r="K384" s="10">
        <v>0.11</v>
      </c>
      <c r="L384" s="10">
        <f t="shared" si="31"/>
        <v>0.11</v>
      </c>
      <c r="M384" s="12">
        <v>24</v>
      </c>
      <c r="N384" s="12">
        <f t="shared" si="32"/>
        <v>28.799999999999997</v>
      </c>
      <c r="O384" s="8">
        <v>35167.7448</v>
      </c>
      <c r="P384" s="8">
        <f t="shared" si="33"/>
        <v>42201.293759999993</v>
      </c>
      <c r="Q384" s="8">
        <v>22834.560000000001</v>
      </c>
      <c r="R384" s="8">
        <f t="shared" si="34"/>
        <v>31511.692799999997</v>
      </c>
      <c r="S384" s="8">
        <v>12333.184799999999</v>
      </c>
      <c r="T384" s="8">
        <f t="shared" si="35"/>
        <v>10689.600959999996</v>
      </c>
    </row>
    <row r="385" spans="1:20" ht="16.5" x14ac:dyDescent="0.3">
      <c r="A385" s="4" t="s">
        <v>542</v>
      </c>
      <c r="B385" s="6">
        <v>45448</v>
      </c>
      <c r="C385" s="14">
        <v>45448</v>
      </c>
      <c r="D385" s="4" t="s">
        <v>1261</v>
      </c>
      <c r="E385" s="8">
        <v>1208.74</v>
      </c>
      <c r="F385" s="8">
        <f t="shared" si="30"/>
        <v>1390.0509999999999</v>
      </c>
      <c r="G385" s="8">
        <v>1594.78</v>
      </c>
      <c r="H385" s="8">
        <v>1594.78</v>
      </c>
      <c r="I385" s="8" t="s">
        <v>1470</v>
      </c>
      <c r="J385" s="10">
        <v>5.8999999999999997E-2</v>
      </c>
      <c r="K385" s="10">
        <v>5.8999999999999997E-2</v>
      </c>
      <c r="L385" s="10">
        <f t="shared" si="31"/>
        <v>5.8999999999999997E-2</v>
      </c>
      <c r="M385" s="12">
        <v>39</v>
      </c>
      <c r="N385" s="12">
        <f t="shared" si="32"/>
        <v>46.8</v>
      </c>
      <c r="O385" s="8">
        <v>58526.83122</v>
      </c>
      <c r="P385" s="8">
        <f t="shared" si="33"/>
        <v>70232.197463999997</v>
      </c>
      <c r="Q385" s="8">
        <v>47140.86</v>
      </c>
      <c r="R385" s="8">
        <f t="shared" si="34"/>
        <v>65054.386799999993</v>
      </c>
      <c r="S385" s="8">
        <v>11385.971219999999</v>
      </c>
      <c r="T385" s="8">
        <f t="shared" si="35"/>
        <v>5177.8106640000042</v>
      </c>
    </row>
    <row r="386" spans="1:20" ht="16.5" x14ac:dyDescent="0.3">
      <c r="A386" s="4" t="s">
        <v>335</v>
      </c>
      <c r="B386" s="6">
        <v>45293</v>
      </c>
      <c r="C386" s="14">
        <v>45293</v>
      </c>
      <c r="D386" s="4" t="s">
        <v>1055</v>
      </c>
      <c r="E386" s="8">
        <v>404.77</v>
      </c>
      <c r="F386" s="8">
        <f t="shared" si="30"/>
        <v>465.48549999999994</v>
      </c>
      <c r="G386" s="8">
        <v>433.88</v>
      </c>
      <c r="H386" s="8">
        <v>433.88</v>
      </c>
      <c r="I386" s="8" t="s">
        <v>1471</v>
      </c>
      <c r="J386" s="10">
        <v>0.215</v>
      </c>
      <c r="K386" s="10">
        <v>0.215</v>
      </c>
      <c r="L386" s="10">
        <f t="shared" si="31"/>
        <v>0.215</v>
      </c>
      <c r="M386" s="12">
        <v>22</v>
      </c>
      <c r="N386" s="12">
        <f t="shared" si="32"/>
        <v>26.4</v>
      </c>
      <c r="O386" s="8">
        <v>7493.1076000000012</v>
      </c>
      <c r="P386" s="8">
        <f t="shared" si="33"/>
        <v>8991.72912</v>
      </c>
      <c r="Q386" s="8">
        <v>8904.9399999999987</v>
      </c>
      <c r="R386" s="8">
        <f t="shared" si="34"/>
        <v>12288.817199999998</v>
      </c>
      <c r="S386" s="8">
        <v>-1411.8323999999975</v>
      </c>
      <c r="T386" s="8">
        <f t="shared" si="35"/>
        <v>-3297.0880799999977</v>
      </c>
    </row>
    <row r="387" spans="1:20" ht="16.5" x14ac:dyDescent="0.3">
      <c r="A387" s="4" t="s">
        <v>232</v>
      </c>
      <c r="B387" s="6">
        <v>45576</v>
      </c>
      <c r="C387" s="14">
        <v>45576</v>
      </c>
      <c r="D387" s="4" t="s">
        <v>952</v>
      </c>
      <c r="E387" s="8">
        <v>391.64</v>
      </c>
      <c r="F387" s="8">
        <f t="shared" ref="F387:F450" si="36">(E387*(1+$X$3))</f>
        <v>450.38599999999997</v>
      </c>
      <c r="G387" s="8">
        <v>504.76</v>
      </c>
      <c r="H387" s="8">
        <v>504.76</v>
      </c>
      <c r="I387" s="8" t="s">
        <v>1471</v>
      </c>
      <c r="J387" s="10">
        <v>4.0000000000000001E-3</v>
      </c>
      <c r="K387" s="10">
        <v>4.0000000000000001E-3</v>
      </c>
      <c r="L387" s="10">
        <f t="shared" ref="L387:L450" si="37">MIN(K387, $X$2)</f>
        <v>4.0000000000000001E-3</v>
      </c>
      <c r="M387" s="12">
        <v>13</v>
      </c>
      <c r="N387" s="12">
        <f t="shared" ref="N387:N450" si="38">(M387*(1+$X$4))</f>
        <v>15.6</v>
      </c>
      <c r="O387" s="8">
        <v>6535.6324800000002</v>
      </c>
      <c r="P387" s="8">
        <f t="shared" ref="P387:P450" si="39">(H387*N387*(1-L387))</f>
        <v>7842.7589759999992</v>
      </c>
      <c r="Q387" s="8">
        <v>5091.32</v>
      </c>
      <c r="R387" s="8">
        <f t="shared" ref="R387:R450" si="40">F387*N387</f>
        <v>7026.0215999999991</v>
      </c>
      <c r="S387" s="8">
        <v>1444.3124800000005</v>
      </c>
      <c r="T387" s="8">
        <f t="shared" ref="T387:T450" si="41">P387-R387</f>
        <v>816.73737600000004</v>
      </c>
    </row>
    <row r="388" spans="1:20" ht="16.5" x14ac:dyDescent="0.3">
      <c r="A388" s="4" t="s">
        <v>511</v>
      </c>
      <c r="B388" s="6">
        <v>45544</v>
      </c>
      <c r="C388" s="14">
        <v>45544</v>
      </c>
      <c r="D388" s="4" t="s">
        <v>1230</v>
      </c>
      <c r="E388" s="8">
        <v>1133.08</v>
      </c>
      <c r="F388" s="8">
        <f t="shared" si="36"/>
        <v>1303.0419999999999</v>
      </c>
      <c r="G388" s="8">
        <v>976.17</v>
      </c>
      <c r="H388" s="8">
        <v>976.17</v>
      </c>
      <c r="I388" s="8" t="s">
        <v>1469</v>
      </c>
      <c r="J388" s="10">
        <v>4.2000000000000003E-2</v>
      </c>
      <c r="K388" s="10">
        <v>4.2000000000000003E-2</v>
      </c>
      <c r="L388" s="10">
        <f t="shared" si="37"/>
        <v>4.2000000000000003E-2</v>
      </c>
      <c r="M388" s="12">
        <v>27</v>
      </c>
      <c r="N388" s="12">
        <f t="shared" si="38"/>
        <v>32.4</v>
      </c>
      <c r="O388" s="8">
        <v>25249.613219999999</v>
      </c>
      <c r="P388" s="8">
        <f t="shared" si="39"/>
        <v>30299.535863999994</v>
      </c>
      <c r="Q388" s="8">
        <v>30593.159999999996</v>
      </c>
      <c r="R388" s="8">
        <f t="shared" si="40"/>
        <v>42218.560799999992</v>
      </c>
      <c r="S388" s="8">
        <v>-5343.5467799999969</v>
      </c>
      <c r="T388" s="8">
        <f t="shared" si="41"/>
        <v>-11919.024935999998</v>
      </c>
    </row>
    <row r="389" spans="1:20" ht="16.5" x14ac:dyDescent="0.3">
      <c r="A389" s="4" t="s">
        <v>521</v>
      </c>
      <c r="B389" s="6">
        <v>45589</v>
      </c>
      <c r="C389" s="14">
        <v>45589</v>
      </c>
      <c r="D389" s="4" t="s">
        <v>1240</v>
      </c>
      <c r="E389" s="8">
        <v>1331.77</v>
      </c>
      <c r="F389" s="8">
        <f t="shared" si="36"/>
        <v>1531.5355</v>
      </c>
      <c r="G389" s="8">
        <v>2606.11</v>
      </c>
      <c r="H389" s="8">
        <v>2606.11</v>
      </c>
      <c r="I389" s="8" t="s">
        <v>1470</v>
      </c>
      <c r="J389" s="10">
        <v>0.02</v>
      </c>
      <c r="K389" s="10">
        <v>0.02</v>
      </c>
      <c r="L389" s="10">
        <f t="shared" si="37"/>
        <v>0.02</v>
      </c>
      <c r="M389" s="12">
        <v>6</v>
      </c>
      <c r="N389" s="12">
        <f t="shared" si="38"/>
        <v>7.1999999999999993</v>
      </c>
      <c r="O389" s="8">
        <v>15323.926799999999</v>
      </c>
      <c r="P389" s="8">
        <f t="shared" si="39"/>
        <v>18388.712159999999</v>
      </c>
      <c r="Q389" s="8">
        <v>7990.62</v>
      </c>
      <c r="R389" s="8">
        <f t="shared" si="40"/>
        <v>11027.055599999998</v>
      </c>
      <c r="S389" s="8">
        <v>7333.3067999999994</v>
      </c>
      <c r="T389" s="8">
        <f t="shared" si="41"/>
        <v>7361.6565600000013</v>
      </c>
    </row>
    <row r="390" spans="1:20" ht="16.5" x14ac:dyDescent="0.3">
      <c r="A390" s="4" t="s">
        <v>626</v>
      </c>
      <c r="B390" s="6">
        <v>45584</v>
      </c>
      <c r="C390" s="14">
        <v>45584</v>
      </c>
      <c r="D390" s="4" t="s">
        <v>1344</v>
      </c>
      <c r="E390" s="8">
        <v>942.02</v>
      </c>
      <c r="F390" s="8">
        <f t="shared" si="36"/>
        <v>1083.3229999999999</v>
      </c>
      <c r="G390" s="8">
        <v>1028.46</v>
      </c>
      <c r="H390" s="8">
        <v>1028.46</v>
      </c>
      <c r="I390" s="8" t="s">
        <v>1469</v>
      </c>
      <c r="J390" s="10">
        <v>0</v>
      </c>
      <c r="K390" s="10">
        <v>0</v>
      </c>
      <c r="L390" s="10">
        <f t="shared" si="37"/>
        <v>0</v>
      </c>
      <c r="M390" s="12">
        <v>9</v>
      </c>
      <c r="N390" s="12">
        <f t="shared" si="38"/>
        <v>10.799999999999999</v>
      </c>
      <c r="O390" s="8">
        <v>9256.14</v>
      </c>
      <c r="P390" s="8">
        <f t="shared" si="39"/>
        <v>11107.367999999999</v>
      </c>
      <c r="Q390" s="8">
        <v>8478.18</v>
      </c>
      <c r="R390" s="8">
        <f t="shared" si="40"/>
        <v>11699.888399999998</v>
      </c>
      <c r="S390" s="8">
        <v>777.95999999999913</v>
      </c>
      <c r="T390" s="8">
        <f t="shared" si="41"/>
        <v>-592.52039999999943</v>
      </c>
    </row>
    <row r="391" spans="1:20" ht="16.5" x14ac:dyDescent="0.3">
      <c r="A391" s="4" t="s">
        <v>457</v>
      </c>
      <c r="B391" s="6">
        <v>45526</v>
      </c>
      <c r="C391" s="14">
        <v>45526</v>
      </c>
      <c r="D391" s="4" t="s">
        <v>1176</v>
      </c>
      <c r="E391" s="8">
        <v>90.04</v>
      </c>
      <c r="F391" s="8">
        <f t="shared" si="36"/>
        <v>103.54599999999999</v>
      </c>
      <c r="G391" s="8">
        <v>194.62</v>
      </c>
      <c r="H391" s="8">
        <v>194.62</v>
      </c>
      <c r="I391" s="8" t="s">
        <v>1471</v>
      </c>
      <c r="J391" s="10">
        <v>4.2999999999999997E-2</v>
      </c>
      <c r="K391" s="10">
        <v>4.2999999999999997E-2</v>
      </c>
      <c r="L391" s="10">
        <f t="shared" si="37"/>
        <v>4.2999999999999997E-2</v>
      </c>
      <c r="M391" s="12">
        <v>32</v>
      </c>
      <c r="N391" s="12">
        <f t="shared" si="38"/>
        <v>38.4</v>
      </c>
      <c r="O391" s="8">
        <v>5960.04288</v>
      </c>
      <c r="P391" s="8">
        <f t="shared" si="39"/>
        <v>7152.0514559999992</v>
      </c>
      <c r="Q391" s="8">
        <v>2881.28</v>
      </c>
      <c r="R391" s="8">
        <f t="shared" si="40"/>
        <v>3976.1663999999996</v>
      </c>
      <c r="S391" s="8">
        <v>3078.7628799999998</v>
      </c>
      <c r="T391" s="8">
        <f t="shared" si="41"/>
        <v>3175.8850559999996</v>
      </c>
    </row>
    <row r="392" spans="1:20" ht="16.5" x14ac:dyDescent="0.3">
      <c r="A392" s="4" t="s">
        <v>286</v>
      </c>
      <c r="B392" s="6">
        <v>45382</v>
      </c>
      <c r="C392" s="14">
        <v>45382</v>
      </c>
      <c r="D392" s="4" t="s">
        <v>1006</v>
      </c>
      <c r="E392" s="8">
        <v>1025.51</v>
      </c>
      <c r="F392" s="8">
        <f t="shared" si="36"/>
        <v>1179.3364999999999</v>
      </c>
      <c r="G392" s="8">
        <v>1436.54</v>
      </c>
      <c r="H392" s="8">
        <v>1436.54</v>
      </c>
      <c r="I392" s="8" t="s">
        <v>1469</v>
      </c>
      <c r="J392" s="10">
        <v>0.13900000000000001</v>
      </c>
      <c r="K392" s="10">
        <v>0.13900000000000001</v>
      </c>
      <c r="L392" s="10">
        <f t="shared" si="37"/>
        <v>0.13900000000000001</v>
      </c>
      <c r="M392" s="12">
        <v>28</v>
      </c>
      <c r="N392" s="12">
        <f t="shared" si="38"/>
        <v>33.6</v>
      </c>
      <c r="O392" s="8">
        <v>34632.106319999999</v>
      </c>
      <c r="P392" s="8">
        <f t="shared" si="39"/>
        <v>41558.527583999996</v>
      </c>
      <c r="Q392" s="8">
        <v>28714.28</v>
      </c>
      <c r="R392" s="8">
        <f t="shared" si="40"/>
        <v>39625.706399999995</v>
      </c>
      <c r="S392" s="8">
        <v>5917.8263200000001</v>
      </c>
      <c r="T392" s="8">
        <f t="shared" si="41"/>
        <v>1932.8211840000004</v>
      </c>
    </row>
    <row r="393" spans="1:20" ht="16.5" x14ac:dyDescent="0.3">
      <c r="A393" s="4" t="s">
        <v>433</v>
      </c>
      <c r="B393" s="6">
        <v>45307</v>
      </c>
      <c r="C393" s="14">
        <v>45307</v>
      </c>
      <c r="D393" s="4" t="s">
        <v>1152</v>
      </c>
      <c r="E393" s="8">
        <v>504.93</v>
      </c>
      <c r="F393" s="8">
        <f t="shared" si="36"/>
        <v>580.66949999999997</v>
      </c>
      <c r="G393" s="8">
        <v>819.06</v>
      </c>
      <c r="H393" s="8">
        <v>819.06</v>
      </c>
      <c r="I393" s="8" t="s">
        <v>1469</v>
      </c>
      <c r="J393" s="10">
        <v>0.22600000000000001</v>
      </c>
      <c r="K393" s="10">
        <v>0.22600000000000001</v>
      </c>
      <c r="L393" s="10">
        <f t="shared" si="37"/>
        <v>0.22600000000000001</v>
      </c>
      <c r="M393" s="12">
        <v>15</v>
      </c>
      <c r="N393" s="12">
        <f t="shared" si="38"/>
        <v>18</v>
      </c>
      <c r="O393" s="8">
        <v>9509.2865999999995</v>
      </c>
      <c r="P393" s="8">
        <f t="shared" si="39"/>
        <v>11411.143919999999</v>
      </c>
      <c r="Q393" s="8">
        <v>7573.95</v>
      </c>
      <c r="R393" s="8">
        <f t="shared" si="40"/>
        <v>10452.050999999999</v>
      </c>
      <c r="S393" s="8">
        <v>1935.3365999999996</v>
      </c>
      <c r="T393" s="8">
        <f t="shared" si="41"/>
        <v>959.09291999999914</v>
      </c>
    </row>
    <row r="394" spans="1:20" ht="16.5" x14ac:dyDescent="0.3">
      <c r="A394" s="4" t="s">
        <v>633</v>
      </c>
      <c r="B394" s="6">
        <v>45578</v>
      </c>
      <c r="C394" s="14">
        <v>45578</v>
      </c>
      <c r="D394" s="4" t="s">
        <v>1351</v>
      </c>
      <c r="E394" s="8">
        <v>816.7</v>
      </c>
      <c r="F394" s="8">
        <f t="shared" si="36"/>
        <v>939.20499999999993</v>
      </c>
      <c r="G394" s="8">
        <v>1010.75</v>
      </c>
      <c r="H394" s="8">
        <v>1010.75</v>
      </c>
      <c r="I394" s="8" t="s">
        <v>1469</v>
      </c>
      <c r="J394" s="10">
        <v>4.7E-2</v>
      </c>
      <c r="K394" s="10">
        <v>4.7E-2</v>
      </c>
      <c r="L394" s="10">
        <f t="shared" si="37"/>
        <v>4.7E-2</v>
      </c>
      <c r="M394" s="12">
        <v>43</v>
      </c>
      <c r="N394" s="12">
        <f t="shared" si="38"/>
        <v>51.6</v>
      </c>
      <c r="O394" s="8">
        <v>41419.524249999995</v>
      </c>
      <c r="P394" s="8">
        <f t="shared" si="39"/>
        <v>49703.429100000001</v>
      </c>
      <c r="Q394" s="8">
        <v>35118.1</v>
      </c>
      <c r="R394" s="8">
        <f t="shared" si="40"/>
        <v>48462.977999999996</v>
      </c>
      <c r="S394" s="8">
        <v>6301.4242499999964</v>
      </c>
      <c r="T394" s="8">
        <f t="shared" si="41"/>
        <v>1240.4511000000057</v>
      </c>
    </row>
    <row r="395" spans="1:20" ht="16.5" x14ac:dyDescent="0.3">
      <c r="A395" s="4" t="s">
        <v>204</v>
      </c>
      <c r="B395" s="6">
        <v>45325</v>
      </c>
      <c r="C395" s="14">
        <v>45325</v>
      </c>
      <c r="D395" s="4" t="s">
        <v>924</v>
      </c>
      <c r="E395" s="8">
        <v>993.75</v>
      </c>
      <c r="F395" s="8">
        <f t="shared" si="36"/>
        <v>1142.8125</v>
      </c>
      <c r="G395" s="8">
        <v>1310.29</v>
      </c>
      <c r="H395" s="8">
        <v>1310.29</v>
      </c>
      <c r="I395" s="8" t="s">
        <v>1469</v>
      </c>
      <c r="J395" s="10">
        <v>0.215</v>
      </c>
      <c r="K395" s="10">
        <v>0.215</v>
      </c>
      <c r="L395" s="10">
        <f t="shared" si="37"/>
        <v>0.215</v>
      </c>
      <c r="M395" s="12">
        <v>19</v>
      </c>
      <c r="N395" s="12">
        <f t="shared" si="38"/>
        <v>22.8</v>
      </c>
      <c r="O395" s="8">
        <v>19542.975350000001</v>
      </c>
      <c r="P395" s="8">
        <f t="shared" si="39"/>
        <v>23451.57042</v>
      </c>
      <c r="Q395" s="8">
        <v>18881.25</v>
      </c>
      <c r="R395" s="8">
        <f t="shared" si="40"/>
        <v>26056.125</v>
      </c>
      <c r="S395" s="8">
        <v>661.72535000000062</v>
      </c>
      <c r="T395" s="8">
        <f t="shared" si="41"/>
        <v>-2604.55458</v>
      </c>
    </row>
    <row r="396" spans="1:20" ht="16.5" x14ac:dyDescent="0.3">
      <c r="A396" s="4" t="s">
        <v>171</v>
      </c>
      <c r="B396" s="6">
        <v>45323</v>
      </c>
      <c r="C396" s="14">
        <v>45323</v>
      </c>
      <c r="D396" s="4" t="s">
        <v>890</v>
      </c>
      <c r="E396" s="8">
        <v>656.2</v>
      </c>
      <c r="F396" s="8">
        <f t="shared" si="36"/>
        <v>754.63</v>
      </c>
      <c r="G396" s="8">
        <v>1467.17</v>
      </c>
      <c r="H396" s="8">
        <v>1467.17</v>
      </c>
      <c r="I396" s="8" t="s">
        <v>1469</v>
      </c>
      <c r="J396" s="10">
        <v>1.7999999999999999E-2</v>
      </c>
      <c r="K396" s="10">
        <v>1.7999999999999999E-2</v>
      </c>
      <c r="L396" s="10">
        <f t="shared" si="37"/>
        <v>1.7999999999999999E-2</v>
      </c>
      <c r="M396" s="12">
        <v>5</v>
      </c>
      <c r="N396" s="12">
        <f t="shared" si="38"/>
        <v>6</v>
      </c>
      <c r="O396" s="8">
        <v>7203.8047000000006</v>
      </c>
      <c r="P396" s="8">
        <f t="shared" si="39"/>
        <v>8644.5656400000007</v>
      </c>
      <c r="Q396" s="8">
        <v>3281</v>
      </c>
      <c r="R396" s="8">
        <f t="shared" si="40"/>
        <v>4527.78</v>
      </c>
      <c r="S396" s="8">
        <v>3922.8047000000006</v>
      </c>
      <c r="T396" s="8">
        <f t="shared" si="41"/>
        <v>4116.785640000001</v>
      </c>
    </row>
    <row r="397" spans="1:20" ht="16.5" x14ac:dyDescent="0.3">
      <c r="A397" s="4" t="s">
        <v>582</v>
      </c>
      <c r="B397" s="6">
        <v>45600</v>
      </c>
      <c r="C397" s="14">
        <v>45600</v>
      </c>
      <c r="D397" s="4" t="s">
        <v>1300</v>
      </c>
      <c r="E397" s="8">
        <v>740.68</v>
      </c>
      <c r="F397" s="8">
        <f t="shared" si="36"/>
        <v>851.78199999999993</v>
      </c>
      <c r="G397" s="8">
        <v>1837.19</v>
      </c>
      <c r="H397" s="8">
        <v>1837.19</v>
      </c>
      <c r="I397" s="8" t="s">
        <v>1470</v>
      </c>
      <c r="J397" s="10">
        <v>0.19700000000000001</v>
      </c>
      <c r="K397" s="10">
        <v>0.19700000000000001</v>
      </c>
      <c r="L397" s="10">
        <f t="shared" si="37"/>
        <v>0.19700000000000001</v>
      </c>
      <c r="M397" s="12">
        <v>17</v>
      </c>
      <c r="N397" s="12">
        <f t="shared" si="38"/>
        <v>20.399999999999999</v>
      </c>
      <c r="O397" s="8">
        <v>25079.480689999997</v>
      </c>
      <c r="P397" s="8">
        <f t="shared" si="39"/>
        <v>30095.376827999997</v>
      </c>
      <c r="Q397" s="8">
        <v>12591.56</v>
      </c>
      <c r="R397" s="8">
        <f t="shared" si="40"/>
        <v>17376.352799999997</v>
      </c>
      <c r="S397" s="8">
        <v>12487.920689999997</v>
      </c>
      <c r="T397" s="8">
        <f t="shared" si="41"/>
        <v>12719.024028</v>
      </c>
    </row>
    <row r="398" spans="1:20" ht="16.5" x14ac:dyDescent="0.3">
      <c r="A398" s="4" t="s">
        <v>119</v>
      </c>
      <c r="B398" s="6">
        <v>45549</v>
      </c>
      <c r="C398" s="14">
        <v>45549</v>
      </c>
      <c r="D398" s="4" t="s">
        <v>838</v>
      </c>
      <c r="E398" s="8">
        <v>1405.56</v>
      </c>
      <c r="F398" s="8">
        <f t="shared" si="36"/>
        <v>1616.3939999999998</v>
      </c>
      <c r="G398" s="8">
        <v>2968.87</v>
      </c>
      <c r="H398" s="8">
        <v>2968.87</v>
      </c>
      <c r="I398" s="8" t="s">
        <v>1470</v>
      </c>
      <c r="J398" s="10">
        <v>0.16900000000000001</v>
      </c>
      <c r="K398" s="10">
        <v>0.16900000000000001</v>
      </c>
      <c r="L398" s="10">
        <f t="shared" si="37"/>
        <v>0.16900000000000001</v>
      </c>
      <c r="M398" s="12">
        <v>5</v>
      </c>
      <c r="N398" s="12">
        <f t="shared" si="38"/>
        <v>6</v>
      </c>
      <c r="O398" s="8">
        <v>12335.654849999999</v>
      </c>
      <c r="P398" s="8">
        <f t="shared" si="39"/>
        <v>14802.785820000001</v>
      </c>
      <c r="Q398" s="8">
        <v>7027.7999999999993</v>
      </c>
      <c r="R398" s="8">
        <f t="shared" si="40"/>
        <v>9698.3639999999978</v>
      </c>
      <c r="S398" s="8">
        <v>5307.8548499999997</v>
      </c>
      <c r="T398" s="8">
        <f t="shared" si="41"/>
        <v>5104.4218200000032</v>
      </c>
    </row>
    <row r="399" spans="1:20" ht="16.5" x14ac:dyDescent="0.3">
      <c r="A399" s="4" t="s">
        <v>523</v>
      </c>
      <c r="B399" s="6">
        <v>45608</v>
      </c>
      <c r="C399" s="14">
        <v>45608</v>
      </c>
      <c r="D399" s="4" t="s">
        <v>1242</v>
      </c>
      <c r="E399" s="8">
        <v>903.41</v>
      </c>
      <c r="F399" s="8">
        <f t="shared" si="36"/>
        <v>1038.9214999999999</v>
      </c>
      <c r="G399" s="8">
        <v>1860.41</v>
      </c>
      <c r="H399" s="8">
        <v>1860.41</v>
      </c>
      <c r="I399" s="8" t="s">
        <v>1470</v>
      </c>
      <c r="J399" s="10">
        <v>0.108</v>
      </c>
      <c r="K399" s="10">
        <v>0.108</v>
      </c>
      <c r="L399" s="10">
        <f t="shared" si="37"/>
        <v>0.108</v>
      </c>
      <c r="M399" s="12">
        <v>5</v>
      </c>
      <c r="N399" s="12">
        <f t="shared" si="38"/>
        <v>6</v>
      </c>
      <c r="O399" s="8">
        <v>8297.4286000000011</v>
      </c>
      <c r="P399" s="8">
        <f t="shared" si="39"/>
        <v>9956.9143200000017</v>
      </c>
      <c r="Q399" s="8">
        <v>4517.05</v>
      </c>
      <c r="R399" s="8">
        <f t="shared" si="40"/>
        <v>6233.5289999999995</v>
      </c>
      <c r="S399" s="8">
        <v>3780.3786000000009</v>
      </c>
      <c r="T399" s="8">
        <f t="shared" si="41"/>
        <v>3723.3853200000021</v>
      </c>
    </row>
    <row r="400" spans="1:20" ht="16.5" x14ac:dyDescent="0.3">
      <c r="A400" s="4" t="s">
        <v>233</v>
      </c>
      <c r="B400" s="6">
        <v>45554</v>
      </c>
      <c r="C400" s="14">
        <v>45554</v>
      </c>
      <c r="D400" s="4" t="s">
        <v>953</v>
      </c>
      <c r="E400" s="8">
        <v>386.96</v>
      </c>
      <c r="F400" s="8">
        <f t="shared" si="36"/>
        <v>445.00399999999996</v>
      </c>
      <c r="G400" s="8">
        <v>937.46</v>
      </c>
      <c r="H400" s="8">
        <v>937.46</v>
      </c>
      <c r="I400" s="8" t="s">
        <v>1469</v>
      </c>
      <c r="J400" s="10">
        <v>0.26600000000000001</v>
      </c>
      <c r="K400" s="10">
        <v>0.26600000000000001</v>
      </c>
      <c r="L400" s="10">
        <f t="shared" si="37"/>
        <v>0.25</v>
      </c>
      <c r="M400" s="12">
        <v>41</v>
      </c>
      <c r="N400" s="12">
        <f t="shared" si="38"/>
        <v>49.199999999999996</v>
      </c>
      <c r="O400" s="8">
        <v>28211.92124</v>
      </c>
      <c r="P400" s="8">
        <f t="shared" si="39"/>
        <v>34592.273999999998</v>
      </c>
      <c r="Q400" s="8">
        <v>15865.359999999999</v>
      </c>
      <c r="R400" s="8">
        <f t="shared" si="40"/>
        <v>21894.196799999998</v>
      </c>
      <c r="S400" s="8">
        <v>12346.561240000001</v>
      </c>
      <c r="T400" s="8">
        <f t="shared" si="41"/>
        <v>12698.0772</v>
      </c>
    </row>
    <row r="401" spans="1:20" ht="16.5" x14ac:dyDescent="0.3">
      <c r="A401" s="4" t="s">
        <v>153</v>
      </c>
      <c r="B401" s="6">
        <v>45616</v>
      </c>
      <c r="C401" s="14">
        <v>45616</v>
      </c>
      <c r="D401" s="4" t="s">
        <v>872</v>
      </c>
      <c r="E401" s="8">
        <v>1203.58</v>
      </c>
      <c r="F401" s="8">
        <f t="shared" si="36"/>
        <v>1384.1169999999997</v>
      </c>
      <c r="G401" s="8">
        <v>1856.16</v>
      </c>
      <c r="H401" s="8">
        <v>1856.16</v>
      </c>
      <c r="I401" s="8" t="s">
        <v>1470</v>
      </c>
      <c r="J401" s="10">
        <v>0.129</v>
      </c>
      <c r="K401" s="10">
        <v>0.129</v>
      </c>
      <c r="L401" s="10">
        <f t="shared" si="37"/>
        <v>0.129</v>
      </c>
      <c r="M401" s="12">
        <v>22</v>
      </c>
      <c r="N401" s="12">
        <f t="shared" si="38"/>
        <v>26.4</v>
      </c>
      <c r="O401" s="8">
        <v>35567.737920000007</v>
      </c>
      <c r="P401" s="8">
        <f t="shared" si="39"/>
        <v>42681.285503999999</v>
      </c>
      <c r="Q401" s="8">
        <v>26478.76</v>
      </c>
      <c r="R401" s="8">
        <f t="shared" si="40"/>
        <v>36540.688799999989</v>
      </c>
      <c r="S401" s="8">
        <v>9088.9779200000085</v>
      </c>
      <c r="T401" s="8">
        <f t="shared" si="41"/>
        <v>6140.5967040000105</v>
      </c>
    </row>
    <row r="402" spans="1:20" ht="16.5" x14ac:dyDescent="0.3">
      <c r="A402" s="4" t="s">
        <v>480</v>
      </c>
      <c r="B402" s="6">
        <v>45466</v>
      </c>
      <c r="C402" s="14">
        <v>45466</v>
      </c>
      <c r="D402" s="4" t="s">
        <v>1199</v>
      </c>
      <c r="E402" s="8">
        <v>242.31</v>
      </c>
      <c r="F402" s="8">
        <f t="shared" si="36"/>
        <v>278.65649999999999</v>
      </c>
      <c r="G402" s="8">
        <v>587.95000000000005</v>
      </c>
      <c r="H402" s="8">
        <v>587.95000000000005</v>
      </c>
      <c r="I402" s="8" t="s">
        <v>1471</v>
      </c>
      <c r="J402" s="10">
        <v>0.22900000000000001</v>
      </c>
      <c r="K402" s="10">
        <v>0.22900000000000001</v>
      </c>
      <c r="L402" s="10">
        <f t="shared" si="37"/>
        <v>0.22900000000000001</v>
      </c>
      <c r="M402" s="12">
        <v>6</v>
      </c>
      <c r="N402" s="12">
        <f t="shared" si="38"/>
        <v>7.1999999999999993</v>
      </c>
      <c r="O402" s="8">
        <v>2719.8567000000003</v>
      </c>
      <c r="P402" s="8">
        <f t="shared" si="39"/>
        <v>3263.8280399999999</v>
      </c>
      <c r="Q402" s="8">
        <v>1453.8600000000001</v>
      </c>
      <c r="R402" s="8">
        <f t="shared" si="40"/>
        <v>2006.3267999999998</v>
      </c>
      <c r="S402" s="8">
        <v>1265.9967000000001</v>
      </c>
      <c r="T402" s="8">
        <f t="shared" si="41"/>
        <v>1257.5012400000001</v>
      </c>
    </row>
    <row r="403" spans="1:20" ht="16.5" x14ac:dyDescent="0.3">
      <c r="A403" s="4" t="s">
        <v>41</v>
      </c>
      <c r="B403" s="6">
        <v>45626</v>
      </c>
      <c r="C403" s="14">
        <v>45626</v>
      </c>
      <c r="D403" s="4" t="s">
        <v>760</v>
      </c>
      <c r="E403" s="8">
        <v>117.64</v>
      </c>
      <c r="F403" s="8">
        <f t="shared" si="36"/>
        <v>135.286</v>
      </c>
      <c r="G403" s="8">
        <v>175.67</v>
      </c>
      <c r="H403" s="8">
        <v>175.67</v>
      </c>
      <c r="I403" s="8" t="s">
        <v>1471</v>
      </c>
      <c r="J403" s="10">
        <v>0</v>
      </c>
      <c r="K403" s="10">
        <v>0</v>
      </c>
      <c r="L403" s="10">
        <f t="shared" si="37"/>
        <v>0</v>
      </c>
      <c r="M403" s="12">
        <v>10</v>
      </c>
      <c r="N403" s="12">
        <f t="shared" si="38"/>
        <v>12</v>
      </c>
      <c r="O403" s="8">
        <v>1756.6999999999998</v>
      </c>
      <c r="P403" s="8">
        <f t="shared" si="39"/>
        <v>2108.04</v>
      </c>
      <c r="Q403" s="8">
        <v>1176.4000000000001</v>
      </c>
      <c r="R403" s="8">
        <f t="shared" si="40"/>
        <v>1623.432</v>
      </c>
      <c r="S403" s="8">
        <v>580.29999999999973</v>
      </c>
      <c r="T403" s="8">
        <f t="shared" si="41"/>
        <v>484.60799999999995</v>
      </c>
    </row>
    <row r="404" spans="1:20" ht="16.5" x14ac:dyDescent="0.3">
      <c r="A404" s="4" t="s">
        <v>310</v>
      </c>
      <c r="B404" s="6">
        <v>45353</v>
      </c>
      <c r="C404" s="14">
        <v>45353</v>
      </c>
      <c r="D404" s="4" t="s">
        <v>1030</v>
      </c>
      <c r="E404" s="8">
        <v>248.24</v>
      </c>
      <c r="F404" s="8">
        <f t="shared" si="36"/>
        <v>285.476</v>
      </c>
      <c r="G404" s="8">
        <v>464.05</v>
      </c>
      <c r="H404" s="8">
        <v>464.05</v>
      </c>
      <c r="I404" s="8" t="s">
        <v>1471</v>
      </c>
      <c r="J404" s="10">
        <v>0.16900000000000001</v>
      </c>
      <c r="K404" s="10">
        <v>0.16900000000000001</v>
      </c>
      <c r="L404" s="10">
        <f t="shared" si="37"/>
        <v>0.16900000000000001</v>
      </c>
      <c r="M404" s="12">
        <v>11</v>
      </c>
      <c r="N404" s="12">
        <f t="shared" si="38"/>
        <v>13.2</v>
      </c>
      <c r="O404" s="8">
        <v>4241.88105</v>
      </c>
      <c r="P404" s="8">
        <f t="shared" si="39"/>
        <v>5090.2572599999994</v>
      </c>
      <c r="Q404" s="8">
        <v>2730.6400000000003</v>
      </c>
      <c r="R404" s="8">
        <f t="shared" si="40"/>
        <v>3768.2831999999999</v>
      </c>
      <c r="S404" s="8">
        <v>1511.2410499999996</v>
      </c>
      <c r="T404" s="8">
        <f t="shared" si="41"/>
        <v>1321.9740599999996</v>
      </c>
    </row>
    <row r="405" spans="1:20" ht="16.5" x14ac:dyDescent="0.3">
      <c r="A405" s="4" t="s">
        <v>505</v>
      </c>
      <c r="B405" s="6">
        <v>45523</v>
      </c>
      <c r="C405" s="14">
        <v>45523</v>
      </c>
      <c r="D405" s="4" t="s">
        <v>1224</v>
      </c>
      <c r="E405" s="8">
        <v>297.58999999999997</v>
      </c>
      <c r="F405" s="8">
        <f t="shared" si="36"/>
        <v>342.22849999999994</v>
      </c>
      <c r="G405" s="8">
        <v>666.41</v>
      </c>
      <c r="H405" s="8">
        <v>666.41</v>
      </c>
      <c r="I405" s="8" t="s">
        <v>1471</v>
      </c>
      <c r="J405" s="10">
        <v>0</v>
      </c>
      <c r="K405" s="10">
        <v>0</v>
      </c>
      <c r="L405" s="10">
        <f t="shared" si="37"/>
        <v>0</v>
      </c>
      <c r="M405" s="12">
        <v>10</v>
      </c>
      <c r="N405" s="12">
        <f t="shared" si="38"/>
        <v>12</v>
      </c>
      <c r="O405" s="8">
        <v>6664.0999999999995</v>
      </c>
      <c r="P405" s="8">
        <f t="shared" si="39"/>
        <v>7996.92</v>
      </c>
      <c r="Q405" s="8">
        <v>2975.8999999999996</v>
      </c>
      <c r="R405" s="8">
        <f t="shared" si="40"/>
        <v>4106.7419999999993</v>
      </c>
      <c r="S405" s="8">
        <v>3688.2</v>
      </c>
      <c r="T405" s="8">
        <f t="shared" si="41"/>
        <v>3890.1780000000008</v>
      </c>
    </row>
    <row r="406" spans="1:20" ht="16.5" x14ac:dyDescent="0.3">
      <c r="A406" s="4" t="s">
        <v>123</v>
      </c>
      <c r="B406" s="6">
        <v>45581</v>
      </c>
      <c r="C406" s="14">
        <v>45581</v>
      </c>
      <c r="D406" s="4" t="s">
        <v>842</v>
      </c>
      <c r="E406" s="8">
        <v>82.14</v>
      </c>
      <c r="F406" s="8">
        <f t="shared" si="36"/>
        <v>94.460999999999999</v>
      </c>
      <c r="G406" s="8">
        <v>166.04</v>
      </c>
      <c r="H406" s="8">
        <v>166.04</v>
      </c>
      <c r="I406" s="8" t="s">
        <v>1471</v>
      </c>
      <c r="J406" s="10">
        <v>0</v>
      </c>
      <c r="K406" s="10">
        <v>0</v>
      </c>
      <c r="L406" s="10">
        <f t="shared" si="37"/>
        <v>0</v>
      </c>
      <c r="M406" s="12">
        <v>10</v>
      </c>
      <c r="N406" s="12">
        <f t="shared" si="38"/>
        <v>12</v>
      </c>
      <c r="O406" s="8">
        <v>1660.3999999999999</v>
      </c>
      <c r="P406" s="8">
        <f t="shared" si="39"/>
        <v>1992.48</v>
      </c>
      <c r="Q406" s="8">
        <v>821.4</v>
      </c>
      <c r="R406" s="8">
        <f t="shared" si="40"/>
        <v>1133.5319999999999</v>
      </c>
      <c r="S406" s="8">
        <v>838.99999999999989</v>
      </c>
      <c r="T406" s="8">
        <f t="shared" si="41"/>
        <v>858.94800000000009</v>
      </c>
    </row>
    <row r="407" spans="1:20" ht="16.5" x14ac:dyDescent="0.3">
      <c r="A407" s="4" t="s">
        <v>35</v>
      </c>
      <c r="B407" s="6">
        <v>45498</v>
      </c>
      <c r="C407" s="14">
        <v>45498</v>
      </c>
      <c r="D407" s="4" t="s">
        <v>754</v>
      </c>
      <c r="E407" s="8">
        <v>1494.4</v>
      </c>
      <c r="F407" s="8">
        <f t="shared" si="36"/>
        <v>1718.56</v>
      </c>
      <c r="G407" s="8">
        <v>3661.07</v>
      </c>
      <c r="H407" s="8">
        <v>3661.07</v>
      </c>
      <c r="I407" s="8" t="s">
        <v>1470</v>
      </c>
      <c r="J407" s="10">
        <v>7.1999999999999995E-2</v>
      </c>
      <c r="K407" s="10">
        <v>7.1999999999999995E-2</v>
      </c>
      <c r="L407" s="10">
        <f t="shared" si="37"/>
        <v>7.1999999999999995E-2</v>
      </c>
      <c r="M407" s="12">
        <v>7</v>
      </c>
      <c r="N407" s="12">
        <f t="shared" si="38"/>
        <v>8.4</v>
      </c>
      <c r="O407" s="8">
        <v>23782.310720000001</v>
      </c>
      <c r="P407" s="8">
        <f t="shared" si="39"/>
        <v>28538.772864000002</v>
      </c>
      <c r="Q407" s="8">
        <v>10460.800000000001</v>
      </c>
      <c r="R407" s="8">
        <f t="shared" si="40"/>
        <v>14435.904</v>
      </c>
      <c r="S407" s="8">
        <v>13321.51072</v>
      </c>
      <c r="T407" s="8">
        <f t="shared" si="41"/>
        <v>14102.868864000002</v>
      </c>
    </row>
    <row r="408" spans="1:20" ht="16.5" x14ac:dyDescent="0.3">
      <c r="A408" s="4" t="s">
        <v>88</v>
      </c>
      <c r="B408" s="6">
        <v>45641</v>
      </c>
      <c r="C408" s="14">
        <v>45641</v>
      </c>
      <c r="D408" s="4" t="s">
        <v>807</v>
      </c>
      <c r="E408" s="8">
        <v>717.55</v>
      </c>
      <c r="F408" s="8">
        <f t="shared" si="36"/>
        <v>825.18249999999989</v>
      </c>
      <c r="G408" s="8">
        <v>546.42999999999995</v>
      </c>
      <c r="H408" s="8">
        <v>546.42999999999995</v>
      </c>
      <c r="I408" s="8" t="s">
        <v>1471</v>
      </c>
      <c r="J408" s="10">
        <v>4.7E-2</v>
      </c>
      <c r="K408" s="10">
        <v>4.7E-2</v>
      </c>
      <c r="L408" s="10">
        <f t="shared" si="37"/>
        <v>4.7E-2</v>
      </c>
      <c r="M408" s="12">
        <v>18</v>
      </c>
      <c r="N408" s="12">
        <f t="shared" si="38"/>
        <v>21.599999999999998</v>
      </c>
      <c r="O408" s="8">
        <v>9373.460219999999</v>
      </c>
      <c r="P408" s="8">
        <f t="shared" si="39"/>
        <v>11248.152263999997</v>
      </c>
      <c r="Q408" s="8">
        <v>12915.9</v>
      </c>
      <c r="R408" s="8">
        <f t="shared" si="40"/>
        <v>17823.941999999995</v>
      </c>
      <c r="S408" s="8">
        <v>-3542.4397800000006</v>
      </c>
      <c r="T408" s="8">
        <f t="shared" si="41"/>
        <v>-6575.7897359999988</v>
      </c>
    </row>
    <row r="409" spans="1:20" ht="16.5" x14ac:dyDescent="0.3">
      <c r="A409" s="4" t="s">
        <v>250</v>
      </c>
      <c r="B409" s="6">
        <v>45548</v>
      </c>
      <c r="C409" s="14">
        <v>45548</v>
      </c>
      <c r="D409" s="4" t="s">
        <v>970</v>
      </c>
      <c r="E409" s="8">
        <v>1338.99</v>
      </c>
      <c r="F409" s="8">
        <f t="shared" si="36"/>
        <v>1539.8384999999998</v>
      </c>
      <c r="G409" s="8">
        <v>1765.76</v>
      </c>
      <c r="H409" s="8">
        <v>1765.76</v>
      </c>
      <c r="I409" s="8" t="s">
        <v>1470</v>
      </c>
      <c r="J409" s="10">
        <v>0.126</v>
      </c>
      <c r="K409" s="10">
        <v>0.126</v>
      </c>
      <c r="L409" s="10">
        <f t="shared" si="37"/>
        <v>0.126</v>
      </c>
      <c r="M409" s="12">
        <v>24</v>
      </c>
      <c r="N409" s="12">
        <f t="shared" si="38"/>
        <v>28.799999999999997</v>
      </c>
      <c r="O409" s="8">
        <v>37038.581760000001</v>
      </c>
      <c r="P409" s="8">
        <f t="shared" si="39"/>
        <v>44446.298111999989</v>
      </c>
      <c r="Q409" s="8">
        <v>32135.760000000002</v>
      </c>
      <c r="R409" s="8">
        <f t="shared" si="40"/>
        <v>44347.348799999992</v>
      </c>
      <c r="S409" s="8">
        <v>4902.8217599999989</v>
      </c>
      <c r="T409" s="8">
        <f t="shared" si="41"/>
        <v>98.949311999997008</v>
      </c>
    </row>
    <row r="410" spans="1:20" ht="16.5" x14ac:dyDescent="0.3">
      <c r="A410" s="4" t="s">
        <v>442</v>
      </c>
      <c r="B410" s="6">
        <v>45347</v>
      </c>
      <c r="C410" s="14">
        <v>45347</v>
      </c>
      <c r="D410" s="4" t="s">
        <v>1161</v>
      </c>
      <c r="E410" s="8">
        <v>322.44</v>
      </c>
      <c r="F410" s="8">
        <f t="shared" si="36"/>
        <v>370.80599999999998</v>
      </c>
      <c r="G410" s="8">
        <v>395.61</v>
      </c>
      <c r="H410" s="8">
        <v>395.61</v>
      </c>
      <c r="I410" s="8" t="s">
        <v>1471</v>
      </c>
      <c r="J410" s="10">
        <v>0</v>
      </c>
      <c r="K410" s="10">
        <v>0</v>
      </c>
      <c r="L410" s="10">
        <f t="shared" si="37"/>
        <v>0</v>
      </c>
      <c r="M410" s="12">
        <v>34</v>
      </c>
      <c r="N410" s="12">
        <f t="shared" si="38"/>
        <v>40.799999999999997</v>
      </c>
      <c r="O410" s="8">
        <v>13450.74</v>
      </c>
      <c r="P410" s="8">
        <f t="shared" si="39"/>
        <v>16140.887999999999</v>
      </c>
      <c r="Q410" s="8">
        <v>10962.96</v>
      </c>
      <c r="R410" s="8">
        <f t="shared" si="40"/>
        <v>15128.884799999998</v>
      </c>
      <c r="S410" s="8">
        <v>2487.7800000000007</v>
      </c>
      <c r="T410" s="8">
        <f t="shared" si="41"/>
        <v>1012.003200000001</v>
      </c>
    </row>
    <row r="411" spans="1:20" ht="16.5" x14ac:dyDescent="0.3">
      <c r="A411" s="4" t="s">
        <v>636</v>
      </c>
      <c r="B411" s="6">
        <v>45501</v>
      </c>
      <c r="C411" s="14">
        <v>45501</v>
      </c>
      <c r="D411" s="4" t="s">
        <v>1354</v>
      </c>
      <c r="E411" s="8">
        <v>1339.24</v>
      </c>
      <c r="F411" s="8">
        <f t="shared" si="36"/>
        <v>1540.126</v>
      </c>
      <c r="G411" s="8">
        <v>1558.89</v>
      </c>
      <c r="H411" s="8">
        <v>1558.89</v>
      </c>
      <c r="I411" s="8" t="s">
        <v>1470</v>
      </c>
      <c r="J411" s="10">
        <v>0.192</v>
      </c>
      <c r="K411" s="10">
        <v>0.192</v>
      </c>
      <c r="L411" s="10">
        <f t="shared" si="37"/>
        <v>0.192</v>
      </c>
      <c r="M411" s="12">
        <v>24</v>
      </c>
      <c r="N411" s="12">
        <f t="shared" si="38"/>
        <v>28.799999999999997</v>
      </c>
      <c r="O411" s="8">
        <v>30229.994880000002</v>
      </c>
      <c r="P411" s="8">
        <f t="shared" si="39"/>
        <v>36275.993856000001</v>
      </c>
      <c r="Q411" s="8">
        <v>32141.760000000002</v>
      </c>
      <c r="R411" s="8">
        <f t="shared" si="40"/>
        <v>44355.628799999991</v>
      </c>
      <c r="S411" s="8">
        <v>-1911.76512</v>
      </c>
      <c r="T411" s="8">
        <f t="shared" si="41"/>
        <v>-8079.6349439999904</v>
      </c>
    </row>
    <row r="412" spans="1:20" ht="16.5" x14ac:dyDescent="0.3">
      <c r="A412" s="4" t="s">
        <v>380</v>
      </c>
      <c r="B412" s="6">
        <v>45445</v>
      </c>
      <c r="C412" s="14">
        <v>45445</v>
      </c>
      <c r="D412" s="4" t="s">
        <v>1100</v>
      </c>
      <c r="E412" s="8">
        <v>1295.18</v>
      </c>
      <c r="F412" s="8">
        <f t="shared" si="36"/>
        <v>1489.4569999999999</v>
      </c>
      <c r="G412" s="8">
        <v>3024.03</v>
      </c>
      <c r="H412" s="8">
        <v>3024.03</v>
      </c>
      <c r="I412" s="8" t="s">
        <v>1470</v>
      </c>
      <c r="J412" s="10">
        <v>0.192</v>
      </c>
      <c r="K412" s="10">
        <v>0.192</v>
      </c>
      <c r="L412" s="10">
        <f t="shared" si="37"/>
        <v>0.192</v>
      </c>
      <c r="M412" s="12">
        <v>8</v>
      </c>
      <c r="N412" s="12">
        <f t="shared" si="38"/>
        <v>9.6</v>
      </c>
      <c r="O412" s="8">
        <v>19547.329920000004</v>
      </c>
      <c r="P412" s="8">
        <f t="shared" si="39"/>
        <v>23456.795904000002</v>
      </c>
      <c r="Q412" s="8">
        <v>10361.44</v>
      </c>
      <c r="R412" s="8">
        <f t="shared" si="40"/>
        <v>14298.787199999999</v>
      </c>
      <c r="S412" s="8">
        <v>9185.8899200000033</v>
      </c>
      <c r="T412" s="8">
        <f t="shared" si="41"/>
        <v>9158.0087040000035</v>
      </c>
    </row>
    <row r="413" spans="1:20" ht="16.5" x14ac:dyDescent="0.3">
      <c r="A413" s="4" t="s">
        <v>334</v>
      </c>
      <c r="B413" s="6">
        <v>45440</v>
      </c>
      <c r="C413" s="14">
        <v>45440</v>
      </c>
      <c r="D413" s="4" t="s">
        <v>1054</v>
      </c>
      <c r="E413" s="8">
        <v>986.85</v>
      </c>
      <c r="F413" s="8">
        <f t="shared" si="36"/>
        <v>1134.8774999999998</v>
      </c>
      <c r="G413" s="8">
        <v>2422.1</v>
      </c>
      <c r="H413" s="8">
        <v>2422.1</v>
      </c>
      <c r="I413" s="8" t="s">
        <v>1470</v>
      </c>
      <c r="J413" s="10">
        <v>7.5999999999999998E-2</v>
      </c>
      <c r="K413" s="10">
        <v>7.5999999999999998E-2</v>
      </c>
      <c r="L413" s="10">
        <f t="shared" si="37"/>
        <v>7.5999999999999998E-2</v>
      </c>
      <c r="M413" s="12">
        <v>10</v>
      </c>
      <c r="N413" s="12">
        <f t="shared" si="38"/>
        <v>12</v>
      </c>
      <c r="O413" s="8">
        <v>22380.204000000002</v>
      </c>
      <c r="P413" s="8">
        <f t="shared" si="39"/>
        <v>26856.244799999997</v>
      </c>
      <c r="Q413" s="8">
        <v>9868.5</v>
      </c>
      <c r="R413" s="8">
        <f t="shared" si="40"/>
        <v>13618.529999999999</v>
      </c>
      <c r="S413" s="8">
        <v>12511.704000000002</v>
      </c>
      <c r="T413" s="8">
        <f t="shared" si="41"/>
        <v>13237.714799999998</v>
      </c>
    </row>
    <row r="414" spans="1:20" ht="16.5" x14ac:dyDescent="0.3">
      <c r="A414" s="4" t="s">
        <v>537</v>
      </c>
      <c r="B414" s="6">
        <v>45406</v>
      </c>
      <c r="C414" s="14">
        <v>45406</v>
      </c>
      <c r="D414" s="4" t="s">
        <v>1256</v>
      </c>
      <c r="E414" s="8">
        <v>513.30999999999995</v>
      </c>
      <c r="F414" s="8">
        <f t="shared" si="36"/>
        <v>590.30649999999991</v>
      </c>
      <c r="G414" s="8">
        <v>1186.26</v>
      </c>
      <c r="H414" s="8">
        <v>1186.26</v>
      </c>
      <c r="I414" s="8" t="s">
        <v>1469</v>
      </c>
      <c r="J414" s="10">
        <v>9.4E-2</v>
      </c>
      <c r="K414" s="10">
        <v>9.4E-2</v>
      </c>
      <c r="L414" s="10">
        <f t="shared" si="37"/>
        <v>9.4E-2</v>
      </c>
      <c r="M414" s="12">
        <v>15</v>
      </c>
      <c r="N414" s="12">
        <f t="shared" si="38"/>
        <v>18</v>
      </c>
      <c r="O414" s="8">
        <v>16121.273400000002</v>
      </c>
      <c r="P414" s="8">
        <f t="shared" si="39"/>
        <v>19345.52808</v>
      </c>
      <c r="Q414" s="8">
        <v>7699.65</v>
      </c>
      <c r="R414" s="8">
        <f t="shared" si="40"/>
        <v>10625.516999999998</v>
      </c>
      <c r="S414" s="8">
        <v>8421.6234000000022</v>
      </c>
      <c r="T414" s="8">
        <f t="shared" si="41"/>
        <v>8720.011080000002</v>
      </c>
    </row>
    <row r="415" spans="1:20" ht="16.5" x14ac:dyDescent="0.3">
      <c r="A415" s="4" t="s">
        <v>288</v>
      </c>
      <c r="B415" s="6">
        <v>45367</v>
      </c>
      <c r="C415" s="14">
        <v>45367</v>
      </c>
      <c r="D415" s="4" t="s">
        <v>1008</v>
      </c>
      <c r="E415" s="8">
        <v>287.61</v>
      </c>
      <c r="F415" s="8">
        <f t="shared" si="36"/>
        <v>330.75149999999996</v>
      </c>
      <c r="G415" s="8">
        <v>628.54</v>
      </c>
      <c r="H415" s="8">
        <v>628.54</v>
      </c>
      <c r="I415" s="8" t="s">
        <v>1471</v>
      </c>
      <c r="J415" s="10">
        <v>0.13500000000000001</v>
      </c>
      <c r="K415" s="10">
        <v>0.13500000000000001</v>
      </c>
      <c r="L415" s="10">
        <f t="shared" si="37"/>
        <v>0.13500000000000001</v>
      </c>
      <c r="M415" s="12">
        <v>21</v>
      </c>
      <c r="N415" s="12">
        <f t="shared" si="38"/>
        <v>25.2</v>
      </c>
      <c r="O415" s="8">
        <v>11417.429099999999</v>
      </c>
      <c r="P415" s="8">
        <f t="shared" si="39"/>
        <v>13700.914919999999</v>
      </c>
      <c r="Q415" s="8">
        <v>6039.81</v>
      </c>
      <c r="R415" s="8">
        <f t="shared" si="40"/>
        <v>8334.9377999999997</v>
      </c>
      <c r="S415" s="8">
        <v>5377.619099999999</v>
      </c>
      <c r="T415" s="8">
        <f t="shared" si="41"/>
        <v>5365.9771199999996</v>
      </c>
    </row>
    <row r="416" spans="1:20" ht="16.5" x14ac:dyDescent="0.3">
      <c r="A416" s="4" t="s">
        <v>151</v>
      </c>
      <c r="B416" s="6">
        <v>45640</v>
      </c>
      <c r="C416" s="14">
        <v>45640</v>
      </c>
      <c r="D416" s="4" t="s">
        <v>870</v>
      </c>
      <c r="E416" s="8">
        <v>1412.15</v>
      </c>
      <c r="F416" s="8">
        <f t="shared" si="36"/>
        <v>1623.9725000000001</v>
      </c>
      <c r="G416" s="8">
        <v>1631.04</v>
      </c>
      <c r="H416" s="8">
        <v>1631.04</v>
      </c>
      <c r="I416" s="8" t="s">
        <v>1470</v>
      </c>
      <c r="J416" s="10">
        <v>8.9999999999999993E-3</v>
      </c>
      <c r="K416" s="10">
        <v>8.9999999999999993E-3</v>
      </c>
      <c r="L416" s="10">
        <f t="shared" si="37"/>
        <v>8.9999999999999993E-3</v>
      </c>
      <c r="M416" s="12">
        <v>6</v>
      </c>
      <c r="N416" s="12">
        <f t="shared" si="38"/>
        <v>7.1999999999999993</v>
      </c>
      <c r="O416" s="8">
        <v>9698.1638399999993</v>
      </c>
      <c r="P416" s="8">
        <f t="shared" si="39"/>
        <v>11637.796607999999</v>
      </c>
      <c r="Q416" s="8">
        <v>8472.9000000000015</v>
      </c>
      <c r="R416" s="8">
        <f t="shared" si="40"/>
        <v>11692.601999999999</v>
      </c>
      <c r="S416" s="8">
        <v>1225.2638399999978</v>
      </c>
      <c r="T416" s="8">
        <f t="shared" si="41"/>
        <v>-54.805392000000211</v>
      </c>
    </row>
    <row r="417" spans="1:20" ht="16.5" x14ac:dyDescent="0.3">
      <c r="A417" s="4" t="s">
        <v>447</v>
      </c>
      <c r="B417" s="6">
        <v>45636</v>
      </c>
      <c r="C417" s="14">
        <v>45636</v>
      </c>
      <c r="D417" s="4" t="s">
        <v>1166</v>
      </c>
      <c r="E417" s="8">
        <v>488.68</v>
      </c>
      <c r="F417" s="8">
        <f t="shared" si="36"/>
        <v>561.98199999999997</v>
      </c>
      <c r="G417" s="8">
        <v>984.36</v>
      </c>
      <c r="H417" s="8">
        <v>984.36</v>
      </c>
      <c r="I417" s="8" t="s">
        <v>1469</v>
      </c>
      <c r="J417" s="10">
        <v>5.8999999999999997E-2</v>
      </c>
      <c r="K417" s="10">
        <v>5.8999999999999997E-2</v>
      </c>
      <c r="L417" s="10">
        <f t="shared" si="37"/>
        <v>5.8999999999999997E-2</v>
      </c>
      <c r="M417" s="12">
        <v>14</v>
      </c>
      <c r="N417" s="12">
        <f t="shared" si="38"/>
        <v>16.8</v>
      </c>
      <c r="O417" s="8">
        <v>12967.958640000001</v>
      </c>
      <c r="P417" s="8">
        <f t="shared" si="39"/>
        <v>15561.550368</v>
      </c>
      <c r="Q417" s="8">
        <v>6841.52</v>
      </c>
      <c r="R417" s="8">
        <f t="shared" si="40"/>
        <v>9441.2975999999999</v>
      </c>
      <c r="S417" s="8">
        <v>6126.4386400000003</v>
      </c>
      <c r="T417" s="8">
        <f t="shared" si="41"/>
        <v>6120.2527680000003</v>
      </c>
    </row>
    <row r="418" spans="1:20" ht="16.5" x14ac:dyDescent="0.3">
      <c r="A418" s="4" t="s">
        <v>623</v>
      </c>
      <c r="B418" s="6">
        <v>45319</v>
      </c>
      <c r="C418" s="14">
        <v>45319</v>
      </c>
      <c r="D418" s="4" t="s">
        <v>1341</v>
      </c>
      <c r="E418" s="8">
        <v>109.75</v>
      </c>
      <c r="F418" s="8">
        <f t="shared" si="36"/>
        <v>126.21249999999999</v>
      </c>
      <c r="G418" s="8">
        <v>124.25</v>
      </c>
      <c r="H418" s="8">
        <v>124.25</v>
      </c>
      <c r="I418" s="8" t="s">
        <v>1471</v>
      </c>
      <c r="J418" s="10">
        <v>0.12</v>
      </c>
      <c r="K418" s="10">
        <v>0.12</v>
      </c>
      <c r="L418" s="10">
        <f t="shared" si="37"/>
        <v>0.12</v>
      </c>
      <c r="M418" s="12">
        <v>19</v>
      </c>
      <c r="N418" s="12">
        <f t="shared" si="38"/>
        <v>22.8</v>
      </c>
      <c r="O418" s="8">
        <v>2077.46</v>
      </c>
      <c r="P418" s="8">
        <f t="shared" si="39"/>
        <v>2492.9520000000002</v>
      </c>
      <c r="Q418" s="8">
        <v>2085.25</v>
      </c>
      <c r="R418" s="8">
        <f t="shared" si="40"/>
        <v>2877.645</v>
      </c>
      <c r="S418" s="8">
        <v>-7.7899999999999636</v>
      </c>
      <c r="T418" s="8">
        <f t="shared" si="41"/>
        <v>-384.69299999999976</v>
      </c>
    </row>
    <row r="419" spans="1:20" ht="16.5" x14ac:dyDescent="0.3">
      <c r="A419" s="4" t="s">
        <v>116</v>
      </c>
      <c r="B419" s="6">
        <v>45304</v>
      </c>
      <c r="C419" s="14">
        <v>45304</v>
      </c>
      <c r="D419" s="4" t="s">
        <v>835</v>
      </c>
      <c r="E419" s="8">
        <v>313.60000000000002</v>
      </c>
      <c r="F419" s="8">
        <f t="shared" si="36"/>
        <v>360.64</v>
      </c>
      <c r="G419" s="8">
        <v>334.28</v>
      </c>
      <c r="H419" s="8">
        <v>334.28</v>
      </c>
      <c r="I419" s="8" t="s">
        <v>1471</v>
      </c>
      <c r="J419" s="10">
        <v>0.14000000000000001</v>
      </c>
      <c r="K419" s="10">
        <v>0.14000000000000001</v>
      </c>
      <c r="L419" s="10">
        <f t="shared" si="37"/>
        <v>0.14000000000000001</v>
      </c>
      <c r="M419" s="12">
        <v>22</v>
      </c>
      <c r="N419" s="12">
        <f t="shared" si="38"/>
        <v>26.4</v>
      </c>
      <c r="O419" s="8">
        <v>6324.5775999999996</v>
      </c>
      <c r="P419" s="8">
        <f t="shared" si="39"/>
        <v>7589.4931199999983</v>
      </c>
      <c r="Q419" s="8">
        <v>6899.2000000000007</v>
      </c>
      <c r="R419" s="8">
        <f t="shared" si="40"/>
        <v>9520.8959999999988</v>
      </c>
      <c r="S419" s="8">
        <v>-574.62240000000111</v>
      </c>
      <c r="T419" s="8">
        <f t="shared" si="41"/>
        <v>-1931.4028800000006</v>
      </c>
    </row>
    <row r="420" spans="1:20" ht="16.5" x14ac:dyDescent="0.3">
      <c r="A420" s="4" t="s">
        <v>466</v>
      </c>
      <c r="B420" s="6">
        <v>45413</v>
      </c>
      <c r="C420" s="14">
        <v>45413</v>
      </c>
      <c r="D420" s="4" t="s">
        <v>1185</v>
      </c>
      <c r="E420" s="8">
        <v>901.19</v>
      </c>
      <c r="F420" s="8">
        <f t="shared" si="36"/>
        <v>1036.3685</v>
      </c>
      <c r="G420" s="8">
        <v>2125.44</v>
      </c>
      <c r="H420" s="8">
        <v>2125.44</v>
      </c>
      <c r="I420" s="8" t="s">
        <v>1470</v>
      </c>
      <c r="J420" s="10">
        <v>7.0999999999999994E-2</v>
      </c>
      <c r="K420" s="10">
        <v>7.0999999999999994E-2</v>
      </c>
      <c r="L420" s="10">
        <f t="shared" si="37"/>
        <v>7.0999999999999994E-2</v>
      </c>
      <c r="M420" s="12">
        <v>12</v>
      </c>
      <c r="N420" s="12">
        <f t="shared" si="38"/>
        <v>14.399999999999999</v>
      </c>
      <c r="O420" s="8">
        <v>23694.405119999999</v>
      </c>
      <c r="P420" s="8">
        <f t="shared" si="39"/>
        <v>28433.286144000002</v>
      </c>
      <c r="Q420" s="8">
        <v>10814.28</v>
      </c>
      <c r="R420" s="8">
        <f t="shared" si="40"/>
        <v>14923.706399999999</v>
      </c>
      <c r="S420" s="8">
        <v>12880.125119999999</v>
      </c>
      <c r="T420" s="8">
        <f t="shared" si="41"/>
        <v>13509.579744000002</v>
      </c>
    </row>
    <row r="421" spans="1:20" ht="16.5" x14ac:dyDescent="0.3">
      <c r="A421" s="4" t="s">
        <v>259</v>
      </c>
      <c r="B421" s="6">
        <v>45357</v>
      </c>
      <c r="C421" s="14">
        <v>45357</v>
      </c>
      <c r="D421" s="4" t="s">
        <v>979</v>
      </c>
      <c r="E421" s="8">
        <v>65.64</v>
      </c>
      <c r="F421" s="8">
        <f t="shared" si="36"/>
        <v>75.48599999999999</v>
      </c>
      <c r="G421" s="8">
        <v>151.88</v>
      </c>
      <c r="H421" s="8">
        <v>151.88</v>
      </c>
      <c r="I421" s="8" t="s">
        <v>1471</v>
      </c>
      <c r="J421" s="10">
        <v>0.16700000000000001</v>
      </c>
      <c r="K421" s="10">
        <v>0.16700000000000001</v>
      </c>
      <c r="L421" s="10">
        <f t="shared" si="37"/>
        <v>0.16700000000000001</v>
      </c>
      <c r="M421" s="12">
        <v>23</v>
      </c>
      <c r="N421" s="12">
        <f t="shared" si="38"/>
        <v>27.599999999999998</v>
      </c>
      <c r="O421" s="8">
        <v>2909.8689199999999</v>
      </c>
      <c r="P421" s="8">
        <f t="shared" si="39"/>
        <v>3491.8427039999997</v>
      </c>
      <c r="Q421" s="8">
        <v>1509.72</v>
      </c>
      <c r="R421" s="8">
        <f t="shared" si="40"/>
        <v>2083.4135999999994</v>
      </c>
      <c r="S421" s="8">
        <v>1400.1489199999999</v>
      </c>
      <c r="T421" s="8">
        <f t="shared" si="41"/>
        <v>1408.4291040000003</v>
      </c>
    </row>
    <row r="422" spans="1:20" ht="16.5" x14ac:dyDescent="0.3">
      <c r="A422" s="4" t="s">
        <v>42</v>
      </c>
      <c r="B422" s="6">
        <v>45492</v>
      </c>
      <c r="C422" s="14">
        <v>45492</v>
      </c>
      <c r="D422" s="4" t="s">
        <v>761</v>
      </c>
      <c r="E422" s="8">
        <v>857.24</v>
      </c>
      <c r="F422" s="8">
        <f t="shared" si="36"/>
        <v>985.82599999999991</v>
      </c>
      <c r="G422" s="8">
        <v>758.23</v>
      </c>
      <c r="H422" s="8">
        <v>758.23</v>
      </c>
      <c r="I422" s="8" t="s">
        <v>1469</v>
      </c>
      <c r="J422" s="10">
        <v>0.125</v>
      </c>
      <c r="K422" s="10">
        <v>0.125</v>
      </c>
      <c r="L422" s="10">
        <f t="shared" si="37"/>
        <v>0.125</v>
      </c>
      <c r="M422" s="12">
        <v>6</v>
      </c>
      <c r="N422" s="12">
        <f t="shared" si="38"/>
        <v>7.1999999999999993</v>
      </c>
      <c r="O422" s="8">
        <v>3980.7075</v>
      </c>
      <c r="P422" s="8">
        <f t="shared" si="39"/>
        <v>4776.8489999999993</v>
      </c>
      <c r="Q422" s="8">
        <v>5143.4400000000005</v>
      </c>
      <c r="R422" s="8">
        <f t="shared" si="40"/>
        <v>7097.9471999999987</v>
      </c>
      <c r="S422" s="8">
        <v>-1162.7325000000005</v>
      </c>
      <c r="T422" s="8">
        <f t="shared" si="41"/>
        <v>-2321.0981999999995</v>
      </c>
    </row>
    <row r="423" spans="1:20" ht="16.5" x14ac:dyDescent="0.3">
      <c r="A423" s="4" t="s">
        <v>269</v>
      </c>
      <c r="B423" s="6">
        <v>45411</v>
      </c>
      <c r="C423" s="14">
        <v>45411</v>
      </c>
      <c r="D423" s="4" t="s">
        <v>989</v>
      </c>
      <c r="E423" s="8">
        <v>668.97</v>
      </c>
      <c r="F423" s="8">
        <f t="shared" si="36"/>
        <v>769.31549999999993</v>
      </c>
      <c r="G423" s="8">
        <v>1667.44</v>
      </c>
      <c r="H423" s="8">
        <v>1667.44</v>
      </c>
      <c r="I423" s="8" t="s">
        <v>1470</v>
      </c>
      <c r="J423" s="10">
        <v>3.4000000000000002E-2</v>
      </c>
      <c r="K423" s="10">
        <v>3.4000000000000002E-2</v>
      </c>
      <c r="L423" s="10">
        <f t="shared" si="37"/>
        <v>3.4000000000000002E-2</v>
      </c>
      <c r="M423" s="12">
        <v>15</v>
      </c>
      <c r="N423" s="12">
        <f t="shared" si="38"/>
        <v>18</v>
      </c>
      <c r="O423" s="8">
        <v>24161.205600000001</v>
      </c>
      <c r="P423" s="8">
        <f t="shared" si="39"/>
        <v>28993.44672</v>
      </c>
      <c r="Q423" s="8">
        <v>10034.550000000001</v>
      </c>
      <c r="R423" s="8">
        <f t="shared" si="40"/>
        <v>13847.678999999998</v>
      </c>
      <c r="S423" s="8">
        <v>14126.6556</v>
      </c>
      <c r="T423" s="8">
        <f t="shared" si="41"/>
        <v>15145.767720000002</v>
      </c>
    </row>
    <row r="424" spans="1:20" ht="16.5" x14ac:dyDescent="0.3">
      <c r="A424" s="4" t="s">
        <v>301</v>
      </c>
      <c r="B424" s="6">
        <v>45542</v>
      </c>
      <c r="C424" s="14">
        <v>45542</v>
      </c>
      <c r="D424" s="4" t="s">
        <v>1021</v>
      </c>
      <c r="E424" s="8">
        <v>1066.6500000000001</v>
      </c>
      <c r="F424" s="8">
        <f t="shared" si="36"/>
        <v>1226.6475</v>
      </c>
      <c r="G424" s="8">
        <v>2569.77</v>
      </c>
      <c r="H424" s="8">
        <v>2569.77</v>
      </c>
      <c r="I424" s="8" t="s">
        <v>1470</v>
      </c>
      <c r="J424" s="10">
        <v>0.13400000000000001</v>
      </c>
      <c r="K424" s="10">
        <v>0.13400000000000001</v>
      </c>
      <c r="L424" s="10">
        <f t="shared" si="37"/>
        <v>0.13400000000000001</v>
      </c>
      <c r="M424" s="12">
        <v>9</v>
      </c>
      <c r="N424" s="12">
        <f t="shared" si="38"/>
        <v>10.799999999999999</v>
      </c>
      <c r="O424" s="8">
        <v>20028.787380000002</v>
      </c>
      <c r="P424" s="8">
        <f t="shared" si="39"/>
        <v>24034.544855999997</v>
      </c>
      <c r="Q424" s="8">
        <v>9599.85</v>
      </c>
      <c r="R424" s="8">
        <f t="shared" si="40"/>
        <v>13247.793</v>
      </c>
      <c r="S424" s="8">
        <v>10428.937380000001</v>
      </c>
      <c r="T424" s="8">
        <f t="shared" si="41"/>
        <v>10786.751855999997</v>
      </c>
    </row>
    <row r="425" spans="1:20" ht="16.5" x14ac:dyDescent="0.3">
      <c r="A425" s="4" t="s">
        <v>257</v>
      </c>
      <c r="B425" s="6">
        <v>45630</v>
      </c>
      <c r="C425" s="14">
        <v>45630</v>
      </c>
      <c r="D425" s="4" t="s">
        <v>977</v>
      </c>
      <c r="E425" s="8">
        <v>72.06</v>
      </c>
      <c r="F425" s="8">
        <f t="shared" si="36"/>
        <v>82.869</v>
      </c>
      <c r="G425" s="8">
        <v>122.74</v>
      </c>
      <c r="H425" s="8">
        <v>122.74</v>
      </c>
      <c r="I425" s="8" t="s">
        <v>1471</v>
      </c>
      <c r="J425" s="10">
        <v>0.23799999999999999</v>
      </c>
      <c r="K425" s="10">
        <v>0.23799999999999999</v>
      </c>
      <c r="L425" s="10">
        <f t="shared" si="37"/>
        <v>0.23799999999999999</v>
      </c>
      <c r="M425" s="12">
        <v>8</v>
      </c>
      <c r="N425" s="12">
        <f t="shared" si="38"/>
        <v>9.6</v>
      </c>
      <c r="O425" s="8">
        <v>748.22303999999997</v>
      </c>
      <c r="P425" s="8">
        <f t="shared" si="39"/>
        <v>897.86764799999992</v>
      </c>
      <c r="Q425" s="8">
        <v>576.48</v>
      </c>
      <c r="R425" s="8">
        <f t="shared" si="40"/>
        <v>795.54239999999993</v>
      </c>
      <c r="S425" s="8">
        <v>171.74303999999995</v>
      </c>
      <c r="T425" s="8">
        <f t="shared" si="41"/>
        <v>102.32524799999999</v>
      </c>
    </row>
    <row r="426" spans="1:20" ht="16.5" x14ac:dyDescent="0.3">
      <c r="A426" s="4" t="s">
        <v>389</v>
      </c>
      <c r="B426" s="6">
        <v>45354</v>
      </c>
      <c r="C426" s="14">
        <v>45354</v>
      </c>
      <c r="D426" s="4" t="s">
        <v>1109</v>
      </c>
      <c r="E426" s="8">
        <v>988.83</v>
      </c>
      <c r="F426" s="8">
        <f t="shared" si="36"/>
        <v>1137.1544999999999</v>
      </c>
      <c r="G426" s="8">
        <v>1206.04</v>
      </c>
      <c r="H426" s="8">
        <v>1206.04</v>
      </c>
      <c r="I426" s="8" t="s">
        <v>1469</v>
      </c>
      <c r="J426" s="10">
        <v>6.3E-2</v>
      </c>
      <c r="K426" s="10">
        <v>6.3E-2</v>
      </c>
      <c r="L426" s="10">
        <f t="shared" si="37"/>
        <v>6.3E-2</v>
      </c>
      <c r="M426" s="12">
        <v>34</v>
      </c>
      <c r="N426" s="12">
        <f t="shared" si="38"/>
        <v>40.799999999999997</v>
      </c>
      <c r="O426" s="8">
        <v>38422.022320000004</v>
      </c>
      <c r="P426" s="8">
        <f t="shared" si="39"/>
        <v>46106.426783999996</v>
      </c>
      <c r="Q426" s="8">
        <v>33620.22</v>
      </c>
      <c r="R426" s="8">
        <f t="shared" si="40"/>
        <v>46395.903599999991</v>
      </c>
      <c r="S426" s="8">
        <v>4801.8023200000025</v>
      </c>
      <c r="T426" s="8">
        <f t="shared" si="41"/>
        <v>-289.47681599999487</v>
      </c>
    </row>
    <row r="427" spans="1:20" ht="16.5" x14ac:dyDescent="0.3">
      <c r="A427" s="4" t="s">
        <v>574</v>
      </c>
      <c r="B427" s="6">
        <v>45299</v>
      </c>
      <c r="C427" s="14">
        <v>45299</v>
      </c>
      <c r="D427" s="4" t="s">
        <v>1292</v>
      </c>
      <c r="E427" s="8">
        <v>802.32</v>
      </c>
      <c r="F427" s="8">
        <f t="shared" si="36"/>
        <v>922.66800000000001</v>
      </c>
      <c r="G427" s="8">
        <v>602.34</v>
      </c>
      <c r="H427" s="8">
        <v>602.34</v>
      </c>
      <c r="I427" s="8" t="s">
        <v>1471</v>
      </c>
      <c r="J427" s="10">
        <v>0.12</v>
      </c>
      <c r="K427" s="10">
        <v>0.12</v>
      </c>
      <c r="L427" s="10">
        <f t="shared" si="37"/>
        <v>0.12</v>
      </c>
      <c r="M427" s="12">
        <v>25</v>
      </c>
      <c r="N427" s="12">
        <f t="shared" si="38"/>
        <v>30</v>
      </c>
      <c r="O427" s="8">
        <v>13251.48</v>
      </c>
      <c r="P427" s="8">
        <f t="shared" si="39"/>
        <v>15901.776</v>
      </c>
      <c r="Q427" s="8">
        <v>20058</v>
      </c>
      <c r="R427" s="8">
        <f t="shared" si="40"/>
        <v>27680.04</v>
      </c>
      <c r="S427" s="8">
        <v>-6806.52</v>
      </c>
      <c r="T427" s="8">
        <f t="shared" si="41"/>
        <v>-11778.264000000001</v>
      </c>
    </row>
    <row r="428" spans="1:20" ht="16.5" x14ac:dyDescent="0.3">
      <c r="A428" s="4" t="s">
        <v>318</v>
      </c>
      <c r="B428" s="6">
        <v>45462</v>
      </c>
      <c r="C428" s="14">
        <v>45462</v>
      </c>
      <c r="D428" s="4" t="s">
        <v>1038</v>
      </c>
      <c r="E428" s="8">
        <v>231.63</v>
      </c>
      <c r="F428" s="8">
        <f t="shared" si="36"/>
        <v>266.37449999999995</v>
      </c>
      <c r="G428" s="8">
        <v>537.39</v>
      </c>
      <c r="H428" s="8">
        <v>537.39</v>
      </c>
      <c r="I428" s="8" t="s">
        <v>1471</v>
      </c>
      <c r="J428" s="10">
        <v>0.08</v>
      </c>
      <c r="K428" s="10">
        <v>0.08</v>
      </c>
      <c r="L428" s="10">
        <f t="shared" si="37"/>
        <v>0.08</v>
      </c>
      <c r="M428" s="12">
        <v>12</v>
      </c>
      <c r="N428" s="12">
        <f t="shared" si="38"/>
        <v>14.399999999999999</v>
      </c>
      <c r="O428" s="8">
        <v>5932.7856000000002</v>
      </c>
      <c r="P428" s="8">
        <f t="shared" si="39"/>
        <v>7119.3427199999996</v>
      </c>
      <c r="Q428" s="8">
        <v>2779.56</v>
      </c>
      <c r="R428" s="8">
        <f t="shared" si="40"/>
        <v>3835.7927999999988</v>
      </c>
      <c r="S428" s="8">
        <v>3153.2256000000002</v>
      </c>
      <c r="T428" s="8">
        <f t="shared" si="41"/>
        <v>3283.5499200000008</v>
      </c>
    </row>
    <row r="429" spans="1:20" ht="16.5" x14ac:dyDescent="0.3">
      <c r="A429" s="4" t="s">
        <v>283</v>
      </c>
      <c r="B429" s="6">
        <v>45301</v>
      </c>
      <c r="C429" s="14">
        <v>45301</v>
      </c>
      <c r="D429" s="4" t="s">
        <v>1003</v>
      </c>
      <c r="E429" s="8">
        <v>720</v>
      </c>
      <c r="F429" s="8">
        <f t="shared" si="36"/>
        <v>827.99999999999989</v>
      </c>
      <c r="G429" s="8">
        <v>907.59</v>
      </c>
      <c r="H429" s="8">
        <v>907.59</v>
      </c>
      <c r="I429" s="8" t="s">
        <v>1469</v>
      </c>
      <c r="J429" s="10">
        <v>0.154</v>
      </c>
      <c r="K429" s="10">
        <v>0.154</v>
      </c>
      <c r="L429" s="10">
        <f t="shared" si="37"/>
        <v>0.154</v>
      </c>
      <c r="M429" s="12">
        <v>10</v>
      </c>
      <c r="N429" s="12">
        <f t="shared" si="38"/>
        <v>12</v>
      </c>
      <c r="O429" s="8">
        <v>7678.2113999999992</v>
      </c>
      <c r="P429" s="8">
        <f t="shared" si="39"/>
        <v>9213.8536800000002</v>
      </c>
      <c r="Q429" s="8">
        <v>7200</v>
      </c>
      <c r="R429" s="8">
        <f t="shared" si="40"/>
        <v>9935.9999999999982</v>
      </c>
      <c r="S429" s="8">
        <v>478.21139999999923</v>
      </c>
      <c r="T429" s="8">
        <f t="shared" si="41"/>
        <v>-722.14631999999801</v>
      </c>
    </row>
    <row r="430" spans="1:20" ht="16.5" x14ac:dyDescent="0.3">
      <c r="A430" s="4" t="s">
        <v>462</v>
      </c>
      <c r="B430" s="6">
        <v>45446</v>
      </c>
      <c r="C430" s="14">
        <v>45446</v>
      </c>
      <c r="D430" s="4" t="s">
        <v>1181</v>
      </c>
      <c r="E430" s="8">
        <v>1205.5</v>
      </c>
      <c r="F430" s="8">
        <f t="shared" si="36"/>
        <v>1386.3249999999998</v>
      </c>
      <c r="G430" s="8">
        <v>2210.17</v>
      </c>
      <c r="H430" s="8">
        <v>2210.17</v>
      </c>
      <c r="I430" s="8" t="s">
        <v>1470</v>
      </c>
      <c r="J430" s="10">
        <v>0.104</v>
      </c>
      <c r="K430" s="10">
        <v>0.104</v>
      </c>
      <c r="L430" s="10">
        <f t="shared" si="37"/>
        <v>0.104</v>
      </c>
      <c r="M430" s="12">
        <v>23</v>
      </c>
      <c r="N430" s="12">
        <f t="shared" si="38"/>
        <v>27.599999999999998</v>
      </c>
      <c r="O430" s="8">
        <v>45547.183360000003</v>
      </c>
      <c r="P430" s="8">
        <f t="shared" si="39"/>
        <v>54656.620031999999</v>
      </c>
      <c r="Q430" s="8">
        <v>27726.5</v>
      </c>
      <c r="R430" s="8">
        <f t="shared" si="40"/>
        <v>38262.569999999992</v>
      </c>
      <c r="S430" s="8">
        <v>17820.683360000003</v>
      </c>
      <c r="T430" s="8">
        <f t="shared" si="41"/>
        <v>16394.050032000006</v>
      </c>
    </row>
    <row r="431" spans="1:20" ht="16.5" x14ac:dyDescent="0.3">
      <c r="A431" s="4" t="s">
        <v>28</v>
      </c>
      <c r="B431" s="6">
        <v>45311</v>
      </c>
      <c r="C431" s="14">
        <v>45311</v>
      </c>
      <c r="D431" s="4" t="s">
        <v>747</v>
      </c>
      <c r="E431" s="8">
        <v>643.53</v>
      </c>
      <c r="F431" s="8">
        <f t="shared" si="36"/>
        <v>740.05949999999996</v>
      </c>
      <c r="G431" s="8">
        <v>1439.01</v>
      </c>
      <c r="H431" s="8">
        <v>1439.01</v>
      </c>
      <c r="I431" s="8" t="s">
        <v>1469</v>
      </c>
      <c r="J431" s="10">
        <v>0</v>
      </c>
      <c r="K431" s="10">
        <v>0</v>
      </c>
      <c r="L431" s="10">
        <f t="shared" si="37"/>
        <v>0</v>
      </c>
      <c r="M431" s="12">
        <v>15</v>
      </c>
      <c r="N431" s="12">
        <f t="shared" si="38"/>
        <v>18</v>
      </c>
      <c r="O431" s="8">
        <v>21585.15</v>
      </c>
      <c r="P431" s="8">
        <f t="shared" si="39"/>
        <v>25902.18</v>
      </c>
      <c r="Q431" s="8">
        <v>9652.9499999999989</v>
      </c>
      <c r="R431" s="8">
        <f t="shared" si="40"/>
        <v>13321.071</v>
      </c>
      <c r="S431" s="8">
        <v>11932.200000000003</v>
      </c>
      <c r="T431" s="8">
        <f t="shared" si="41"/>
        <v>12581.109</v>
      </c>
    </row>
    <row r="432" spans="1:20" ht="16.5" x14ac:dyDescent="0.3">
      <c r="A432" s="4" t="s">
        <v>373</v>
      </c>
      <c r="B432" s="6">
        <v>45309</v>
      </c>
      <c r="C432" s="14">
        <v>45309</v>
      </c>
      <c r="D432" s="4" t="s">
        <v>1093</v>
      </c>
      <c r="E432" s="8">
        <v>666.23</v>
      </c>
      <c r="F432" s="8">
        <f t="shared" si="36"/>
        <v>766.16449999999998</v>
      </c>
      <c r="G432" s="8">
        <v>1382.91</v>
      </c>
      <c r="H432" s="8">
        <v>1382.91</v>
      </c>
      <c r="I432" s="8" t="s">
        <v>1469</v>
      </c>
      <c r="J432" s="10">
        <v>0.17599999999999999</v>
      </c>
      <c r="K432" s="10">
        <v>0.17599999999999999</v>
      </c>
      <c r="L432" s="10">
        <f t="shared" si="37"/>
        <v>0.17599999999999999</v>
      </c>
      <c r="M432" s="12">
        <v>13</v>
      </c>
      <c r="N432" s="12">
        <f t="shared" si="38"/>
        <v>15.6</v>
      </c>
      <c r="O432" s="8">
        <v>14813.731920000002</v>
      </c>
      <c r="P432" s="8">
        <f t="shared" si="39"/>
        <v>17776.478304</v>
      </c>
      <c r="Q432" s="8">
        <v>8660.99</v>
      </c>
      <c r="R432" s="8">
        <f t="shared" si="40"/>
        <v>11952.1662</v>
      </c>
      <c r="S432" s="8">
        <v>6152.7419200000022</v>
      </c>
      <c r="T432" s="8">
        <f t="shared" si="41"/>
        <v>5824.3121040000005</v>
      </c>
    </row>
    <row r="433" spans="1:20" ht="16.5" x14ac:dyDescent="0.3">
      <c r="A433" s="4" t="s">
        <v>534</v>
      </c>
      <c r="B433" s="6">
        <v>45482</v>
      </c>
      <c r="C433" s="14">
        <v>45482</v>
      </c>
      <c r="D433" s="4" t="s">
        <v>1253</v>
      </c>
      <c r="E433" s="8">
        <v>1062.3800000000001</v>
      </c>
      <c r="F433" s="8">
        <f t="shared" si="36"/>
        <v>1221.7370000000001</v>
      </c>
      <c r="G433" s="8">
        <v>1503.96</v>
      </c>
      <c r="H433" s="8">
        <v>1503.96</v>
      </c>
      <c r="I433" s="8" t="s">
        <v>1469</v>
      </c>
      <c r="J433" s="10">
        <v>0.18</v>
      </c>
      <c r="K433" s="10">
        <v>0.18</v>
      </c>
      <c r="L433" s="10">
        <f t="shared" si="37"/>
        <v>0.18</v>
      </c>
      <c r="M433" s="12">
        <v>6</v>
      </c>
      <c r="N433" s="12">
        <f t="shared" si="38"/>
        <v>7.1999999999999993</v>
      </c>
      <c r="O433" s="8">
        <v>7399.4832000000006</v>
      </c>
      <c r="P433" s="8">
        <f t="shared" si="39"/>
        <v>8879.3798399999996</v>
      </c>
      <c r="Q433" s="8">
        <v>6374.2800000000007</v>
      </c>
      <c r="R433" s="8">
        <f t="shared" si="40"/>
        <v>8796.5064000000002</v>
      </c>
      <c r="S433" s="8">
        <v>1025.2031999999999</v>
      </c>
      <c r="T433" s="8">
        <f t="shared" si="41"/>
        <v>82.873439999999391</v>
      </c>
    </row>
    <row r="434" spans="1:20" ht="16.5" x14ac:dyDescent="0.3">
      <c r="A434" s="4" t="s">
        <v>358</v>
      </c>
      <c r="B434" s="6">
        <v>45486</v>
      </c>
      <c r="C434" s="14">
        <v>45486</v>
      </c>
      <c r="D434" s="4" t="s">
        <v>1078</v>
      </c>
      <c r="E434" s="8">
        <v>105.13</v>
      </c>
      <c r="F434" s="8">
        <f t="shared" si="36"/>
        <v>120.89949999999999</v>
      </c>
      <c r="G434" s="8">
        <v>244.13</v>
      </c>
      <c r="H434" s="8">
        <v>244.13</v>
      </c>
      <c r="I434" s="8" t="s">
        <v>1471</v>
      </c>
      <c r="J434" s="10">
        <v>7.0999999999999994E-2</v>
      </c>
      <c r="K434" s="10">
        <v>7.0999999999999994E-2</v>
      </c>
      <c r="L434" s="10">
        <f t="shared" si="37"/>
        <v>7.0999999999999994E-2</v>
      </c>
      <c r="M434" s="12">
        <v>14</v>
      </c>
      <c r="N434" s="12">
        <f t="shared" si="38"/>
        <v>16.8</v>
      </c>
      <c r="O434" s="8">
        <v>3175.1547799999998</v>
      </c>
      <c r="P434" s="8">
        <f t="shared" si="39"/>
        <v>3810.1857360000004</v>
      </c>
      <c r="Q434" s="8">
        <v>1471.82</v>
      </c>
      <c r="R434" s="8">
        <f t="shared" si="40"/>
        <v>2031.1116</v>
      </c>
      <c r="S434" s="8">
        <v>1703.3347799999999</v>
      </c>
      <c r="T434" s="8">
        <f t="shared" si="41"/>
        <v>1779.0741360000004</v>
      </c>
    </row>
    <row r="435" spans="1:20" ht="16.5" x14ac:dyDescent="0.3">
      <c r="A435" s="4" t="s">
        <v>253</v>
      </c>
      <c r="B435" s="6">
        <v>45381</v>
      </c>
      <c r="C435" s="14">
        <v>45381</v>
      </c>
      <c r="D435" s="4" t="s">
        <v>973</v>
      </c>
      <c r="E435" s="8">
        <v>160.82</v>
      </c>
      <c r="F435" s="8">
        <f t="shared" si="36"/>
        <v>184.94299999999998</v>
      </c>
      <c r="G435" s="8">
        <v>258.52</v>
      </c>
      <c r="H435" s="8">
        <v>258.52</v>
      </c>
      <c r="I435" s="8" t="s">
        <v>1471</v>
      </c>
      <c r="J435" s="10">
        <v>0.13</v>
      </c>
      <c r="K435" s="10">
        <v>0.13</v>
      </c>
      <c r="L435" s="10">
        <f t="shared" si="37"/>
        <v>0.13</v>
      </c>
      <c r="M435" s="12">
        <v>17</v>
      </c>
      <c r="N435" s="12">
        <f t="shared" si="38"/>
        <v>20.399999999999999</v>
      </c>
      <c r="O435" s="8">
        <v>3823.5108</v>
      </c>
      <c r="P435" s="8">
        <f t="shared" si="39"/>
        <v>4588.2129599999989</v>
      </c>
      <c r="Q435" s="8">
        <v>2733.94</v>
      </c>
      <c r="R435" s="8">
        <f t="shared" si="40"/>
        <v>3772.8371999999995</v>
      </c>
      <c r="S435" s="8">
        <v>1089.5708</v>
      </c>
      <c r="T435" s="8">
        <f t="shared" si="41"/>
        <v>815.37575999999945</v>
      </c>
    </row>
    <row r="436" spans="1:20" ht="16.5" x14ac:dyDescent="0.3">
      <c r="A436" s="4" t="s">
        <v>360</v>
      </c>
      <c r="B436" s="6">
        <v>45498</v>
      </c>
      <c r="C436" s="14">
        <v>45498</v>
      </c>
      <c r="D436" s="4" t="s">
        <v>1080</v>
      </c>
      <c r="E436" s="8">
        <v>986.81</v>
      </c>
      <c r="F436" s="8">
        <f t="shared" si="36"/>
        <v>1134.8314999999998</v>
      </c>
      <c r="G436" s="8">
        <v>2050.31</v>
      </c>
      <c r="H436" s="8">
        <v>2050.31</v>
      </c>
      <c r="I436" s="8" t="s">
        <v>1470</v>
      </c>
      <c r="J436" s="10">
        <v>0.10299999999999999</v>
      </c>
      <c r="K436" s="10">
        <v>0.10299999999999999</v>
      </c>
      <c r="L436" s="10">
        <f t="shared" si="37"/>
        <v>0.10299999999999999</v>
      </c>
      <c r="M436" s="12">
        <v>43</v>
      </c>
      <c r="N436" s="12">
        <f t="shared" si="38"/>
        <v>51.6</v>
      </c>
      <c r="O436" s="8">
        <v>79082.507010000001</v>
      </c>
      <c r="P436" s="8">
        <f t="shared" si="39"/>
        <v>94899.008411999996</v>
      </c>
      <c r="Q436" s="8">
        <v>42432.829999999994</v>
      </c>
      <c r="R436" s="8">
        <f t="shared" si="40"/>
        <v>58557.30539999999</v>
      </c>
      <c r="S436" s="8">
        <v>36649.677010000007</v>
      </c>
      <c r="T436" s="8">
        <f t="shared" si="41"/>
        <v>36341.703012000005</v>
      </c>
    </row>
    <row r="437" spans="1:20" ht="16.5" x14ac:dyDescent="0.3">
      <c r="A437" s="4" t="s">
        <v>156</v>
      </c>
      <c r="B437" s="6">
        <v>45649</v>
      </c>
      <c r="C437" s="14">
        <v>45649</v>
      </c>
      <c r="D437" s="4" t="s">
        <v>875</v>
      </c>
      <c r="E437" s="8">
        <v>501.81</v>
      </c>
      <c r="F437" s="8">
        <f t="shared" si="36"/>
        <v>577.08150000000001</v>
      </c>
      <c r="G437" s="8">
        <v>921.62</v>
      </c>
      <c r="H437" s="8">
        <v>921.62</v>
      </c>
      <c r="I437" s="8" t="s">
        <v>1469</v>
      </c>
      <c r="J437" s="10">
        <v>0.01</v>
      </c>
      <c r="K437" s="10">
        <v>0.01</v>
      </c>
      <c r="L437" s="10">
        <f t="shared" si="37"/>
        <v>0.01</v>
      </c>
      <c r="M437" s="12">
        <v>9</v>
      </c>
      <c r="N437" s="12">
        <f t="shared" si="38"/>
        <v>10.799999999999999</v>
      </c>
      <c r="O437" s="8">
        <v>8211.6342000000004</v>
      </c>
      <c r="P437" s="8">
        <f t="shared" si="39"/>
        <v>9853.9610399999983</v>
      </c>
      <c r="Q437" s="8">
        <v>4516.29</v>
      </c>
      <c r="R437" s="8">
        <f t="shared" si="40"/>
        <v>6232.4801999999991</v>
      </c>
      <c r="S437" s="8">
        <v>3695.3442000000005</v>
      </c>
      <c r="T437" s="8">
        <f t="shared" si="41"/>
        <v>3621.4808399999993</v>
      </c>
    </row>
    <row r="438" spans="1:20" ht="16.5" x14ac:dyDescent="0.3">
      <c r="A438" s="4" t="s">
        <v>75</v>
      </c>
      <c r="B438" s="6">
        <v>45361</v>
      </c>
      <c r="C438" s="14">
        <v>45361</v>
      </c>
      <c r="D438" s="4" t="s">
        <v>794</v>
      </c>
      <c r="E438" s="8">
        <v>1176.56</v>
      </c>
      <c r="F438" s="8">
        <f t="shared" si="36"/>
        <v>1353.0439999999999</v>
      </c>
      <c r="G438" s="8">
        <v>1911.89</v>
      </c>
      <c r="H438" s="8">
        <v>1911.89</v>
      </c>
      <c r="I438" s="8" t="s">
        <v>1470</v>
      </c>
      <c r="J438" s="10">
        <v>0.11899999999999999</v>
      </c>
      <c r="K438" s="10">
        <v>0.11899999999999999</v>
      </c>
      <c r="L438" s="10">
        <f t="shared" si="37"/>
        <v>0.11899999999999999</v>
      </c>
      <c r="M438" s="12">
        <v>20</v>
      </c>
      <c r="N438" s="12">
        <f t="shared" si="38"/>
        <v>24</v>
      </c>
      <c r="O438" s="8">
        <v>33687.501800000005</v>
      </c>
      <c r="P438" s="8">
        <f t="shared" si="39"/>
        <v>40425.002160000004</v>
      </c>
      <c r="Q438" s="8">
        <v>23531.199999999997</v>
      </c>
      <c r="R438" s="8">
        <f t="shared" si="40"/>
        <v>32473.055999999997</v>
      </c>
      <c r="S438" s="8">
        <v>10156.301800000008</v>
      </c>
      <c r="T438" s="8">
        <f t="shared" si="41"/>
        <v>7951.9461600000068</v>
      </c>
    </row>
    <row r="439" spans="1:20" ht="16.5" x14ac:dyDescent="0.3">
      <c r="A439" s="4" t="s">
        <v>614</v>
      </c>
      <c r="B439" s="6">
        <v>45360</v>
      </c>
      <c r="C439" s="14">
        <v>45360</v>
      </c>
      <c r="D439" s="4" t="s">
        <v>1332</v>
      </c>
      <c r="E439" s="8">
        <v>985.45</v>
      </c>
      <c r="F439" s="8">
        <f t="shared" si="36"/>
        <v>1133.2674999999999</v>
      </c>
      <c r="G439" s="8">
        <v>1802.44</v>
      </c>
      <c r="H439" s="8">
        <v>1802.44</v>
      </c>
      <c r="I439" s="8" t="s">
        <v>1470</v>
      </c>
      <c r="J439" s="10">
        <v>8.9999999999999993E-3</v>
      </c>
      <c r="K439" s="10">
        <v>8.9999999999999993E-3</v>
      </c>
      <c r="L439" s="10">
        <f t="shared" si="37"/>
        <v>8.9999999999999993E-3</v>
      </c>
      <c r="M439" s="12">
        <v>19</v>
      </c>
      <c r="N439" s="12">
        <f t="shared" si="38"/>
        <v>22.8</v>
      </c>
      <c r="O439" s="8">
        <v>33938.142760000002</v>
      </c>
      <c r="P439" s="8">
        <f t="shared" si="39"/>
        <v>40725.771312000004</v>
      </c>
      <c r="Q439" s="8">
        <v>18723.55</v>
      </c>
      <c r="R439" s="8">
        <f t="shared" si="40"/>
        <v>25838.499</v>
      </c>
      <c r="S439" s="8">
        <v>15214.592760000003</v>
      </c>
      <c r="T439" s="8">
        <f t="shared" si="41"/>
        <v>14887.272312000005</v>
      </c>
    </row>
    <row r="440" spans="1:20" ht="16.5" x14ac:dyDescent="0.3">
      <c r="A440" s="4" t="s">
        <v>125</v>
      </c>
      <c r="B440" s="6">
        <v>45452</v>
      </c>
      <c r="C440" s="14">
        <v>45452</v>
      </c>
      <c r="D440" s="4" t="s">
        <v>844</v>
      </c>
      <c r="E440" s="8">
        <v>550.22</v>
      </c>
      <c r="F440" s="8">
        <f t="shared" si="36"/>
        <v>632.75299999999993</v>
      </c>
      <c r="G440" s="8">
        <v>1025.05</v>
      </c>
      <c r="H440" s="8">
        <v>1025.05</v>
      </c>
      <c r="I440" s="8" t="s">
        <v>1469</v>
      </c>
      <c r="J440" s="10">
        <v>0</v>
      </c>
      <c r="K440" s="10">
        <v>0</v>
      </c>
      <c r="L440" s="10">
        <f t="shared" si="37"/>
        <v>0</v>
      </c>
      <c r="M440" s="12">
        <v>27</v>
      </c>
      <c r="N440" s="12">
        <f t="shared" si="38"/>
        <v>32.4</v>
      </c>
      <c r="O440" s="8">
        <v>27676.35</v>
      </c>
      <c r="P440" s="8">
        <f t="shared" si="39"/>
        <v>33211.619999999995</v>
      </c>
      <c r="Q440" s="8">
        <v>14855.94</v>
      </c>
      <c r="R440" s="8">
        <f t="shared" si="40"/>
        <v>20501.197199999995</v>
      </c>
      <c r="S440" s="8">
        <v>12820.409999999998</v>
      </c>
      <c r="T440" s="8">
        <f t="shared" si="41"/>
        <v>12710.4228</v>
      </c>
    </row>
    <row r="441" spans="1:20" ht="16.5" x14ac:dyDescent="0.3">
      <c r="A441" s="4" t="s">
        <v>367</v>
      </c>
      <c r="B441" s="6">
        <v>45512</v>
      </c>
      <c r="C441" s="14">
        <v>45512</v>
      </c>
      <c r="D441" s="4" t="s">
        <v>1087</v>
      </c>
      <c r="E441" s="8">
        <v>1233.3599999999999</v>
      </c>
      <c r="F441" s="8">
        <f t="shared" si="36"/>
        <v>1418.3639999999998</v>
      </c>
      <c r="G441" s="8">
        <v>2120.4</v>
      </c>
      <c r="H441" s="8">
        <v>2120.4</v>
      </c>
      <c r="I441" s="8" t="s">
        <v>1470</v>
      </c>
      <c r="J441" s="10">
        <v>0.17899999999999999</v>
      </c>
      <c r="K441" s="10">
        <v>0.17899999999999999</v>
      </c>
      <c r="L441" s="10">
        <f t="shared" si="37"/>
        <v>0.17899999999999999</v>
      </c>
      <c r="M441" s="12">
        <v>20</v>
      </c>
      <c r="N441" s="12">
        <f t="shared" si="38"/>
        <v>24</v>
      </c>
      <c r="O441" s="8">
        <v>34816.968000000001</v>
      </c>
      <c r="P441" s="8">
        <f t="shared" si="39"/>
        <v>41780.361600000004</v>
      </c>
      <c r="Q441" s="8">
        <v>24667.199999999997</v>
      </c>
      <c r="R441" s="8">
        <f t="shared" si="40"/>
        <v>34040.735999999997</v>
      </c>
      <c r="S441" s="8">
        <v>10149.768000000004</v>
      </c>
      <c r="T441" s="8">
        <f t="shared" si="41"/>
        <v>7739.6256000000067</v>
      </c>
    </row>
    <row r="442" spans="1:20" ht="16.5" x14ac:dyDescent="0.3">
      <c r="A442" s="4" t="s">
        <v>127</v>
      </c>
      <c r="B442" s="6">
        <v>45472</v>
      </c>
      <c r="C442" s="14">
        <v>45472</v>
      </c>
      <c r="D442" s="4" t="s">
        <v>846</v>
      </c>
      <c r="E442" s="8">
        <v>5.36</v>
      </c>
      <c r="F442" s="8">
        <f t="shared" si="36"/>
        <v>6.1639999999999997</v>
      </c>
      <c r="G442" s="8">
        <v>4.37</v>
      </c>
      <c r="H442" s="8">
        <v>4.37</v>
      </c>
      <c r="I442" s="8" t="s">
        <v>1471</v>
      </c>
      <c r="J442" s="10">
        <v>0.11799999999999999</v>
      </c>
      <c r="K442" s="10">
        <v>0.11799999999999999</v>
      </c>
      <c r="L442" s="10">
        <f t="shared" si="37"/>
        <v>0.11799999999999999</v>
      </c>
      <c r="M442" s="12">
        <v>9</v>
      </c>
      <c r="N442" s="12">
        <f t="shared" si="38"/>
        <v>10.799999999999999</v>
      </c>
      <c r="O442" s="8">
        <v>34.689059999999998</v>
      </c>
      <c r="P442" s="8">
        <f t="shared" si="39"/>
        <v>41.626871999999999</v>
      </c>
      <c r="Q442" s="8">
        <v>48.24</v>
      </c>
      <c r="R442" s="8">
        <f t="shared" si="40"/>
        <v>66.57119999999999</v>
      </c>
      <c r="S442" s="8">
        <v>-13.550940000000004</v>
      </c>
      <c r="T442" s="8">
        <f t="shared" si="41"/>
        <v>-24.944327999999992</v>
      </c>
    </row>
    <row r="443" spans="1:20" ht="16.5" x14ac:dyDescent="0.3">
      <c r="A443" s="4" t="s">
        <v>369</v>
      </c>
      <c r="B443" s="6">
        <v>45292</v>
      </c>
      <c r="C443" s="14">
        <v>45292</v>
      </c>
      <c r="D443" s="4" t="s">
        <v>1089</v>
      </c>
      <c r="E443" s="8">
        <v>657.45</v>
      </c>
      <c r="F443" s="8">
        <f t="shared" si="36"/>
        <v>756.0675</v>
      </c>
      <c r="G443" s="8">
        <v>1325.96</v>
      </c>
      <c r="H443" s="8">
        <v>1325.96</v>
      </c>
      <c r="I443" s="8" t="s">
        <v>1469</v>
      </c>
      <c r="J443" s="10">
        <v>0.16700000000000001</v>
      </c>
      <c r="K443" s="10">
        <v>0.16700000000000001</v>
      </c>
      <c r="L443" s="10">
        <f t="shared" si="37"/>
        <v>0.16700000000000001</v>
      </c>
      <c r="M443" s="12">
        <v>21</v>
      </c>
      <c r="N443" s="12">
        <f t="shared" si="38"/>
        <v>25.2</v>
      </c>
      <c r="O443" s="8">
        <v>23195.01828</v>
      </c>
      <c r="P443" s="8">
        <f t="shared" si="39"/>
        <v>27834.021936000001</v>
      </c>
      <c r="Q443" s="8">
        <v>13806.45</v>
      </c>
      <c r="R443" s="8">
        <f t="shared" si="40"/>
        <v>19052.900999999998</v>
      </c>
      <c r="S443" s="8">
        <v>9388.5682799999995</v>
      </c>
      <c r="T443" s="8">
        <f t="shared" si="41"/>
        <v>8781.120936000003</v>
      </c>
    </row>
    <row r="444" spans="1:20" ht="16.5" x14ac:dyDescent="0.3">
      <c r="A444" s="4" t="s">
        <v>327</v>
      </c>
      <c r="B444" s="6">
        <v>45600</v>
      </c>
      <c r="C444" s="14">
        <v>45600</v>
      </c>
      <c r="D444" s="4" t="s">
        <v>1047</v>
      </c>
      <c r="E444" s="8">
        <v>840.68</v>
      </c>
      <c r="F444" s="8">
        <f t="shared" si="36"/>
        <v>966.78199999999981</v>
      </c>
      <c r="G444" s="8">
        <v>1493.53</v>
      </c>
      <c r="H444" s="8">
        <v>1493.53</v>
      </c>
      <c r="I444" s="8" t="s">
        <v>1469</v>
      </c>
      <c r="J444" s="10">
        <v>0</v>
      </c>
      <c r="K444" s="10">
        <v>0</v>
      </c>
      <c r="L444" s="10">
        <f t="shared" si="37"/>
        <v>0</v>
      </c>
      <c r="M444" s="12">
        <v>27</v>
      </c>
      <c r="N444" s="12">
        <f t="shared" si="38"/>
        <v>32.4</v>
      </c>
      <c r="O444" s="8">
        <v>40325.31</v>
      </c>
      <c r="P444" s="8">
        <f t="shared" si="39"/>
        <v>48390.371999999996</v>
      </c>
      <c r="Q444" s="8">
        <v>22698.359999999997</v>
      </c>
      <c r="R444" s="8">
        <f t="shared" si="40"/>
        <v>31323.736799999991</v>
      </c>
      <c r="S444" s="8">
        <v>17626.95</v>
      </c>
      <c r="T444" s="8">
        <f t="shared" si="41"/>
        <v>17066.635200000004</v>
      </c>
    </row>
    <row r="445" spans="1:20" ht="16.5" x14ac:dyDescent="0.3">
      <c r="A445" s="4" t="s">
        <v>631</v>
      </c>
      <c r="B445" s="6">
        <v>45643</v>
      </c>
      <c r="C445" s="14">
        <v>45643</v>
      </c>
      <c r="D445" s="4" t="s">
        <v>1349</v>
      </c>
      <c r="E445" s="8">
        <v>722.87</v>
      </c>
      <c r="F445" s="8">
        <f t="shared" si="36"/>
        <v>831.30049999999994</v>
      </c>
      <c r="G445" s="8">
        <v>-33.659999999999997</v>
      </c>
      <c r="H445" s="8">
        <v>33.659999999999997</v>
      </c>
      <c r="I445" s="8" t="s">
        <v>1471</v>
      </c>
      <c r="J445" s="10">
        <v>0.10199999999999999</v>
      </c>
      <c r="K445" s="10">
        <v>0.10199999999999999</v>
      </c>
      <c r="L445" s="10">
        <f t="shared" si="37"/>
        <v>0.10199999999999999</v>
      </c>
      <c r="M445" s="12">
        <v>28</v>
      </c>
      <c r="N445" s="12">
        <f t="shared" si="38"/>
        <v>33.6</v>
      </c>
      <c r="O445" s="8">
        <v>846.34703999999988</v>
      </c>
      <c r="P445" s="8">
        <f t="shared" si="39"/>
        <v>1015.6164479999999</v>
      </c>
      <c r="Q445" s="8">
        <v>20240.36</v>
      </c>
      <c r="R445" s="8">
        <f t="shared" si="40"/>
        <v>27931.696799999998</v>
      </c>
      <c r="S445" s="8">
        <v>-19394.01296</v>
      </c>
      <c r="T445" s="8">
        <f t="shared" si="41"/>
        <v>-26916.080351999997</v>
      </c>
    </row>
    <row r="446" spans="1:20" ht="16.5" x14ac:dyDescent="0.3">
      <c r="A446" s="4" t="s">
        <v>87</v>
      </c>
      <c r="B446" s="6">
        <v>45394</v>
      </c>
      <c r="C446" s="14">
        <v>45394</v>
      </c>
      <c r="D446" s="4" t="s">
        <v>806</v>
      </c>
      <c r="E446" s="8">
        <v>1376.51</v>
      </c>
      <c r="F446" s="8">
        <f t="shared" si="36"/>
        <v>1582.9865</v>
      </c>
      <c r="G446" s="8">
        <v>1455.91</v>
      </c>
      <c r="H446" s="8">
        <v>1455.91</v>
      </c>
      <c r="I446" s="8" t="s">
        <v>1469</v>
      </c>
      <c r="J446" s="10">
        <v>0.185</v>
      </c>
      <c r="K446" s="10">
        <v>0.185</v>
      </c>
      <c r="L446" s="10">
        <f t="shared" si="37"/>
        <v>0.185</v>
      </c>
      <c r="M446" s="12">
        <v>17</v>
      </c>
      <c r="N446" s="12">
        <f t="shared" si="38"/>
        <v>20.399999999999999</v>
      </c>
      <c r="O446" s="8">
        <v>20171.63305</v>
      </c>
      <c r="P446" s="8">
        <f t="shared" si="39"/>
        <v>24205.959659999997</v>
      </c>
      <c r="Q446" s="8">
        <v>23400.67</v>
      </c>
      <c r="R446" s="8">
        <f t="shared" si="40"/>
        <v>32292.924599999998</v>
      </c>
      <c r="S446" s="8">
        <v>-3229.0369499999979</v>
      </c>
      <c r="T446" s="8">
        <f t="shared" si="41"/>
        <v>-8086.9649400000017</v>
      </c>
    </row>
    <row r="447" spans="1:20" ht="16.5" x14ac:dyDescent="0.3">
      <c r="A447" s="4" t="s">
        <v>184</v>
      </c>
      <c r="B447" s="6">
        <v>45574</v>
      </c>
      <c r="C447" s="14">
        <v>45574</v>
      </c>
      <c r="D447" s="4" t="s">
        <v>903</v>
      </c>
      <c r="E447" s="8">
        <v>343.85</v>
      </c>
      <c r="F447" s="8">
        <f t="shared" si="36"/>
        <v>395.42750000000001</v>
      </c>
      <c r="G447" s="8">
        <v>538.04</v>
      </c>
      <c r="H447" s="8">
        <v>538.04</v>
      </c>
      <c r="I447" s="8" t="s">
        <v>1471</v>
      </c>
      <c r="J447" s="10">
        <v>0.13900000000000001</v>
      </c>
      <c r="K447" s="10">
        <v>0.13900000000000001</v>
      </c>
      <c r="L447" s="10">
        <f t="shared" si="37"/>
        <v>0.13900000000000001</v>
      </c>
      <c r="M447" s="12">
        <v>5</v>
      </c>
      <c r="N447" s="12">
        <f t="shared" si="38"/>
        <v>6</v>
      </c>
      <c r="O447" s="8">
        <v>2316.2621999999997</v>
      </c>
      <c r="P447" s="8">
        <f t="shared" si="39"/>
        <v>2779.5146399999999</v>
      </c>
      <c r="Q447" s="8">
        <v>1719.25</v>
      </c>
      <c r="R447" s="8">
        <f t="shared" si="40"/>
        <v>2372.5650000000001</v>
      </c>
      <c r="S447" s="8">
        <v>597.01219999999967</v>
      </c>
      <c r="T447" s="8">
        <f t="shared" si="41"/>
        <v>406.94963999999982</v>
      </c>
    </row>
    <row r="448" spans="1:20" ht="16.5" x14ac:dyDescent="0.3">
      <c r="A448" s="4" t="s">
        <v>607</v>
      </c>
      <c r="B448" s="6">
        <v>45504</v>
      </c>
      <c r="C448" s="14">
        <v>45504</v>
      </c>
      <c r="D448" s="4" t="s">
        <v>1325</v>
      </c>
      <c r="E448" s="8">
        <v>1252.52</v>
      </c>
      <c r="F448" s="8">
        <f t="shared" si="36"/>
        <v>1440.3979999999999</v>
      </c>
      <c r="G448" s="8">
        <v>1417.24</v>
      </c>
      <c r="H448" s="8">
        <v>1417.24</v>
      </c>
      <c r="I448" s="8" t="s">
        <v>1469</v>
      </c>
      <c r="J448" s="10">
        <v>0.192</v>
      </c>
      <c r="K448" s="10">
        <v>0.192</v>
      </c>
      <c r="L448" s="10">
        <f t="shared" si="37"/>
        <v>0.192</v>
      </c>
      <c r="M448" s="12">
        <v>5</v>
      </c>
      <c r="N448" s="12">
        <f t="shared" si="38"/>
        <v>6</v>
      </c>
      <c r="O448" s="8">
        <v>5725.6496000000006</v>
      </c>
      <c r="P448" s="8">
        <f t="shared" si="39"/>
        <v>6870.779520000001</v>
      </c>
      <c r="Q448" s="8">
        <v>6262.6</v>
      </c>
      <c r="R448" s="8">
        <f t="shared" si="40"/>
        <v>8642.387999999999</v>
      </c>
      <c r="S448" s="8">
        <v>-536.95039999999972</v>
      </c>
      <c r="T448" s="8">
        <f t="shared" si="41"/>
        <v>-1771.6084799999981</v>
      </c>
    </row>
    <row r="449" spans="1:20" ht="16.5" x14ac:dyDescent="0.3">
      <c r="A449" s="4" t="s">
        <v>290</v>
      </c>
      <c r="B449" s="6">
        <v>45378</v>
      </c>
      <c r="C449" s="14">
        <v>45378</v>
      </c>
      <c r="D449" s="4" t="s">
        <v>1010</v>
      </c>
      <c r="E449" s="8">
        <v>1338.35</v>
      </c>
      <c r="F449" s="8">
        <f t="shared" si="36"/>
        <v>1539.1024999999997</v>
      </c>
      <c r="G449" s="8">
        <v>2247.14</v>
      </c>
      <c r="H449" s="8">
        <v>2247.14</v>
      </c>
      <c r="I449" s="8" t="s">
        <v>1470</v>
      </c>
      <c r="J449" s="10">
        <v>0.115</v>
      </c>
      <c r="K449" s="10">
        <v>0.115</v>
      </c>
      <c r="L449" s="10">
        <f t="shared" si="37"/>
        <v>0.115</v>
      </c>
      <c r="M449" s="12">
        <v>40</v>
      </c>
      <c r="N449" s="12">
        <f t="shared" si="38"/>
        <v>48</v>
      </c>
      <c r="O449" s="8">
        <v>79548.755999999994</v>
      </c>
      <c r="P449" s="8">
        <f t="shared" si="39"/>
        <v>95458.507200000007</v>
      </c>
      <c r="Q449" s="8">
        <v>53534</v>
      </c>
      <c r="R449" s="8">
        <f t="shared" si="40"/>
        <v>73876.919999999984</v>
      </c>
      <c r="S449" s="8">
        <v>26014.755999999994</v>
      </c>
      <c r="T449" s="8">
        <f t="shared" si="41"/>
        <v>21581.587200000024</v>
      </c>
    </row>
    <row r="450" spans="1:20" ht="16.5" x14ac:dyDescent="0.3">
      <c r="A450" s="4" t="s">
        <v>192</v>
      </c>
      <c r="B450" s="6">
        <v>45325</v>
      </c>
      <c r="C450" s="14">
        <v>45325</v>
      </c>
      <c r="D450" s="4" t="s">
        <v>911</v>
      </c>
      <c r="E450" s="8">
        <v>39.229999999999997</v>
      </c>
      <c r="F450" s="8">
        <f t="shared" si="36"/>
        <v>45.114499999999992</v>
      </c>
      <c r="G450" s="8">
        <v>30.09</v>
      </c>
      <c r="H450" s="8">
        <v>30.09</v>
      </c>
      <c r="I450" s="8" t="s">
        <v>1471</v>
      </c>
      <c r="J450" s="10">
        <v>0.17699999999999999</v>
      </c>
      <c r="K450" s="10">
        <v>0.17699999999999999</v>
      </c>
      <c r="L450" s="10">
        <f t="shared" si="37"/>
        <v>0.17699999999999999</v>
      </c>
      <c r="M450" s="12">
        <v>13</v>
      </c>
      <c r="N450" s="12">
        <f t="shared" si="38"/>
        <v>15.6</v>
      </c>
      <c r="O450" s="8">
        <v>321.93290999999999</v>
      </c>
      <c r="P450" s="8">
        <f t="shared" si="39"/>
        <v>386.31949199999997</v>
      </c>
      <c r="Q450" s="8">
        <v>509.98999999999995</v>
      </c>
      <c r="R450" s="8">
        <f t="shared" si="40"/>
        <v>703.78619999999989</v>
      </c>
      <c r="S450" s="8">
        <v>-188.05708999999996</v>
      </c>
      <c r="T450" s="8">
        <f t="shared" si="41"/>
        <v>-317.46670799999993</v>
      </c>
    </row>
    <row r="451" spans="1:20" ht="16.5" x14ac:dyDescent="0.3">
      <c r="A451" s="4" t="s">
        <v>525</v>
      </c>
      <c r="B451" s="6">
        <v>45353</v>
      </c>
      <c r="C451" s="14">
        <v>45353</v>
      </c>
      <c r="D451" s="4" t="s">
        <v>1244</v>
      </c>
      <c r="E451" s="8">
        <v>225.01</v>
      </c>
      <c r="F451" s="8">
        <f t="shared" ref="F451:F514" si="42">(E451*(1+$X$3))</f>
        <v>258.76149999999996</v>
      </c>
      <c r="G451" s="8">
        <v>333.48</v>
      </c>
      <c r="H451" s="8">
        <v>333.48</v>
      </c>
      <c r="I451" s="8" t="s">
        <v>1471</v>
      </c>
      <c r="J451" s="10">
        <v>0.11899999999999999</v>
      </c>
      <c r="K451" s="10">
        <v>0.11899999999999999</v>
      </c>
      <c r="L451" s="10">
        <f t="shared" ref="L451:L514" si="43">MIN(K451, $X$2)</f>
        <v>0.11899999999999999</v>
      </c>
      <c r="M451" s="12">
        <v>12</v>
      </c>
      <c r="N451" s="12">
        <f t="shared" ref="N451:N514" si="44">(M451*(1+$X$4))</f>
        <v>14.399999999999999</v>
      </c>
      <c r="O451" s="8">
        <v>3525.5505600000001</v>
      </c>
      <c r="P451" s="8">
        <f t="shared" ref="P451:P514" si="45">(H451*N451*(1-L451))</f>
        <v>4230.660672</v>
      </c>
      <c r="Q451" s="8">
        <v>2700.12</v>
      </c>
      <c r="R451" s="8">
        <f t="shared" ref="R451:R514" si="46">F451*N451</f>
        <v>3726.1655999999989</v>
      </c>
      <c r="S451" s="8">
        <v>825.43056000000024</v>
      </c>
      <c r="T451" s="8">
        <f t="shared" ref="T451:T514" si="47">P451-R451</f>
        <v>504.49507200000107</v>
      </c>
    </row>
    <row r="452" spans="1:20" ht="16.5" x14ac:dyDescent="0.3">
      <c r="A452" s="4" t="s">
        <v>372</v>
      </c>
      <c r="B452" s="6">
        <v>45621</v>
      </c>
      <c r="C452" s="14">
        <v>45621</v>
      </c>
      <c r="D452" s="4" t="s">
        <v>1092</v>
      </c>
      <c r="E452" s="8">
        <v>769.9</v>
      </c>
      <c r="F452" s="8">
        <f t="shared" si="42"/>
        <v>885.38499999999988</v>
      </c>
      <c r="G452" s="8">
        <v>814.36</v>
      </c>
      <c r="H452" s="8">
        <v>814.36</v>
      </c>
      <c r="I452" s="8" t="s">
        <v>1469</v>
      </c>
      <c r="J452" s="10">
        <v>0</v>
      </c>
      <c r="K452" s="10">
        <v>0</v>
      </c>
      <c r="L452" s="10">
        <f t="shared" si="43"/>
        <v>0</v>
      </c>
      <c r="M452" s="12">
        <v>5</v>
      </c>
      <c r="N452" s="12">
        <f t="shared" si="44"/>
        <v>6</v>
      </c>
      <c r="O452" s="8">
        <v>4071.8</v>
      </c>
      <c r="P452" s="8">
        <f t="shared" si="45"/>
        <v>4886.16</v>
      </c>
      <c r="Q452" s="8">
        <v>3849.5</v>
      </c>
      <c r="R452" s="8">
        <f t="shared" si="46"/>
        <v>5312.3099999999995</v>
      </c>
      <c r="S452" s="8">
        <v>222.30000000000018</v>
      </c>
      <c r="T452" s="8">
        <f t="shared" si="47"/>
        <v>-426.14999999999964</v>
      </c>
    </row>
    <row r="453" spans="1:20" ht="16.5" x14ac:dyDescent="0.3">
      <c r="A453" s="4" t="s">
        <v>526</v>
      </c>
      <c r="B453" s="6">
        <v>45575</v>
      </c>
      <c r="C453" s="14">
        <v>45575</v>
      </c>
      <c r="D453" s="4" t="s">
        <v>1245</v>
      </c>
      <c r="E453" s="8">
        <v>1389.46</v>
      </c>
      <c r="F453" s="8">
        <f t="shared" si="42"/>
        <v>1597.8789999999999</v>
      </c>
      <c r="G453" s="8">
        <v>1784.7</v>
      </c>
      <c r="H453" s="8">
        <v>1784.7</v>
      </c>
      <c r="I453" s="8" t="s">
        <v>1470</v>
      </c>
      <c r="J453" s="10">
        <v>0.14599999999999999</v>
      </c>
      <c r="K453" s="10">
        <v>0.14599999999999999</v>
      </c>
      <c r="L453" s="10">
        <f t="shared" si="43"/>
        <v>0.14599999999999999</v>
      </c>
      <c r="M453" s="12">
        <v>33</v>
      </c>
      <c r="N453" s="12">
        <f t="shared" si="44"/>
        <v>39.6</v>
      </c>
      <c r="O453" s="8">
        <v>50296.415399999998</v>
      </c>
      <c r="P453" s="8">
        <f t="shared" si="45"/>
        <v>60355.698480000006</v>
      </c>
      <c r="Q453" s="8">
        <v>45852.18</v>
      </c>
      <c r="R453" s="8">
        <f t="shared" si="46"/>
        <v>63276.008399999999</v>
      </c>
      <c r="S453" s="8">
        <v>4444.2353999999978</v>
      </c>
      <c r="T453" s="8">
        <f t="shared" si="47"/>
        <v>-2920.3099199999924</v>
      </c>
    </row>
    <row r="454" spans="1:20" ht="16.5" x14ac:dyDescent="0.3">
      <c r="A454" s="4" t="s">
        <v>63</v>
      </c>
      <c r="B454" s="6">
        <v>45579</v>
      </c>
      <c r="C454" s="14">
        <v>45579</v>
      </c>
      <c r="D454" s="4" t="s">
        <v>782</v>
      </c>
      <c r="E454" s="8">
        <v>859.35</v>
      </c>
      <c r="F454" s="8">
        <f t="shared" si="42"/>
        <v>988.25249999999994</v>
      </c>
      <c r="G454" s="8">
        <v>1825.61</v>
      </c>
      <c r="H454" s="8">
        <v>1825.61</v>
      </c>
      <c r="I454" s="8" t="s">
        <v>1470</v>
      </c>
      <c r="J454" s="10">
        <v>0.187</v>
      </c>
      <c r="K454" s="10">
        <v>0.187</v>
      </c>
      <c r="L454" s="10">
        <f t="shared" si="43"/>
        <v>0.187</v>
      </c>
      <c r="M454" s="12">
        <v>24</v>
      </c>
      <c r="N454" s="12">
        <f t="shared" si="44"/>
        <v>28.799999999999997</v>
      </c>
      <c r="O454" s="8">
        <v>35621.302319999995</v>
      </c>
      <c r="P454" s="8">
        <f t="shared" si="45"/>
        <v>42745.562783999987</v>
      </c>
      <c r="Q454" s="8">
        <v>20624.400000000001</v>
      </c>
      <c r="R454" s="8">
        <f t="shared" si="46"/>
        <v>28461.671999999995</v>
      </c>
      <c r="S454" s="8">
        <v>14996.902319999994</v>
      </c>
      <c r="T454" s="8">
        <f t="shared" si="47"/>
        <v>14283.890783999992</v>
      </c>
    </row>
    <row r="455" spans="1:20" ht="16.5" x14ac:dyDescent="0.3">
      <c r="A455" s="4" t="s">
        <v>211</v>
      </c>
      <c r="B455" s="6">
        <v>45333</v>
      </c>
      <c r="C455" s="14">
        <v>45333</v>
      </c>
      <c r="D455" s="4" t="s">
        <v>931</v>
      </c>
      <c r="E455" s="8">
        <v>516.86</v>
      </c>
      <c r="F455" s="8">
        <f t="shared" si="42"/>
        <v>594.38900000000001</v>
      </c>
      <c r="G455" s="8">
        <v>852.54</v>
      </c>
      <c r="H455" s="8">
        <v>852.54</v>
      </c>
      <c r="I455" s="8" t="s">
        <v>1469</v>
      </c>
      <c r="J455" s="10">
        <v>5.0999999999999997E-2</v>
      </c>
      <c r="K455" s="10">
        <v>5.0999999999999997E-2</v>
      </c>
      <c r="L455" s="10">
        <f t="shared" si="43"/>
        <v>5.0999999999999997E-2</v>
      </c>
      <c r="M455" s="12">
        <v>14</v>
      </c>
      <c r="N455" s="12">
        <f t="shared" si="44"/>
        <v>16.8</v>
      </c>
      <c r="O455" s="8">
        <v>11326.846439999999</v>
      </c>
      <c r="P455" s="8">
        <f t="shared" si="45"/>
        <v>13592.215727999999</v>
      </c>
      <c r="Q455" s="8">
        <v>7236.04</v>
      </c>
      <c r="R455" s="8">
        <f t="shared" si="46"/>
        <v>9985.735200000001</v>
      </c>
      <c r="S455" s="8">
        <v>4090.8064399999994</v>
      </c>
      <c r="T455" s="8">
        <f t="shared" si="47"/>
        <v>3606.4805279999982</v>
      </c>
    </row>
    <row r="456" spans="1:20" ht="16.5" x14ac:dyDescent="0.3">
      <c r="A456" s="4" t="s">
        <v>189</v>
      </c>
      <c r="B456" s="6">
        <v>45435</v>
      </c>
      <c r="C456" s="14">
        <v>45435</v>
      </c>
      <c r="D456" s="4" t="s">
        <v>908</v>
      </c>
      <c r="E456" s="8">
        <v>180.89</v>
      </c>
      <c r="F456" s="8">
        <f t="shared" si="42"/>
        <v>208.02349999999996</v>
      </c>
      <c r="G456" s="8">
        <v>249.57</v>
      </c>
      <c r="H456" s="8">
        <v>249.57</v>
      </c>
      <c r="I456" s="8" t="s">
        <v>1471</v>
      </c>
      <c r="J456" s="10">
        <v>2.1999999999999999E-2</v>
      </c>
      <c r="K456" s="10">
        <v>2.1999999999999999E-2</v>
      </c>
      <c r="L456" s="10">
        <f t="shared" si="43"/>
        <v>2.1999999999999999E-2</v>
      </c>
      <c r="M456" s="12">
        <v>8</v>
      </c>
      <c r="N456" s="12">
        <f t="shared" si="44"/>
        <v>9.6</v>
      </c>
      <c r="O456" s="8">
        <v>1952.6356799999999</v>
      </c>
      <c r="P456" s="8">
        <f t="shared" si="45"/>
        <v>2343.162816</v>
      </c>
      <c r="Q456" s="8">
        <v>1447.12</v>
      </c>
      <c r="R456" s="8">
        <f t="shared" si="46"/>
        <v>1997.0255999999995</v>
      </c>
      <c r="S456" s="8">
        <v>505.51567999999997</v>
      </c>
      <c r="T456" s="8">
        <f t="shared" si="47"/>
        <v>346.13721600000054</v>
      </c>
    </row>
    <row r="457" spans="1:20" ht="16.5" x14ac:dyDescent="0.3">
      <c r="A457" s="4" t="s">
        <v>450</v>
      </c>
      <c r="B457" s="6">
        <v>45650</v>
      </c>
      <c r="C457" s="14">
        <v>45650</v>
      </c>
      <c r="D457" s="4" t="s">
        <v>1169</v>
      </c>
      <c r="E457" s="8">
        <v>126.15</v>
      </c>
      <c r="F457" s="8">
        <f t="shared" si="42"/>
        <v>145.07249999999999</v>
      </c>
      <c r="G457" s="8">
        <v>284.23</v>
      </c>
      <c r="H457" s="8">
        <v>284.23</v>
      </c>
      <c r="I457" s="8" t="s">
        <v>1471</v>
      </c>
      <c r="J457" s="10">
        <v>0.113</v>
      </c>
      <c r="K457" s="10">
        <v>0.113</v>
      </c>
      <c r="L457" s="10">
        <f t="shared" si="43"/>
        <v>0.113</v>
      </c>
      <c r="M457" s="12">
        <v>22</v>
      </c>
      <c r="N457" s="12">
        <f t="shared" si="44"/>
        <v>26.4</v>
      </c>
      <c r="O457" s="8">
        <v>5546.4642200000008</v>
      </c>
      <c r="P457" s="8">
        <f t="shared" si="45"/>
        <v>6655.7570640000004</v>
      </c>
      <c r="Q457" s="8">
        <v>2775.3</v>
      </c>
      <c r="R457" s="8">
        <f t="shared" si="46"/>
        <v>3829.9139999999998</v>
      </c>
      <c r="S457" s="8">
        <v>2771.1642200000006</v>
      </c>
      <c r="T457" s="8">
        <f t="shared" si="47"/>
        <v>2825.8430640000006</v>
      </c>
    </row>
    <row r="458" spans="1:20" ht="16.5" x14ac:dyDescent="0.3">
      <c r="A458" s="4" t="s">
        <v>413</v>
      </c>
      <c r="B458" s="6">
        <v>45541</v>
      </c>
      <c r="C458" s="14">
        <v>45541</v>
      </c>
      <c r="D458" s="4" t="s">
        <v>1132</v>
      </c>
      <c r="E458" s="8">
        <v>1174.17</v>
      </c>
      <c r="F458" s="8">
        <f t="shared" si="42"/>
        <v>1350.2954999999999</v>
      </c>
      <c r="G458" s="8">
        <v>1641.61</v>
      </c>
      <c r="H458" s="8">
        <v>1641.61</v>
      </c>
      <c r="I458" s="8" t="s">
        <v>1470</v>
      </c>
      <c r="J458" s="10">
        <v>0.122</v>
      </c>
      <c r="K458" s="10">
        <v>0.122</v>
      </c>
      <c r="L458" s="10">
        <f t="shared" si="43"/>
        <v>0.122</v>
      </c>
      <c r="M458" s="12">
        <v>9</v>
      </c>
      <c r="N458" s="12">
        <f t="shared" si="44"/>
        <v>10.799999999999999</v>
      </c>
      <c r="O458" s="8">
        <v>12972.00222</v>
      </c>
      <c r="P458" s="8">
        <f t="shared" si="45"/>
        <v>15566.402663999996</v>
      </c>
      <c r="Q458" s="8">
        <v>10567.53</v>
      </c>
      <c r="R458" s="8">
        <f t="shared" si="46"/>
        <v>14583.191399999998</v>
      </c>
      <c r="S458" s="8">
        <v>2404.4722199999997</v>
      </c>
      <c r="T458" s="8">
        <f t="shared" si="47"/>
        <v>983.21126399999775</v>
      </c>
    </row>
    <row r="459" spans="1:20" ht="16.5" x14ac:dyDescent="0.3">
      <c r="A459" s="4" t="s">
        <v>502</v>
      </c>
      <c r="B459" s="6">
        <v>45424</v>
      </c>
      <c r="C459" s="14">
        <v>45424</v>
      </c>
      <c r="D459" s="4" t="s">
        <v>1221</v>
      </c>
      <c r="E459" s="8">
        <v>111.02</v>
      </c>
      <c r="F459" s="8">
        <f t="shared" si="42"/>
        <v>127.67299999999999</v>
      </c>
      <c r="G459" s="8">
        <v>172.88</v>
      </c>
      <c r="H459" s="8">
        <v>172.88</v>
      </c>
      <c r="I459" s="8" t="s">
        <v>1471</v>
      </c>
      <c r="J459" s="10">
        <v>0.19700000000000001</v>
      </c>
      <c r="K459" s="10">
        <v>0.19700000000000001</v>
      </c>
      <c r="L459" s="10">
        <f t="shared" si="43"/>
        <v>0.19700000000000001</v>
      </c>
      <c r="M459" s="12">
        <v>29</v>
      </c>
      <c r="N459" s="12">
        <f t="shared" si="44"/>
        <v>34.799999999999997</v>
      </c>
      <c r="O459" s="8">
        <v>4025.8565599999993</v>
      </c>
      <c r="P459" s="8">
        <f t="shared" si="45"/>
        <v>4831.0278719999988</v>
      </c>
      <c r="Q459" s="8">
        <v>3219.58</v>
      </c>
      <c r="R459" s="8">
        <f t="shared" si="46"/>
        <v>4443.0203999999994</v>
      </c>
      <c r="S459" s="8">
        <v>806.27655999999934</v>
      </c>
      <c r="T459" s="8">
        <f t="shared" si="47"/>
        <v>388.00747199999932</v>
      </c>
    </row>
    <row r="460" spans="1:20" ht="16.5" x14ac:dyDescent="0.3">
      <c r="A460" s="4" t="s">
        <v>580</v>
      </c>
      <c r="B460" s="6">
        <v>45330</v>
      </c>
      <c r="C460" s="14">
        <v>45330</v>
      </c>
      <c r="D460" s="4" t="s">
        <v>1298</v>
      </c>
      <c r="E460" s="8">
        <v>1233.52</v>
      </c>
      <c r="F460" s="8">
        <f t="shared" si="42"/>
        <v>1418.5479999999998</v>
      </c>
      <c r="G460" s="8">
        <v>1543.76</v>
      </c>
      <c r="H460" s="8">
        <v>1543.76</v>
      </c>
      <c r="I460" s="8" t="s">
        <v>1469</v>
      </c>
      <c r="J460" s="10">
        <v>0.126</v>
      </c>
      <c r="K460" s="10">
        <v>0.126</v>
      </c>
      <c r="L460" s="10">
        <f t="shared" si="43"/>
        <v>0.126</v>
      </c>
      <c r="M460" s="12">
        <v>13</v>
      </c>
      <c r="N460" s="12">
        <f t="shared" si="44"/>
        <v>15.6</v>
      </c>
      <c r="O460" s="8">
        <v>17540.201120000002</v>
      </c>
      <c r="P460" s="8">
        <f t="shared" si="45"/>
        <v>21048.241343999998</v>
      </c>
      <c r="Q460" s="8">
        <v>16035.76</v>
      </c>
      <c r="R460" s="8">
        <f t="shared" si="46"/>
        <v>22129.348799999996</v>
      </c>
      <c r="S460" s="8">
        <v>1504.4411200000013</v>
      </c>
      <c r="T460" s="8">
        <f t="shared" si="47"/>
        <v>-1081.1074559999979</v>
      </c>
    </row>
    <row r="461" spans="1:20" ht="16.5" x14ac:dyDescent="0.3">
      <c r="A461" s="4" t="s">
        <v>226</v>
      </c>
      <c r="B461" s="6">
        <v>45544</v>
      </c>
      <c r="C461" s="14">
        <v>45544</v>
      </c>
      <c r="D461" s="4" t="s">
        <v>946</v>
      </c>
      <c r="E461" s="8">
        <v>1166.18</v>
      </c>
      <c r="F461" s="8">
        <f t="shared" si="42"/>
        <v>1341.107</v>
      </c>
      <c r="G461" s="8">
        <v>1335.02</v>
      </c>
      <c r="H461" s="8">
        <v>1335.02</v>
      </c>
      <c r="I461" s="8" t="s">
        <v>1469</v>
      </c>
      <c r="J461" s="10">
        <v>0.128</v>
      </c>
      <c r="K461" s="10">
        <v>0.128</v>
      </c>
      <c r="L461" s="10">
        <f t="shared" si="43"/>
        <v>0.128</v>
      </c>
      <c r="M461" s="12">
        <v>6</v>
      </c>
      <c r="N461" s="12">
        <f t="shared" si="44"/>
        <v>7.1999999999999993</v>
      </c>
      <c r="O461" s="8">
        <v>6984.8246399999998</v>
      </c>
      <c r="P461" s="8">
        <f t="shared" si="45"/>
        <v>8381.7895679999983</v>
      </c>
      <c r="Q461" s="8">
        <v>6997.08</v>
      </c>
      <c r="R461" s="8">
        <f t="shared" si="46"/>
        <v>9655.9703999999983</v>
      </c>
      <c r="S461" s="8">
        <v>-12.25536000000011</v>
      </c>
      <c r="T461" s="8">
        <f t="shared" si="47"/>
        <v>-1274.180832</v>
      </c>
    </row>
    <row r="462" spans="1:20" ht="16.5" x14ac:dyDescent="0.3">
      <c r="A462" s="4" t="s">
        <v>441</v>
      </c>
      <c r="B462" s="6">
        <v>45522</v>
      </c>
      <c r="C462" s="14">
        <v>45522</v>
      </c>
      <c r="D462" s="4" t="s">
        <v>1160</v>
      </c>
      <c r="E462" s="8">
        <v>1154.03</v>
      </c>
      <c r="F462" s="8">
        <f t="shared" si="42"/>
        <v>1327.1344999999999</v>
      </c>
      <c r="G462" s="8">
        <v>1590.36</v>
      </c>
      <c r="H462" s="8">
        <v>1590.36</v>
      </c>
      <c r="I462" s="8" t="s">
        <v>1470</v>
      </c>
      <c r="J462" s="10">
        <v>0.314</v>
      </c>
      <c r="K462" s="10">
        <v>0.3</v>
      </c>
      <c r="L462" s="10">
        <f t="shared" si="43"/>
        <v>0.25</v>
      </c>
      <c r="M462" s="12">
        <v>18</v>
      </c>
      <c r="N462" s="12">
        <f t="shared" si="44"/>
        <v>21.599999999999998</v>
      </c>
      <c r="O462" s="8">
        <v>20038.536</v>
      </c>
      <c r="P462" s="8">
        <f t="shared" si="45"/>
        <v>25763.831999999999</v>
      </c>
      <c r="Q462" s="8">
        <v>20772.54</v>
      </c>
      <c r="R462" s="8">
        <f t="shared" si="46"/>
        <v>28666.105199999995</v>
      </c>
      <c r="S462" s="8">
        <v>-734.00400000000081</v>
      </c>
      <c r="T462" s="8">
        <f t="shared" si="47"/>
        <v>-2902.273199999996</v>
      </c>
    </row>
    <row r="463" spans="1:20" ht="16.5" x14ac:dyDescent="0.3">
      <c r="A463" s="4" t="s">
        <v>108</v>
      </c>
      <c r="B463" s="6">
        <v>45569</v>
      </c>
      <c r="C463" s="14">
        <v>45569</v>
      </c>
      <c r="D463" s="4" t="s">
        <v>827</v>
      </c>
      <c r="E463" s="8">
        <v>412.09</v>
      </c>
      <c r="F463" s="8">
        <f t="shared" si="42"/>
        <v>473.90349999999995</v>
      </c>
      <c r="G463" s="8">
        <v>968.94</v>
      </c>
      <c r="H463" s="8">
        <v>968.94</v>
      </c>
      <c r="I463" s="8" t="s">
        <v>1469</v>
      </c>
      <c r="J463" s="10">
        <v>9.9000000000000005E-2</v>
      </c>
      <c r="K463" s="10">
        <v>9.9000000000000005E-2</v>
      </c>
      <c r="L463" s="10">
        <f t="shared" si="43"/>
        <v>9.9000000000000005E-2</v>
      </c>
      <c r="M463" s="12">
        <v>23</v>
      </c>
      <c r="N463" s="12">
        <f t="shared" si="44"/>
        <v>27.599999999999998</v>
      </c>
      <c r="O463" s="8">
        <v>20079.343620000003</v>
      </c>
      <c r="P463" s="8">
        <f t="shared" si="45"/>
        <v>24095.212344</v>
      </c>
      <c r="Q463" s="8">
        <v>9478.07</v>
      </c>
      <c r="R463" s="8">
        <f t="shared" si="46"/>
        <v>13079.736599999998</v>
      </c>
      <c r="S463" s="8">
        <v>10601.273620000004</v>
      </c>
      <c r="T463" s="8">
        <f t="shared" si="47"/>
        <v>11015.475744000001</v>
      </c>
    </row>
    <row r="464" spans="1:20" ht="16.5" x14ac:dyDescent="0.3">
      <c r="A464" s="4" t="s">
        <v>57</v>
      </c>
      <c r="B464" s="6">
        <v>45590</v>
      </c>
      <c r="C464" s="14">
        <v>45590</v>
      </c>
      <c r="D464" s="4" t="s">
        <v>776</v>
      </c>
      <c r="E464" s="8">
        <v>1396.48</v>
      </c>
      <c r="F464" s="8">
        <f t="shared" si="42"/>
        <v>1605.952</v>
      </c>
      <c r="G464" s="8">
        <v>3204.5</v>
      </c>
      <c r="H464" s="8">
        <v>3204.5</v>
      </c>
      <c r="I464" s="8" t="s">
        <v>1470</v>
      </c>
      <c r="J464" s="10">
        <v>0.318</v>
      </c>
      <c r="K464" s="10">
        <v>0.3</v>
      </c>
      <c r="L464" s="10">
        <f t="shared" si="43"/>
        <v>0.25</v>
      </c>
      <c r="M464" s="12">
        <v>14</v>
      </c>
      <c r="N464" s="12">
        <f t="shared" si="44"/>
        <v>16.8</v>
      </c>
      <c r="O464" s="8">
        <v>31404.1</v>
      </c>
      <c r="P464" s="8">
        <f t="shared" si="45"/>
        <v>40376.700000000004</v>
      </c>
      <c r="Q464" s="8">
        <v>19550.72</v>
      </c>
      <c r="R464" s="8">
        <f t="shared" si="46"/>
        <v>26979.993600000002</v>
      </c>
      <c r="S464" s="8">
        <v>11853.379999999997</v>
      </c>
      <c r="T464" s="8">
        <f t="shared" si="47"/>
        <v>13396.706400000003</v>
      </c>
    </row>
    <row r="465" spans="1:20" ht="16.5" x14ac:dyDescent="0.3">
      <c r="A465" s="4" t="s">
        <v>215</v>
      </c>
      <c r="B465" s="6">
        <v>45303</v>
      </c>
      <c r="C465" s="14">
        <v>45303</v>
      </c>
      <c r="D465" s="4" t="s">
        <v>935</v>
      </c>
      <c r="E465" s="8">
        <v>493.76</v>
      </c>
      <c r="F465" s="8">
        <f t="shared" si="42"/>
        <v>567.82399999999996</v>
      </c>
      <c r="G465" s="8">
        <v>625.04</v>
      </c>
      <c r="H465" s="8">
        <v>625.04</v>
      </c>
      <c r="I465" s="8" t="s">
        <v>1471</v>
      </c>
      <c r="J465" s="10">
        <v>0.25800000000000001</v>
      </c>
      <c r="K465" s="10">
        <v>0.25800000000000001</v>
      </c>
      <c r="L465" s="10">
        <f t="shared" si="43"/>
        <v>0.25</v>
      </c>
      <c r="M465" s="12">
        <v>10</v>
      </c>
      <c r="N465" s="12">
        <f t="shared" si="44"/>
        <v>12</v>
      </c>
      <c r="O465" s="8">
        <v>4637.7968000000001</v>
      </c>
      <c r="P465" s="8">
        <f t="shared" si="45"/>
        <v>5625.36</v>
      </c>
      <c r="Q465" s="8">
        <v>4937.6000000000004</v>
      </c>
      <c r="R465" s="8">
        <f t="shared" si="46"/>
        <v>6813.887999999999</v>
      </c>
      <c r="S465" s="8">
        <v>-299.80320000000029</v>
      </c>
      <c r="T465" s="8">
        <f t="shared" si="47"/>
        <v>-1188.5279999999993</v>
      </c>
    </row>
    <row r="466" spans="1:20" ht="16.5" x14ac:dyDescent="0.3">
      <c r="A466" s="4" t="s">
        <v>97</v>
      </c>
      <c r="B466" s="6">
        <v>45791</v>
      </c>
      <c r="C466" s="14">
        <v>45791</v>
      </c>
      <c r="D466" s="4" t="s">
        <v>816</v>
      </c>
      <c r="E466" s="8">
        <v>170.39</v>
      </c>
      <c r="F466" s="8">
        <f t="shared" si="42"/>
        <v>195.94849999999997</v>
      </c>
      <c r="G466" s="8">
        <v>388.04</v>
      </c>
      <c r="H466" s="8">
        <v>388.04</v>
      </c>
      <c r="I466" s="8" t="s">
        <v>1471</v>
      </c>
      <c r="J466" s="10">
        <v>8.4000000000000005E-2</v>
      </c>
      <c r="K466" s="10">
        <v>8.4000000000000005E-2</v>
      </c>
      <c r="L466" s="10">
        <f t="shared" si="43"/>
        <v>8.4000000000000005E-2</v>
      </c>
      <c r="M466" s="12">
        <v>15</v>
      </c>
      <c r="N466" s="12">
        <f t="shared" si="44"/>
        <v>18</v>
      </c>
      <c r="O466" s="8">
        <v>5331.6696000000002</v>
      </c>
      <c r="P466" s="8">
        <f t="shared" si="45"/>
        <v>6398.0035200000002</v>
      </c>
      <c r="Q466" s="8">
        <v>2555.85</v>
      </c>
      <c r="R466" s="8">
        <f t="shared" si="46"/>
        <v>3527.0729999999994</v>
      </c>
      <c r="S466" s="8">
        <v>2775.8196000000003</v>
      </c>
      <c r="T466" s="8">
        <f t="shared" si="47"/>
        <v>2870.9305200000008</v>
      </c>
    </row>
    <row r="467" spans="1:20" ht="16.5" x14ac:dyDescent="0.3">
      <c r="A467" s="4" t="s">
        <v>379</v>
      </c>
      <c r="B467" s="6">
        <v>45737</v>
      </c>
      <c r="C467" s="14">
        <v>45737</v>
      </c>
      <c r="D467" s="4" t="s">
        <v>1099</v>
      </c>
      <c r="E467" s="8">
        <v>1055.45</v>
      </c>
      <c r="F467" s="8">
        <f t="shared" si="42"/>
        <v>1213.7674999999999</v>
      </c>
      <c r="G467" s="8">
        <v>1210.04</v>
      </c>
      <c r="H467" s="8">
        <v>1210.04</v>
      </c>
      <c r="I467" s="8" t="s">
        <v>1469</v>
      </c>
      <c r="J467" s="10">
        <v>8.9999999999999993E-3</v>
      </c>
      <c r="K467" s="10">
        <v>8.9999999999999993E-3</v>
      </c>
      <c r="L467" s="10">
        <f t="shared" si="43"/>
        <v>8.9999999999999993E-3</v>
      </c>
      <c r="M467" s="12">
        <v>18</v>
      </c>
      <c r="N467" s="12">
        <f t="shared" si="44"/>
        <v>21.599999999999998</v>
      </c>
      <c r="O467" s="8">
        <v>21584.693520000001</v>
      </c>
      <c r="P467" s="8">
        <f t="shared" si="45"/>
        <v>25901.632223999997</v>
      </c>
      <c r="Q467" s="8">
        <v>18998.100000000002</v>
      </c>
      <c r="R467" s="8">
        <f t="shared" si="46"/>
        <v>26217.377999999997</v>
      </c>
      <c r="S467" s="8">
        <v>2586.5935199999985</v>
      </c>
      <c r="T467" s="8">
        <f t="shared" si="47"/>
        <v>-315.74577599999975</v>
      </c>
    </row>
    <row r="468" spans="1:20" ht="16.5" x14ac:dyDescent="0.3">
      <c r="A468" s="4" t="s">
        <v>251</v>
      </c>
      <c r="B468" s="6">
        <v>45855</v>
      </c>
      <c r="C468" s="14">
        <v>45855</v>
      </c>
      <c r="D468" s="4" t="s">
        <v>971</v>
      </c>
      <c r="E468" s="8">
        <v>1364.89</v>
      </c>
      <c r="F468" s="8">
        <f t="shared" si="42"/>
        <v>1569.6234999999999</v>
      </c>
      <c r="G468" s="8">
        <v>2757.54</v>
      </c>
      <c r="H468" s="8">
        <v>2757.54</v>
      </c>
      <c r="I468" s="8" t="s">
        <v>1470</v>
      </c>
      <c r="J468" s="10">
        <v>0.17199999999999999</v>
      </c>
      <c r="K468" s="10">
        <v>0.17199999999999999</v>
      </c>
      <c r="L468" s="10">
        <f t="shared" si="43"/>
        <v>0.17199999999999999</v>
      </c>
      <c r="M468" s="12">
        <v>61</v>
      </c>
      <c r="N468" s="12">
        <f t="shared" si="44"/>
        <v>73.2</v>
      </c>
      <c r="O468" s="8">
        <v>139277.83032000001</v>
      </c>
      <c r="P468" s="8">
        <f t="shared" si="45"/>
        <v>167133.39638400002</v>
      </c>
      <c r="Q468" s="8">
        <v>83258.290000000008</v>
      </c>
      <c r="R468" s="8">
        <f t="shared" si="46"/>
        <v>114896.4402</v>
      </c>
      <c r="S468" s="8">
        <v>56019.54032</v>
      </c>
      <c r="T468" s="8">
        <f t="shared" si="47"/>
        <v>52236.956184000024</v>
      </c>
    </row>
    <row r="469" spans="1:20" ht="16.5" x14ac:dyDescent="0.3">
      <c r="A469" s="4" t="s">
        <v>528</v>
      </c>
      <c r="B469" s="6">
        <v>45661</v>
      </c>
      <c r="C469" s="14">
        <v>45661</v>
      </c>
      <c r="D469" s="4" t="s">
        <v>1247</v>
      </c>
      <c r="E469" s="8">
        <v>1428.33</v>
      </c>
      <c r="F469" s="8">
        <f t="shared" si="42"/>
        <v>1642.5794999999998</v>
      </c>
      <c r="G469" s="8">
        <v>3028.05</v>
      </c>
      <c r="H469" s="8">
        <v>3028.05</v>
      </c>
      <c r="I469" s="8" t="s">
        <v>1470</v>
      </c>
      <c r="J469" s="10">
        <v>0</v>
      </c>
      <c r="K469" s="10">
        <v>0</v>
      </c>
      <c r="L469" s="10">
        <f t="shared" si="43"/>
        <v>0</v>
      </c>
      <c r="M469" s="12">
        <v>11</v>
      </c>
      <c r="N469" s="12">
        <f t="shared" si="44"/>
        <v>13.2</v>
      </c>
      <c r="O469" s="8">
        <v>33308.550000000003</v>
      </c>
      <c r="P469" s="8">
        <f t="shared" si="45"/>
        <v>39970.26</v>
      </c>
      <c r="Q469" s="8">
        <v>15711.63</v>
      </c>
      <c r="R469" s="8">
        <f t="shared" si="46"/>
        <v>21682.049399999996</v>
      </c>
      <c r="S469" s="8">
        <v>17596.920000000006</v>
      </c>
      <c r="T469" s="8">
        <f t="shared" si="47"/>
        <v>18288.210600000006</v>
      </c>
    </row>
    <row r="470" spans="1:20" ht="16.5" x14ac:dyDescent="0.3">
      <c r="A470" s="4" t="s">
        <v>319</v>
      </c>
      <c r="B470" s="6">
        <v>45756</v>
      </c>
      <c r="C470" s="14">
        <v>45756</v>
      </c>
      <c r="D470" s="4" t="s">
        <v>1039</v>
      </c>
      <c r="E470" s="8">
        <v>86.68</v>
      </c>
      <c r="F470" s="8">
        <f t="shared" si="42"/>
        <v>99.682000000000002</v>
      </c>
      <c r="G470" s="8">
        <v>213.32</v>
      </c>
      <c r="H470" s="8">
        <v>213.32</v>
      </c>
      <c r="I470" s="8" t="s">
        <v>1471</v>
      </c>
      <c r="J470" s="10">
        <v>3.7999999999999999E-2</v>
      </c>
      <c r="K470" s="10">
        <v>3.7999999999999999E-2</v>
      </c>
      <c r="L470" s="10">
        <f t="shared" si="43"/>
        <v>3.7999999999999999E-2</v>
      </c>
      <c r="M470" s="12">
        <v>8</v>
      </c>
      <c r="N470" s="12">
        <f t="shared" si="44"/>
        <v>9.6</v>
      </c>
      <c r="O470" s="8">
        <v>1641.7107199999998</v>
      </c>
      <c r="P470" s="8">
        <f t="shared" si="45"/>
        <v>1970.0528639999998</v>
      </c>
      <c r="Q470" s="8">
        <v>693.44</v>
      </c>
      <c r="R470" s="8">
        <f t="shared" si="46"/>
        <v>956.94719999999995</v>
      </c>
      <c r="S470" s="8">
        <v>948.27071999999976</v>
      </c>
      <c r="T470" s="8">
        <f t="shared" si="47"/>
        <v>1013.1056639999998</v>
      </c>
    </row>
    <row r="471" spans="1:20" ht="16.5" x14ac:dyDescent="0.3">
      <c r="A471" s="4" t="s">
        <v>221</v>
      </c>
      <c r="B471" s="6">
        <v>45678</v>
      </c>
      <c r="C471" s="14">
        <v>45678</v>
      </c>
      <c r="D471" s="4" t="s">
        <v>941</v>
      </c>
      <c r="E471" s="8">
        <v>1030.44</v>
      </c>
      <c r="F471" s="8">
        <f t="shared" si="42"/>
        <v>1185.0059999999999</v>
      </c>
      <c r="G471" s="8">
        <v>2562.84</v>
      </c>
      <c r="H471" s="8">
        <v>2562.84</v>
      </c>
      <c r="I471" s="8" t="s">
        <v>1470</v>
      </c>
      <c r="J471" s="10">
        <v>0.14799999999999999</v>
      </c>
      <c r="K471" s="10">
        <v>0.14799999999999999</v>
      </c>
      <c r="L471" s="10">
        <f t="shared" si="43"/>
        <v>0.14799999999999999</v>
      </c>
      <c r="M471" s="12">
        <v>13</v>
      </c>
      <c r="N471" s="12">
        <f t="shared" si="44"/>
        <v>15.6</v>
      </c>
      <c r="O471" s="8">
        <v>28386.015839999996</v>
      </c>
      <c r="P471" s="8">
        <f t="shared" si="45"/>
        <v>34063.219008</v>
      </c>
      <c r="Q471" s="8">
        <v>13395.720000000001</v>
      </c>
      <c r="R471" s="8">
        <f t="shared" si="46"/>
        <v>18486.093599999997</v>
      </c>
      <c r="S471" s="8">
        <v>14990.295839999995</v>
      </c>
      <c r="T471" s="8">
        <f t="shared" si="47"/>
        <v>15577.125408000004</v>
      </c>
    </row>
    <row r="472" spans="1:20" ht="16.5" x14ac:dyDescent="0.3">
      <c r="A472" s="4" t="s">
        <v>549</v>
      </c>
      <c r="B472" s="6">
        <v>45667</v>
      </c>
      <c r="C472" s="14">
        <v>45667</v>
      </c>
      <c r="D472" s="4" t="s">
        <v>1268</v>
      </c>
      <c r="E472" s="8">
        <v>725.62</v>
      </c>
      <c r="F472" s="8">
        <f t="shared" si="42"/>
        <v>834.46299999999997</v>
      </c>
      <c r="G472" s="8">
        <v>1559.19</v>
      </c>
      <c r="H472" s="8">
        <v>1559.19</v>
      </c>
      <c r="I472" s="8" t="s">
        <v>1470</v>
      </c>
      <c r="J472" s="10">
        <v>0.19</v>
      </c>
      <c r="K472" s="10">
        <v>0.19</v>
      </c>
      <c r="L472" s="10">
        <f t="shared" si="43"/>
        <v>0.19</v>
      </c>
      <c r="M472" s="12">
        <v>12</v>
      </c>
      <c r="N472" s="12">
        <f t="shared" si="44"/>
        <v>14.399999999999999</v>
      </c>
      <c r="O472" s="8">
        <v>15155.326800000001</v>
      </c>
      <c r="P472" s="8">
        <f t="shared" si="45"/>
        <v>18186.392159999999</v>
      </c>
      <c r="Q472" s="8">
        <v>8707.44</v>
      </c>
      <c r="R472" s="8">
        <f t="shared" si="46"/>
        <v>12016.267199999998</v>
      </c>
      <c r="S472" s="8">
        <v>6447.8868000000002</v>
      </c>
      <c r="T472" s="8">
        <f t="shared" si="47"/>
        <v>6170.124960000001</v>
      </c>
    </row>
    <row r="473" spans="1:20" ht="16.5" x14ac:dyDescent="0.3">
      <c r="A473" s="4" t="s">
        <v>632</v>
      </c>
      <c r="B473" s="6">
        <v>45849</v>
      </c>
      <c r="C473" s="14">
        <v>45849</v>
      </c>
      <c r="D473" s="4" t="s">
        <v>1350</v>
      </c>
      <c r="E473" s="8">
        <v>930.03</v>
      </c>
      <c r="F473" s="8">
        <f t="shared" si="42"/>
        <v>1069.5345</v>
      </c>
      <c r="G473" s="8">
        <v>1086.68</v>
      </c>
      <c r="H473" s="8">
        <v>1086.68</v>
      </c>
      <c r="I473" s="8" t="s">
        <v>1469</v>
      </c>
      <c r="J473" s="10">
        <v>0.109</v>
      </c>
      <c r="K473" s="10">
        <v>0.109</v>
      </c>
      <c r="L473" s="10">
        <f t="shared" si="43"/>
        <v>0.109</v>
      </c>
      <c r="M473" s="12">
        <v>26</v>
      </c>
      <c r="N473" s="12">
        <f t="shared" si="44"/>
        <v>31.2</v>
      </c>
      <c r="O473" s="8">
        <v>25174.028880000002</v>
      </c>
      <c r="P473" s="8">
        <f t="shared" si="45"/>
        <v>30208.834656000006</v>
      </c>
      <c r="Q473" s="8">
        <v>24180.78</v>
      </c>
      <c r="R473" s="8">
        <f t="shared" si="46"/>
        <v>33369.4764</v>
      </c>
      <c r="S473" s="8">
        <v>993.24888000000283</v>
      </c>
      <c r="T473" s="8">
        <f t="shared" si="47"/>
        <v>-3160.6417439999932</v>
      </c>
    </row>
    <row r="474" spans="1:20" ht="16.5" x14ac:dyDescent="0.3">
      <c r="A474" s="4" t="s">
        <v>594</v>
      </c>
      <c r="B474" s="6">
        <v>45849</v>
      </c>
      <c r="C474" s="14">
        <v>45849</v>
      </c>
      <c r="D474" s="4" t="s">
        <v>1312</v>
      </c>
      <c r="E474" s="8">
        <v>389.93</v>
      </c>
      <c r="F474" s="8">
        <f t="shared" si="42"/>
        <v>448.41949999999997</v>
      </c>
      <c r="G474" s="8">
        <v>486.13</v>
      </c>
      <c r="H474" s="8">
        <v>486.13</v>
      </c>
      <c r="I474" s="8" t="s">
        <v>1471</v>
      </c>
      <c r="J474" s="10">
        <v>0.13200000000000001</v>
      </c>
      <c r="K474" s="10">
        <v>0.13200000000000001</v>
      </c>
      <c r="L474" s="10">
        <f t="shared" si="43"/>
        <v>0.13200000000000001</v>
      </c>
      <c r="M474" s="12">
        <v>17</v>
      </c>
      <c r="N474" s="12">
        <f t="shared" si="44"/>
        <v>20.399999999999999</v>
      </c>
      <c r="O474" s="8">
        <v>7173.3342799999991</v>
      </c>
      <c r="P474" s="8">
        <f t="shared" si="45"/>
        <v>8608.001135999999</v>
      </c>
      <c r="Q474" s="8">
        <v>6628.81</v>
      </c>
      <c r="R474" s="8">
        <f t="shared" si="46"/>
        <v>9147.7577999999994</v>
      </c>
      <c r="S474" s="8">
        <v>544.52427999999873</v>
      </c>
      <c r="T474" s="8">
        <f t="shared" si="47"/>
        <v>-539.75666400000046</v>
      </c>
    </row>
    <row r="475" spans="1:20" ht="16.5" x14ac:dyDescent="0.3">
      <c r="A475" s="4" t="s">
        <v>18</v>
      </c>
      <c r="B475" s="6">
        <v>45745</v>
      </c>
      <c r="C475" s="14">
        <v>45745</v>
      </c>
      <c r="D475" s="4" t="s">
        <v>737</v>
      </c>
      <c r="E475" s="8">
        <v>259.93</v>
      </c>
      <c r="F475" s="8">
        <f t="shared" si="42"/>
        <v>298.91949999999997</v>
      </c>
      <c r="G475" s="8">
        <v>255.94</v>
      </c>
      <c r="H475" s="8">
        <v>255.94</v>
      </c>
      <c r="I475" s="8" t="s">
        <v>1471</v>
      </c>
      <c r="J475" s="10">
        <v>7.1999999999999995E-2</v>
      </c>
      <c r="K475" s="10">
        <v>7.1999999999999995E-2</v>
      </c>
      <c r="L475" s="10">
        <f t="shared" si="43"/>
        <v>7.1999999999999995E-2</v>
      </c>
      <c r="M475" s="12">
        <v>22</v>
      </c>
      <c r="N475" s="12">
        <f t="shared" si="44"/>
        <v>26.4</v>
      </c>
      <c r="O475" s="8">
        <v>5225.2710400000005</v>
      </c>
      <c r="P475" s="8">
        <f t="shared" si="45"/>
        <v>6270.3252480000001</v>
      </c>
      <c r="Q475" s="8">
        <v>5718.46</v>
      </c>
      <c r="R475" s="8">
        <f t="shared" si="46"/>
        <v>7891.474799999999</v>
      </c>
      <c r="S475" s="8">
        <v>-493.1889599999995</v>
      </c>
      <c r="T475" s="8">
        <f t="shared" si="47"/>
        <v>-1621.1495519999989</v>
      </c>
    </row>
    <row r="476" spans="1:20" ht="16.5" x14ac:dyDescent="0.3">
      <c r="A476" s="4" t="s">
        <v>584</v>
      </c>
      <c r="B476" s="6">
        <v>45760</v>
      </c>
      <c r="C476" s="14">
        <v>45760</v>
      </c>
      <c r="D476" s="4" t="s">
        <v>1302</v>
      </c>
      <c r="E476" s="8">
        <v>138.9</v>
      </c>
      <c r="F476" s="8">
        <f t="shared" si="42"/>
        <v>159.73499999999999</v>
      </c>
      <c r="G476" s="8">
        <v>289.92</v>
      </c>
      <c r="H476" s="8">
        <v>289.92</v>
      </c>
      <c r="I476" s="8" t="s">
        <v>1471</v>
      </c>
      <c r="J476" s="10">
        <v>2.9000000000000001E-2</v>
      </c>
      <c r="K476" s="10">
        <v>2.9000000000000001E-2</v>
      </c>
      <c r="L476" s="10">
        <f t="shared" si="43"/>
        <v>2.9000000000000001E-2</v>
      </c>
      <c r="M476" s="12">
        <v>12</v>
      </c>
      <c r="N476" s="12">
        <f t="shared" si="44"/>
        <v>14.399999999999999</v>
      </c>
      <c r="O476" s="8">
        <v>3378.1478400000001</v>
      </c>
      <c r="P476" s="8">
        <f t="shared" si="45"/>
        <v>4053.7774079999999</v>
      </c>
      <c r="Q476" s="8">
        <v>1666.8000000000002</v>
      </c>
      <c r="R476" s="8">
        <f t="shared" si="46"/>
        <v>2300.1839999999997</v>
      </c>
      <c r="S476" s="8">
        <v>1711.3478399999999</v>
      </c>
      <c r="T476" s="8">
        <f t="shared" si="47"/>
        <v>1753.5934080000002</v>
      </c>
    </row>
    <row r="477" spans="1:20" ht="16.5" x14ac:dyDescent="0.3">
      <c r="A477" s="4" t="s">
        <v>586</v>
      </c>
      <c r="B477" s="6">
        <v>45740</v>
      </c>
      <c r="C477" s="14">
        <v>45740</v>
      </c>
      <c r="D477" s="4" t="s">
        <v>1304</v>
      </c>
      <c r="E477" s="8">
        <v>23.83</v>
      </c>
      <c r="F477" s="8">
        <f t="shared" si="42"/>
        <v>27.404499999999995</v>
      </c>
      <c r="G477" s="8">
        <v>47.29</v>
      </c>
      <c r="H477" s="8">
        <v>47.29</v>
      </c>
      <c r="I477" s="8" t="s">
        <v>1471</v>
      </c>
      <c r="J477" s="10">
        <v>6.4000000000000001E-2</v>
      </c>
      <c r="K477" s="10">
        <v>6.4000000000000001E-2</v>
      </c>
      <c r="L477" s="10">
        <f t="shared" si="43"/>
        <v>6.4000000000000001E-2</v>
      </c>
      <c r="M477" s="12">
        <v>19</v>
      </c>
      <c r="N477" s="12">
        <f t="shared" si="44"/>
        <v>22.8</v>
      </c>
      <c r="O477" s="8">
        <v>841.00536</v>
      </c>
      <c r="P477" s="8">
        <f t="shared" si="45"/>
        <v>1009.2064319999999</v>
      </c>
      <c r="Q477" s="8">
        <v>452.77</v>
      </c>
      <c r="R477" s="8">
        <f t="shared" si="46"/>
        <v>624.82259999999997</v>
      </c>
      <c r="S477" s="8">
        <v>388.23536000000001</v>
      </c>
      <c r="T477" s="8">
        <f t="shared" si="47"/>
        <v>384.38383199999998</v>
      </c>
    </row>
    <row r="478" spans="1:20" ht="16.5" x14ac:dyDescent="0.3">
      <c r="A478" s="4" t="s">
        <v>135</v>
      </c>
      <c r="B478" s="6">
        <v>45827</v>
      </c>
      <c r="C478" s="14">
        <v>45827</v>
      </c>
      <c r="D478" s="4" t="s">
        <v>854</v>
      </c>
      <c r="E478" s="8">
        <v>801.24</v>
      </c>
      <c r="F478" s="8">
        <f t="shared" si="42"/>
        <v>921.42599999999993</v>
      </c>
      <c r="G478" s="8">
        <v>1959.09</v>
      </c>
      <c r="H478" s="8">
        <v>1959.09</v>
      </c>
      <c r="I478" s="8" t="s">
        <v>1470</v>
      </c>
      <c r="J478" s="10">
        <v>0.123</v>
      </c>
      <c r="K478" s="10">
        <v>0.123</v>
      </c>
      <c r="L478" s="10">
        <f t="shared" si="43"/>
        <v>0.123</v>
      </c>
      <c r="M478" s="12">
        <v>23</v>
      </c>
      <c r="N478" s="12">
        <f t="shared" si="44"/>
        <v>27.599999999999998</v>
      </c>
      <c r="O478" s="8">
        <v>39516.804389999998</v>
      </c>
      <c r="P478" s="8">
        <f t="shared" si="45"/>
        <v>47420.16526799999</v>
      </c>
      <c r="Q478" s="8">
        <v>18428.52</v>
      </c>
      <c r="R478" s="8">
        <f t="shared" si="46"/>
        <v>25431.357599999996</v>
      </c>
      <c r="S478" s="8">
        <v>21088.284389999997</v>
      </c>
      <c r="T478" s="8">
        <f t="shared" si="47"/>
        <v>21988.807667999994</v>
      </c>
    </row>
    <row r="479" spans="1:20" ht="16.5" x14ac:dyDescent="0.3">
      <c r="A479" s="4" t="s">
        <v>272</v>
      </c>
      <c r="B479" s="6">
        <v>45835</v>
      </c>
      <c r="C479" s="14">
        <v>45835</v>
      </c>
      <c r="D479" s="4" t="s">
        <v>992</v>
      </c>
      <c r="E479" s="8">
        <v>314.93</v>
      </c>
      <c r="F479" s="8">
        <f t="shared" si="42"/>
        <v>362.16949999999997</v>
      </c>
      <c r="G479" s="8">
        <v>687.95</v>
      </c>
      <c r="H479" s="8">
        <v>687.95</v>
      </c>
      <c r="I479" s="8" t="s">
        <v>1471</v>
      </c>
      <c r="J479" s="10">
        <v>0.20499999999999999</v>
      </c>
      <c r="K479" s="10">
        <v>0.20499999999999999</v>
      </c>
      <c r="L479" s="10">
        <f t="shared" si="43"/>
        <v>0.20499999999999999</v>
      </c>
      <c r="M479" s="12">
        <v>8</v>
      </c>
      <c r="N479" s="12">
        <f t="shared" si="44"/>
        <v>9.6</v>
      </c>
      <c r="O479" s="8">
        <v>4375.3620000000001</v>
      </c>
      <c r="P479" s="8">
        <f t="shared" si="45"/>
        <v>5250.434400000001</v>
      </c>
      <c r="Q479" s="8">
        <v>2519.44</v>
      </c>
      <c r="R479" s="8">
        <f t="shared" si="46"/>
        <v>3476.8271999999997</v>
      </c>
      <c r="S479" s="8">
        <v>1855.922</v>
      </c>
      <c r="T479" s="8">
        <f t="shared" si="47"/>
        <v>1773.6072000000013</v>
      </c>
    </row>
    <row r="480" spans="1:20" ht="16.5" x14ac:dyDescent="0.3">
      <c r="A480" s="4" t="s">
        <v>390</v>
      </c>
      <c r="B480" s="6">
        <v>45835</v>
      </c>
      <c r="C480" s="14">
        <v>45835</v>
      </c>
      <c r="D480" s="4" t="s">
        <v>1110</v>
      </c>
      <c r="E480" s="8">
        <v>1227.7</v>
      </c>
      <c r="F480" s="8">
        <f t="shared" si="42"/>
        <v>1411.855</v>
      </c>
      <c r="G480" s="8">
        <v>2197.23</v>
      </c>
      <c r="H480" s="8">
        <v>2197.23</v>
      </c>
      <c r="I480" s="8" t="s">
        <v>1470</v>
      </c>
      <c r="J480" s="10">
        <v>9.9000000000000005E-2</v>
      </c>
      <c r="K480" s="10">
        <v>9.9000000000000005E-2</v>
      </c>
      <c r="L480" s="10">
        <f t="shared" si="43"/>
        <v>9.9000000000000005E-2</v>
      </c>
      <c r="M480" s="12">
        <v>22</v>
      </c>
      <c r="N480" s="12">
        <f t="shared" si="44"/>
        <v>26.4</v>
      </c>
      <c r="O480" s="8">
        <v>43553.493060000001</v>
      </c>
      <c r="P480" s="8">
        <f t="shared" si="45"/>
        <v>52264.191672000001</v>
      </c>
      <c r="Q480" s="8">
        <v>27009.4</v>
      </c>
      <c r="R480" s="8">
        <f t="shared" si="46"/>
        <v>37272.972000000002</v>
      </c>
      <c r="S480" s="8">
        <v>16544.093059999999</v>
      </c>
      <c r="T480" s="8">
        <f t="shared" si="47"/>
        <v>14991.219671999999</v>
      </c>
    </row>
    <row r="481" spans="1:20" ht="16.5" x14ac:dyDescent="0.3">
      <c r="A481" s="4" t="s">
        <v>616</v>
      </c>
      <c r="B481" s="6">
        <v>45880</v>
      </c>
      <c r="C481" s="14">
        <v>45880</v>
      </c>
      <c r="D481" s="4" t="s">
        <v>1334</v>
      </c>
      <c r="E481" s="8">
        <v>416.16</v>
      </c>
      <c r="F481" s="8">
        <f t="shared" si="42"/>
        <v>478.584</v>
      </c>
      <c r="G481" s="8">
        <v>571.9</v>
      </c>
      <c r="H481" s="8">
        <v>571.9</v>
      </c>
      <c r="I481" s="8" t="s">
        <v>1471</v>
      </c>
      <c r="J481" s="10">
        <v>7.0999999999999994E-2</v>
      </c>
      <c r="K481" s="10">
        <v>7.0999999999999994E-2</v>
      </c>
      <c r="L481" s="10">
        <f t="shared" si="43"/>
        <v>7.0999999999999994E-2</v>
      </c>
      <c r="M481" s="12">
        <v>2</v>
      </c>
      <c r="N481" s="12">
        <f t="shared" si="44"/>
        <v>2.4</v>
      </c>
      <c r="O481" s="8">
        <v>1062.5902000000001</v>
      </c>
      <c r="P481" s="8">
        <f t="shared" si="45"/>
        <v>1275.10824</v>
      </c>
      <c r="Q481" s="8">
        <v>832.32</v>
      </c>
      <c r="R481" s="8">
        <f t="shared" si="46"/>
        <v>1148.6016</v>
      </c>
      <c r="S481" s="8">
        <v>230.27020000000005</v>
      </c>
      <c r="T481" s="8">
        <f t="shared" si="47"/>
        <v>126.50664000000006</v>
      </c>
    </row>
    <row r="482" spans="1:20" ht="16.5" x14ac:dyDescent="0.3">
      <c r="A482" s="4" t="s">
        <v>314</v>
      </c>
      <c r="B482" s="6">
        <v>45787</v>
      </c>
      <c r="C482" s="14">
        <v>45787</v>
      </c>
      <c r="D482" s="4" t="s">
        <v>1034</v>
      </c>
      <c r="E482" s="8">
        <v>862.89</v>
      </c>
      <c r="F482" s="8">
        <f t="shared" si="42"/>
        <v>992.32349999999985</v>
      </c>
      <c r="G482" s="8">
        <v>1426.03</v>
      </c>
      <c r="H482" s="8">
        <v>1426.03</v>
      </c>
      <c r="I482" s="8" t="s">
        <v>1469</v>
      </c>
      <c r="J482" s="10">
        <v>5.6000000000000001E-2</v>
      </c>
      <c r="K482" s="10">
        <v>5.6000000000000001E-2</v>
      </c>
      <c r="L482" s="10">
        <f t="shared" si="43"/>
        <v>5.6000000000000001E-2</v>
      </c>
      <c r="M482" s="12">
        <v>19</v>
      </c>
      <c r="N482" s="12">
        <f t="shared" si="44"/>
        <v>22.8</v>
      </c>
      <c r="O482" s="8">
        <v>25577.274079999999</v>
      </c>
      <c r="P482" s="8">
        <f t="shared" si="45"/>
        <v>30692.728896000001</v>
      </c>
      <c r="Q482" s="8">
        <v>16394.91</v>
      </c>
      <c r="R482" s="8">
        <f t="shared" si="46"/>
        <v>22624.975799999997</v>
      </c>
      <c r="S482" s="8">
        <v>9182.3640799999994</v>
      </c>
      <c r="T482" s="8">
        <f t="shared" si="47"/>
        <v>8067.753096000004</v>
      </c>
    </row>
    <row r="483" spans="1:20" ht="16.5" x14ac:dyDescent="0.3">
      <c r="A483" s="4" t="s">
        <v>394</v>
      </c>
      <c r="B483" s="6">
        <v>45688</v>
      </c>
      <c r="C483" s="14">
        <v>45688</v>
      </c>
      <c r="D483" s="4" t="s">
        <v>812</v>
      </c>
      <c r="E483" s="8">
        <v>378.26</v>
      </c>
      <c r="F483" s="8">
        <f t="shared" si="42"/>
        <v>434.99899999999997</v>
      </c>
      <c r="G483" s="8">
        <v>541.55999999999995</v>
      </c>
      <c r="H483" s="8">
        <v>541.55999999999995</v>
      </c>
      <c r="I483" s="8" t="s">
        <v>1471</v>
      </c>
      <c r="J483" s="10">
        <v>0.16300000000000001</v>
      </c>
      <c r="K483" s="10">
        <v>0.16300000000000001</v>
      </c>
      <c r="L483" s="10">
        <f t="shared" si="43"/>
        <v>0.16300000000000001</v>
      </c>
      <c r="M483" s="12">
        <v>25</v>
      </c>
      <c r="N483" s="12">
        <f t="shared" si="44"/>
        <v>30</v>
      </c>
      <c r="O483" s="8">
        <v>11332.142999999998</v>
      </c>
      <c r="P483" s="8">
        <f t="shared" si="45"/>
        <v>13598.571599999999</v>
      </c>
      <c r="Q483" s="8">
        <v>9456.5</v>
      </c>
      <c r="R483" s="8">
        <f t="shared" si="46"/>
        <v>13049.97</v>
      </c>
      <c r="S483" s="8">
        <v>1875.6429999999982</v>
      </c>
      <c r="T483" s="8">
        <f t="shared" si="47"/>
        <v>548.60159999999996</v>
      </c>
    </row>
    <row r="484" spans="1:20" ht="16.5" x14ac:dyDescent="0.3">
      <c r="A484" s="4" t="s">
        <v>432</v>
      </c>
      <c r="B484" s="6">
        <v>45730</v>
      </c>
      <c r="C484" s="14">
        <v>45730</v>
      </c>
      <c r="D484" s="4" t="s">
        <v>1151</v>
      </c>
      <c r="E484" s="8">
        <v>80.59</v>
      </c>
      <c r="F484" s="8">
        <f t="shared" si="42"/>
        <v>92.6785</v>
      </c>
      <c r="G484" s="8">
        <v>157.82</v>
      </c>
      <c r="H484" s="8">
        <v>157.82</v>
      </c>
      <c r="I484" s="8" t="s">
        <v>1471</v>
      </c>
      <c r="J484" s="10">
        <v>0.217</v>
      </c>
      <c r="K484" s="10">
        <v>0.217</v>
      </c>
      <c r="L484" s="10">
        <f t="shared" si="43"/>
        <v>0.217</v>
      </c>
      <c r="M484" s="12">
        <v>6</v>
      </c>
      <c r="N484" s="12">
        <f t="shared" si="44"/>
        <v>7.1999999999999993</v>
      </c>
      <c r="O484" s="8">
        <v>741.43835999999999</v>
      </c>
      <c r="P484" s="8">
        <f t="shared" si="45"/>
        <v>889.72603199999992</v>
      </c>
      <c r="Q484" s="8">
        <v>483.54</v>
      </c>
      <c r="R484" s="8">
        <f t="shared" si="46"/>
        <v>667.28519999999992</v>
      </c>
      <c r="S484" s="8">
        <v>257.89835999999997</v>
      </c>
      <c r="T484" s="8">
        <f t="shared" si="47"/>
        <v>222.440832</v>
      </c>
    </row>
    <row r="485" spans="1:20" ht="16.5" x14ac:dyDescent="0.3">
      <c r="A485" s="4" t="s">
        <v>329</v>
      </c>
      <c r="B485" s="6">
        <v>45809</v>
      </c>
      <c r="C485" s="14">
        <v>45809</v>
      </c>
      <c r="D485" s="4" t="s">
        <v>1049</v>
      </c>
      <c r="E485" s="8">
        <v>379.45</v>
      </c>
      <c r="F485" s="8">
        <f t="shared" si="42"/>
        <v>436.36749999999995</v>
      </c>
      <c r="G485" s="8">
        <v>742.23</v>
      </c>
      <c r="H485" s="8">
        <v>742.23</v>
      </c>
      <c r="I485" s="8" t="s">
        <v>1469</v>
      </c>
      <c r="J485" s="10">
        <v>0.09</v>
      </c>
      <c r="K485" s="10">
        <v>0.09</v>
      </c>
      <c r="L485" s="10">
        <f t="shared" si="43"/>
        <v>0.09</v>
      </c>
      <c r="M485" s="12">
        <v>13</v>
      </c>
      <c r="N485" s="12">
        <f t="shared" si="44"/>
        <v>15.6</v>
      </c>
      <c r="O485" s="8">
        <v>8780.5809000000008</v>
      </c>
      <c r="P485" s="8">
        <f t="shared" si="45"/>
        <v>10536.69708</v>
      </c>
      <c r="Q485" s="8">
        <v>4932.8499999999995</v>
      </c>
      <c r="R485" s="8">
        <f t="shared" si="46"/>
        <v>6807.3329999999987</v>
      </c>
      <c r="S485" s="8">
        <v>3847.7309000000014</v>
      </c>
      <c r="T485" s="8">
        <f t="shared" si="47"/>
        <v>3729.3640800000012</v>
      </c>
    </row>
    <row r="486" spans="1:20" ht="16.5" x14ac:dyDescent="0.3">
      <c r="A486" s="4" t="s">
        <v>32</v>
      </c>
      <c r="B486" s="6">
        <v>45908</v>
      </c>
      <c r="C486" s="14">
        <v>45908</v>
      </c>
      <c r="D486" s="4" t="s">
        <v>751</v>
      </c>
      <c r="E486" s="8">
        <v>1225.57</v>
      </c>
      <c r="F486" s="8">
        <f t="shared" si="42"/>
        <v>1409.4054999999998</v>
      </c>
      <c r="G486" s="8">
        <v>2705.57</v>
      </c>
      <c r="H486" s="8">
        <v>2705.57</v>
      </c>
      <c r="I486" s="8" t="s">
        <v>1470</v>
      </c>
      <c r="J486" s="10">
        <v>0.183</v>
      </c>
      <c r="K486" s="10">
        <v>0.183</v>
      </c>
      <c r="L486" s="10">
        <f t="shared" si="43"/>
        <v>0.183</v>
      </c>
      <c r="M486" s="12">
        <v>16</v>
      </c>
      <c r="N486" s="12">
        <f t="shared" si="44"/>
        <v>19.2</v>
      </c>
      <c r="O486" s="8">
        <v>35367.211040000002</v>
      </c>
      <c r="P486" s="8">
        <f t="shared" si="45"/>
        <v>42440.653248000002</v>
      </c>
      <c r="Q486" s="8">
        <v>19609.12</v>
      </c>
      <c r="R486" s="8">
        <f t="shared" si="46"/>
        <v>27060.585599999995</v>
      </c>
      <c r="S486" s="8">
        <v>15758.091040000003</v>
      </c>
      <c r="T486" s="8">
        <f t="shared" si="47"/>
        <v>15380.067648000007</v>
      </c>
    </row>
    <row r="487" spans="1:20" ht="16.5" x14ac:dyDescent="0.3">
      <c r="A487" s="4" t="s">
        <v>161</v>
      </c>
      <c r="B487" s="6">
        <v>45911</v>
      </c>
      <c r="C487" s="14">
        <v>45911</v>
      </c>
      <c r="D487" s="4" t="s">
        <v>880</v>
      </c>
      <c r="E487" s="8">
        <v>891.46</v>
      </c>
      <c r="F487" s="8">
        <f t="shared" si="42"/>
        <v>1025.1789999999999</v>
      </c>
      <c r="G487" s="8">
        <v>728.61</v>
      </c>
      <c r="H487" s="8">
        <v>728.61</v>
      </c>
      <c r="I487" s="8" t="s">
        <v>1469</v>
      </c>
      <c r="J487" s="10">
        <v>0.185</v>
      </c>
      <c r="K487" s="10">
        <v>0.185</v>
      </c>
      <c r="L487" s="10">
        <f t="shared" si="43"/>
        <v>0.185</v>
      </c>
      <c r="M487" s="12">
        <v>6</v>
      </c>
      <c r="N487" s="12">
        <f t="shared" si="44"/>
        <v>7.1999999999999993</v>
      </c>
      <c r="O487" s="8">
        <v>3562.9028999999996</v>
      </c>
      <c r="P487" s="8">
        <f t="shared" si="45"/>
        <v>4275.483479999999</v>
      </c>
      <c r="Q487" s="8">
        <v>5348.76</v>
      </c>
      <c r="R487" s="8">
        <f t="shared" si="46"/>
        <v>7381.2887999999984</v>
      </c>
      <c r="S487" s="8">
        <v>-1785.8571000000006</v>
      </c>
      <c r="T487" s="8">
        <f t="shared" si="47"/>
        <v>-3105.8053199999995</v>
      </c>
    </row>
    <row r="488" spans="1:20" ht="16.5" x14ac:dyDescent="0.3">
      <c r="A488" s="4" t="s">
        <v>165</v>
      </c>
      <c r="B488" s="6">
        <v>45763</v>
      </c>
      <c r="C488" s="14">
        <v>45763</v>
      </c>
      <c r="D488" s="4" t="s">
        <v>884</v>
      </c>
      <c r="E488" s="8">
        <v>763.32</v>
      </c>
      <c r="F488" s="8">
        <f t="shared" si="42"/>
        <v>877.81799999999998</v>
      </c>
      <c r="G488" s="8">
        <v>568.29</v>
      </c>
      <c r="H488" s="8">
        <v>568.29</v>
      </c>
      <c r="I488" s="8" t="s">
        <v>1471</v>
      </c>
      <c r="J488" s="10">
        <v>0.13100000000000001</v>
      </c>
      <c r="K488" s="10">
        <v>0.13100000000000001</v>
      </c>
      <c r="L488" s="10">
        <f t="shared" si="43"/>
        <v>0.13100000000000001</v>
      </c>
      <c r="M488" s="12">
        <v>16</v>
      </c>
      <c r="N488" s="12">
        <f t="shared" si="44"/>
        <v>19.2</v>
      </c>
      <c r="O488" s="8">
        <v>7901.5041599999995</v>
      </c>
      <c r="P488" s="8">
        <f t="shared" si="45"/>
        <v>9481.8049919999994</v>
      </c>
      <c r="Q488" s="8">
        <v>12213.12</v>
      </c>
      <c r="R488" s="8">
        <f t="shared" si="46"/>
        <v>16854.105599999999</v>
      </c>
      <c r="S488" s="8">
        <v>-4311.6158400000013</v>
      </c>
      <c r="T488" s="8">
        <f t="shared" si="47"/>
        <v>-7372.3006079999996</v>
      </c>
    </row>
    <row r="489" spans="1:20" ht="16.5" x14ac:dyDescent="0.3">
      <c r="A489" s="4" t="s">
        <v>599</v>
      </c>
      <c r="B489" s="6">
        <v>45764</v>
      </c>
      <c r="C489" s="14">
        <v>45764</v>
      </c>
      <c r="D489" s="4" t="s">
        <v>1317</v>
      </c>
      <c r="E489" s="8">
        <v>719.41</v>
      </c>
      <c r="F489" s="8">
        <f t="shared" si="42"/>
        <v>827.3214999999999</v>
      </c>
      <c r="G489" s="8">
        <v>1125.99</v>
      </c>
      <c r="H489" s="8">
        <v>1125.99</v>
      </c>
      <c r="I489" s="8" t="s">
        <v>1469</v>
      </c>
      <c r="J489" s="10">
        <v>4.1000000000000002E-2</v>
      </c>
      <c r="K489" s="10">
        <v>4.1000000000000002E-2</v>
      </c>
      <c r="L489" s="10">
        <f t="shared" si="43"/>
        <v>4.1000000000000002E-2</v>
      </c>
      <c r="M489" s="12">
        <v>21</v>
      </c>
      <c r="N489" s="12">
        <f t="shared" si="44"/>
        <v>25.2</v>
      </c>
      <c r="O489" s="8">
        <v>22676.312610000001</v>
      </c>
      <c r="P489" s="8">
        <f t="shared" si="45"/>
        <v>27211.575131999998</v>
      </c>
      <c r="Q489" s="8">
        <v>15107.609999999999</v>
      </c>
      <c r="R489" s="8">
        <f t="shared" si="46"/>
        <v>20848.501799999998</v>
      </c>
      <c r="S489" s="8">
        <v>7568.7026100000021</v>
      </c>
      <c r="T489" s="8">
        <f t="shared" si="47"/>
        <v>6363.0733319999999</v>
      </c>
    </row>
    <row r="490" spans="1:20" ht="16.5" x14ac:dyDescent="0.3">
      <c r="A490" s="4" t="s">
        <v>263</v>
      </c>
      <c r="B490" s="6">
        <v>45912</v>
      </c>
      <c r="C490" s="14">
        <v>45912</v>
      </c>
      <c r="D490" s="4" t="s">
        <v>983</v>
      </c>
      <c r="E490" s="8">
        <v>1212.99</v>
      </c>
      <c r="F490" s="8">
        <f t="shared" si="42"/>
        <v>1394.9385</v>
      </c>
      <c r="G490" s="8">
        <v>1653.64</v>
      </c>
      <c r="H490" s="8">
        <v>1653.64</v>
      </c>
      <c r="I490" s="8" t="s">
        <v>1470</v>
      </c>
      <c r="J490" s="10">
        <v>0.107</v>
      </c>
      <c r="K490" s="10">
        <v>0.107</v>
      </c>
      <c r="L490" s="10">
        <f t="shared" si="43"/>
        <v>0.107</v>
      </c>
      <c r="M490" s="12">
        <v>8</v>
      </c>
      <c r="N490" s="12">
        <f t="shared" si="44"/>
        <v>9.6</v>
      </c>
      <c r="O490" s="8">
        <v>11813.604160000001</v>
      </c>
      <c r="P490" s="8">
        <f t="shared" si="45"/>
        <v>14176.324992</v>
      </c>
      <c r="Q490" s="8">
        <v>9703.92</v>
      </c>
      <c r="R490" s="8">
        <f t="shared" si="46"/>
        <v>13391.409599999999</v>
      </c>
      <c r="S490" s="8">
        <v>2109.6841600000007</v>
      </c>
      <c r="T490" s="8">
        <f t="shared" si="47"/>
        <v>784.91539200000079</v>
      </c>
    </row>
    <row r="491" spans="1:20" ht="16.5" x14ac:dyDescent="0.3">
      <c r="A491" s="4" t="s">
        <v>497</v>
      </c>
      <c r="B491" s="6">
        <v>45775</v>
      </c>
      <c r="C491" s="14">
        <v>45775</v>
      </c>
      <c r="D491" s="4" t="s">
        <v>1216</v>
      </c>
      <c r="E491" s="8">
        <v>350.76</v>
      </c>
      <c r="F491" s="8">
        <f t="shared" si="42"/>
        <v>403.37399999999997</v>
      </c>
      <c r="G491" s="8">
        <v>492.18</v>
      </c>
      <c r="H491" s="8">
        <v>492.18</v>
      </c>
      <c r="I491" s="8" t="s">
        <v>1471</v>
      </c>
      <c r="J491" s="10">
        <v>5.2999999999999999E-2</v>
      </c>
      <c r="K491" s="10">
        <v>5.2999999999999999E-2</v>
      </c>
      <c r="L491" s="10">
        <f t="shared" si="43"/>
        <v>5.2999999999999999E-2</v>
      </c>
      <c r="M491" s="12">
        <v>11</v>
      </c>
      <c r="N491" s="12">
        <f t="shared" si="44"/>
        <v>13.2</v>
      </c>
      <c r="O491" s="8">
        <v>5127.0390600000001</v>
      </c>
      <c r="P491" s="8">
        <f t="shared" si="45"/>
        <v>6152.4468719999995</v>
      </c>
      <c r="Q491" s="8">
        <v>3858.3599999999997</v>
      </c>
      <c r="R491" s="8">
        <f t="shared" si="46"/>
        <v>5324.5367999999989</v>
      </c>
      <c r="S491" s="8">
        <v>1268.6790600000004</v>
      </c>
      <c r="T491" s="8">
        <f t="shared" si="47"/>
        <v>827.91007200000058</v>
      </c>
    </row>
    <row r="492" spans="1:20" ht="16.5" x14ac:dyDescent="0.3">
      <c r="A492" s="4" t="s">
        <v>503</v>
      </c>
      <c r="B492" s="6">
        <v>45792</v>
      </c>
      <c r="C492" s="14">
        <v>45792</v>
      </c>
      <c r="D492" s="4" t="s">
        <v>1222</v>
      </c>
      <c r="E492" s="8">
        <v>1466.5</v>
      </c>
      <c r="F492" s="8">
        <f t="shared" si="42"/>
        <v>1686.4749999999999</v>
      </c>
      <c r="G492" s="8">
        <v>2778.74</v>
      </c>
      <c r="H492" s="8">
        <v>2778.74</v>
      </c>
      <c r="I492" s="8" t="s">
        <v>1470</v>
      </c>
      <c r="J492" s="10">
        <v>0.13500000000000001</v>
      </c>
      <c r="K492" s="10">
        <v>0.13500000000000001</v>
      </c>
      <c r="L492" s="10">
        <f t="shared" si="43"/>
        <v>0.13500000000000001</v>
      </c>
      <c r="M492" s="12">
        <v>4</v>
      </c>
      <c r="N492" s="12">
        <f t="shared" si="44"/>
        <v>4.8</v>
      </c>
      <c r="O492" s="8">
        <v>9614.4403999999995</v>
      </c>
      <c r="P492" s="8">
        <f t="shared" si="45"/>
        <v>11537.32848</v>
      </c>
      <c r="Q492" s="8">
        <v>5866</v>
      </c>
      <c r="R492" s="8">
        <f t="shared" si="46"/>
        <v>8095.079999999999</v>
      </c>
      <c r="S492" s="8">
        <v>3748.4403999999995</v>
      </c>
      <c r="T492" s="8">
        <f t="shared" si="47"/>
        <v>3442.2484800000011</v>
      </c>
    </row>
    <row r="493" spans="1:20" ht="16.5" x14ac:dyDescent="0.3">
      <c r="A493" s="4" t="s">
        <v>621</v>
      </c>
      <c r="B493" s="6">
        <v>45827</v>
      </c>
      <c r="C493" s="14">
        <v>45827</v>
      </c>
      <c r="D493" s="4" t="s">
        <v>1339</v>
      </c>
      <c r="E493" s="8">
        <v>1466.27</v>
      </c>
      <c r="F493" s="8">
        <f t="shared" si="42"/>
        <v>1686.2104999999999</v>
      </c>
      <c r="G493" s="8">
        <v>3589.89</v>
      </c>
      <c r="H493" s="8">
        <v>3589.89</v>
      </c>
      <c r="I493" s="8" t="s">
        <v>1470</v>
      </c>
      <c r="J493" s="10">
        <v>9.7000000000000003E-2</v>
      </c>
      <c r="K493" s="10">
        <v>9.7000000000000003E-2</v>
      </c>
      <c r="L493" s="10">
        <f t="shared" si="43"/>
        <v>9.7000000000000003E-2</v>
      </c>
      <c r="M493" s="12">
        <v>9</v>
      </c>
      <c r="N493" s="12">
        <f t="shared" si="44"/>
        <v>10.799999999999999</v>
      </c>
      <c r="O493" s="8">
        <v>29175.036029999999</v>
      </c>
      <c r="P493" s="8">
        <f t="shared" si="45"/>
        <v>35010.043235999998</v>
      </c>
      <c r="Q493" s="8">
        <v>13196.43</v>
      </c>
      <c r="R493" s="8">
        <f t="shared" si="46"/>
        <v>18211.073399999997</v>
      </c>
      <c r="S493" s="8">
        <v>15978.606029999999</v>
      </c>
      <c r="T493" s="8">
        <f t="shared" si="47"/>
        <v>16798.969836</v>
      </c>
    </row>
    <row r="494" spans="1:20" ht="16.5" x14ac:dyDescent="0.3">
      <c r="A494" s="4" t="s">
        <v>111</v>
      </c>
      <c r="B494" s="6">
        <v>45870</v>
      </c>
      <c r="C494" s="14">
        <v>45870</v>
      </c>
      <c r="D494" s="4" t="s">
        <v>830</v>
      </c>
      <c r="E494" s="8">
        <v>24.44</v>
      </c>
      <c r="F494" s="8">
        <f t="shared" si="42"/>
        <v>28.105999999999998</v>
      </c>
      <c r="G494" s="8">
        <v>28.69</v>
      </c>
      <c r="H494" s="8">
        <v>28.69</v>
      </c>
      <c r="I494" s="8" t="s">
        <v>1471</v>
      </c>
      <c r="J494" s="10">
        <v>0.14599999999999999</v>
      </c>
      <c r="K494" s="10">
        <v>0.14599999999999999</v>
      </c>
      <c r="L494" s="10">
        <f t="shared" si="43"/>
        <v>0.14599999999999999</v>
      </c>
      <c r="M494" s="12">
        <v>6</v>
      </c>
      <c r="N494" s="12">
        <f t="shared" si="44"/>
        <v>7.1999999999999993</v>
      </c>
      <c r="O494" s="8">
        <v>147.00756000000001</v>
      </c>
      <c r="P494" s="8">
        <f t="shared" si="45"/>
        <v>176.40907199999998</v>
      </c>
      <c r="Q494" s="8">
        <v>146.64000000000001</v>
      </c>
      <c r="R494" s="8">
        <f t="shared" si="46"/>
        <v>202.36319999999998</v>
      </c>
      <c r="S494" s="8">
        <v>0.36755999999999744</v>
      </c>
      <c r="T494" s="8">
        <f t="shared" si="47"/>
        <v>-25.954127999999997</v>
      </c>
    </row>
    <row r="495" spans="1:20" ht="16.5" x14ac:dyDescent="0.3">
      <c r="A495" s="4" t="s">
        <v>387</v>
      </c>
      <c r="B495" s="6">
        <v>45751</v>
      </c>
      <c r="C495" s="14">
        <v>45751</v>
      </c>
      <c r="D495" s="4" t="s">
        <v>1107</v>
      </c>
      <c r="E495" s="8">
        <v>290.14</v>
      </c>
      <c r="F495" s="8">
        <f t="shared" si="42"/>
        <v>333.66099999999994</v>
      </c>
      <c r="G495" s="8">
        <v>250.73</v>
      </c>
      <c r="H495" s="8">
        <v>250.73</v>
      </c>
      <c r="I495" s="8" t="s">
        <v>1471</v>
      </c>
      <c r="J495" s="10">
        <v>3.4000000000000002E-2</v>
      </c>
      <c r="K495" s="10">
        <v>3.4000000000000002E-2</v>
      </c>
      <c r="L495" s="10">
        <f t="shared" si="43"/>
        <v>3.4000000000000002E-2</v>
      </c>
      <c r="M495" s="12">
        <v>17</v>
      </c>
      <c r="N495" s="12">
        <f t="shared" si="44"/>
        <v>20.399999999999999</v>
      </c>
      <c r="O495" s="8">
        <v>4117.4880599999997</v>
      </c>
      <c r="P495" s="8">
        <f t="shared" si="45"/>
        <v>4940.9856719999998</v>
      </c>
      <c r="Q495" s="8">
        <v>4932.38</v>
      </c>
      <c r="R495" s="8">
        <f t="shared" si="46"/>
        <v>6806.6843999999983</v>
      </c>
      <c r="S495" s="8">
        <v>-814.89194000000043</v>
      </c>
      <c r="T495" s="8">
        <f t="shared" si="47"/>
        <v>-1865.6987279999985</v>
      </c>
    </row>
    <row r="496" spans="1:20" ht="16.5" x14ac:dyDescent="0.3">
      <c r="A496" s="4" t="s">
        <v>435</v>
      </c>
      <c r="B496" s="6">
        <v>45713</v>
      </c>
      <c r="C496" s="14">
        <v>45713</v>
      </c>
      <c r="D496" s="4" t="s">
        <v>1154</v>
      </c>
      <c r="E496" s="8">
        <v>1205.26</v>
      </c>
      <c r="F496" s="8">
        <f t="shared" si="42"/>
        <v>1386.049</v>
      </c>
      <c r="G496" s="8">
        <v>1696.35</v>
      </c>
      <c r="H496" s="8">
        <v>1696.35</v>
      </c>
      <c r="I496" s="8" t="s">
        <v>1470</v>
      </c>
      <c r="J496" s="10">
        <v>1.9E-2</v>
      </c>
      <c r="K496" s="10">
        <v>1.9E-2</v>
      </c>
      <c r="L496" s="10">
        <f t="shared" si="43"/>
        <v>1.9E-2</v>
      </c>
      <c r="M496" s="12">
        <v>6</v>
      </c>
      <c r="N496" s="12">
        <f t="shared" si="44"/>
        <v>7.1999999999999993</v>
      </c>
      <c r="O496" s="8">
        <v>9984.7160999999978</v>
      </c>
      <c r="P496" s="8">
        <f t="shared" si="45"/>
        <v>11981.659319999997</v>
      </c>
      <c r="Q496" s="8">
        <v>7231.5599999999995</v>
      </c>
      <c r="R496" s="8">
        <f t="shared" si="46"/>
        <v>9979.5527999999995</v>
      </c>
      <c r="S496" s="8">
        <v>2753.1560999999983</v>
      </c>
      <c r="T496" s="8">
        <f t="shared" si="47"/>
        <v>2002.1065199999975</v>
      </c>
    </row>
    <row r="497" spans="1:20" ht="16.5" x14ac:dyDescent="0.3">
      <c r="A497" s="4" t="s">
        <v>317</v>
      </c>
      <c r="B497" s="6">
        <v>45830</v>
      </c>
      <c r="C497" s="14">
        <v>45830</v>
      </c>
      <c r="D497" s="4" t="s">
        <v>1037</v>
      </c>
      <c r="E497" s="8">
        <v>892.73</v>
      </c>
      <c r="F497" s="8">
        <f t="shared" si="42"/>
        <v>1026.6395</v>
      </c>
      <c r="G497" s="8">
        <v>979.84</v>
      </c>
      <c r="H497" s="8">
        <v>979.84</v>
      </c>
      <c r="I497" s="8" t="s">
        <v>1469</v>
      </c>
      <c r="J497" s="10">
        <v>0.17399999999999999</v>
      </c>
      <c r="K497" s="10">
        <v>0.17399999999999999</v>
      </c>
      <c r="L497" s="10">
        <f t="shared" si="43"/>
        <v>0.17399999999999999</v>
      </c>
      <c r="M497" s="12">
        <v>10</v>
      </c>
      <c r="N497" s="12">
        <f t="shared" si="44"/>
        <v>12</v>
      </c>
      <c r="O497" s="8">
        <v>8093.4784</v>
      </c>
      <c r="P497" s="8">
        <f t="shared" si="45"/>
        <v>9712.1740800000007</v>
      </c>
      <c r="Q497" s="8">
        <v>8927.2999999999993</v>
      </c>
      <c r="R497" s="8">
        <f t="shared" si="46"/>
        <v>12319.673999999999</v>
      </c>
      <c r="S497" s="8">
        <v>-833.82159999999931</v>
      </c>
      <c r="T497" s="8">
        <f t="shared" si="47"/>
        <v>-2607.4999199999984</v>
      </c>
    </row>
    <row r="498" spans="1:20" ht="16.5" x14ac:dyDescent="0.3">
      <c r="A498" s="4" t="s">
        <v>603</v>
      </c>
      <c r="B498" s="6">
        <v>45703</v>
      </c>
      <c r="C498" s="14">
        <v>45703</v>
      </c>
      <c r="D498" s="4" t="s">
        <v>1321</v>
      </c>
      <c r="E498" s="8">
        <v>1027.26</v>
      </c>
      <c r="F498" s="8">
        <f t="shared" si="42"/>
        <v>1181.3489999999999</v>
      </c>
      <c r="G498" s="8">
        <v>2200.41</v>
      </c>
      <c r="H498" s="8">
        <v>2200.41</v>
      </c>
      <c r="I498" s="8" t="s">
        <v>1470</v>
      </c>
      <c r="J498" s="10">
        <v>8.7999999999999995E-2</v>
      </c>
      <c r="K498" s="10">
        <v>8.7999999999999995E-2</v>
      </c>
      <c r="L498" s="10">
        <f t="shared" si="43"/>
        <v>8.7999999999999995E-2</v>
      </c>
      <c r="M498" s="12">
        <v>6</v>
      </c>
      <c r="N498" s="12">
        <f t="shared" si="44"/>
        <v>7.1999999999999993</v>
      </c>
      <c r="O498" s="8">
        <v>12040.64352</v>
      </c>
      <c r="P498" s="8">
        <f t="shared" si="45"/>
        <v>14448.772223999998</v>
      </c>
      <c r="Q498" s="8">
        <v>6163.5599999999995</v>
      </c>
      <c r="R498" s="8">
        <f t="shared" si="46"/>
        <v>8505.7127999999993</v>
      </c>
      <c r="S498" s="8">
        <v>5877.0835200000001</v>
      </c>
      <c r="T498" s="8">
        <f t="shared" si="47"/>
        <v>5943.0594239999991</v>
      </c>
    </row>
    <row r="499" spans="1:20" ht="16.5" x14ac:dyDescent="0.3">
      <c r="A499" s="4" t="s">
        <v>590</v>
      </c>
      <c r="B499" s="6">
        <v>45872</v>
      </c>
      <c r="C499" s="14">
        <v>45872</v>
      </c>
      <c r="D499" s="4" t="s">
        <v>1308</v>
      </c>
      <c r="E499" s="8">
        <v>698.66</v>
      </c>
      <c r="F499" s="8">
        <f t="shared" si="42"/>
        <v>803.45899999999995</v>
      </c>
      <c r="G499" s="8">
        <v>868.62</v>
      </c>
      <c r="H499" s="8">
        <v>868.62</v>
      </c>
      <c r="I499" s="8" t="s">
        <v>1469</v>
      </c>
      <c r="J499" s="10">
        <v>7.1999999999999995E-2</v>
      </c>
      <c r="K499" s="10">
        <v>7.1999999999999995E-2</v>
      </c>
      <c r="L499" s="10">
        <f t="shared" si="43"/>
        <v>7.1999999999999995E-2</v>
      </c>
      <c r="M499" s="12">
        <v>15</v>
      </c>
      <c r="N499" s="12">
        <f t="shared" si="44"/>
        <v>18</v>
      </c>
      <c r="O499" s="8">
        <v>12091.190399999999</v>
      </c>
      <c r="P499" s="8">
        <f t="shared" si="45"/>
        <v>14509.42848</v>
      </c>
      <c r="Q499" s="8">
        <v>10479.9</v>
      </c>
      <c r="R499" s="8">
        <f t="shared" si="46"/>
        <v>14462.261999999999</v>
      </c>
      <c r="S499" s="8">
        <v>1611.2903999999999</v>
      </c>
      <c r="T499" s="8">
        <f t="shared" si="47"/>
        <v>47.166480000001684</v>
      </c>
    </row>
    <row r="500" spans="1:20" ht="16.5" x14ac:dyDescent="0.3">
      <c r="A500" s="4" t="s">
        <v>242</v>
      </c>
      <c r="B500" s="6">
        <v>45879</v>
      </c>
      <c r="C500" s="14">
        <v>45879</v>
      </c>
      <c r="D500" s="4" t="s">
        <v>962</v>
      </c>
      <c r="E500" s="8">
        <v>933.29</v>
      </c>
      <c r="F500" s="8">
        <f t="shared" si="42"/>
        <v>1073.2834999999998</v>
      </c>
      <c r="G500" s="8">
        <v>1456.81</v>
      </c>
      <c r="H500" s="8">
        <v>1456.81</v>
      </c>
      <c r="I500" s="8" t="s">
        <v>1469</v>
      </c>
      <c r="J500" s="10">
        <v>0.123</v>
      </c>
      <c r="K500" s="10">
        <v>0.123</v>
      </c>
      <c r="L500" s="10">
        <f t="shared" si="43"/>
        <v>0.123</v>
      </c>
      <c r="M500" s="12">
        <v>13</v>
      </c>
      <c r="N500" s="12">
        <f t="shared" si="44"/>
        <v>15.6</v>
      </c>
      <c r="O500" s="8">
        <v>16609.090809999998</v>
      </c>
      <c r="P500" s="8">
        <f t="shared" si="45"/>
        <v>19930.908971999997</v>
      </c>
      <c r="Q500" s="8">
        <v>12132.77</v>
      </c>
      <c r="R500" s="8">
        <f t="shared" si="46"/>
        <v>16743.222599999997</v>
      </c>
      <c r="S500" s="8">
        <v>4476.3208099999974</v>
      </c>
      <c r="T500" s="8">
        <f t="shared" si="47"/>
        <v>3187.6863720000001</v>
      </c>
    </row>
    <row r="501" spans="1:20" ht="16.5" x14ac:dyDescent="0.3">
      <c r="A501" s="4" t="s">
        <v>477</v>
      </c>
      <c r="B501" s="6">
        <v>45757</v>
      </c>
      <c r="C501" s="14">
        <v>45757</v>
      </c>
      <c r="D501" s="4" t="s">
        <v>1196</v>
      </c>
      <c r="E501" s="8">
        <v>113.74</v>
      </c>
      <c r="F501" s="8">
        <f t="shared" si="42"/>
        <v>130.80099999999999</v>
      </c>
      <c r="G501" s="8">
        <v>165.7</v>
      </c>
      <c r="H501" s="8">
        <v>165.7</v>
      </c>
      <c r="I501" s="8" t="s">
        <v>1471</v>
      </c>
      <c r="J501" s="10">
        <v>0.124</v>
      </c>
      <c r="K501" s="10">
        <v>0.124</v>
      </c>
      <c r="L501" s="10">
        <f t="shared" si="43"/>
        <v>0.124</v>
      </c>
      <c r="M501" s="12">
        <v>13</v>
      </c>
      <c r="N501" s="12">
        <f t="shared" si="44"/>
        <v>15.6</v>
      </c>
      <c r="O501" s="8">
        <v>1886.9915999999998</v>
      </c>
      <c r="P501" s="8">
        <f t="shared" si="45"/>
        <v>2264.3899199999996</v>
      </c>
      <c r="Q501" s="8">
        <v>1478.62</v>
      </c>
      <c r="R501" s="8">
        <f t="shared" si="46"/>
        <v>2040.4955999999997</v>
      </c>
      <c r="S501" s="8">
        <v>408.37159999999994</v>
      </c>
      <c r="T501" s="8">
        <f t="shared" si="47"/>
        <v>223.89431999999988</v>
      </c>
    </row>
    <row r="502" spans="1:20" ht="16.5" x14ac:dyDescent="0.3">
      <c r="A502" s="4" t="s">
        <v>383</v>
      </c>
      <c r="B502" s="6">
        <v>45832</v>
      </c>
      <c r="C502" s="14">
        <v>45832</v>
      </c>
      <c r="D502" s="4" t="s">
        <v>1103</v>
      </c>
      <c r="E502" s="8">
        <v>255.4</v>
      </c>
      <c r="F502" s="8">
        <f t="shared" si="42"/>
        <v>293.70999999999998</v>
      </c>
      <c r="G502" s="8">
        <v>322.70999999999998</v>
      </c>
      <c r="H502" s="8">
        <v>322.70999999999998</v>
      </c>
      <c r="I502" s="8" t="s">
        <v>1471</v>
      </c>
      <c r="J502" s="10">
        <v>0.115</v>
      </c>
      <c r="K502" s="10">
        <v>0.115</v>
      </c>
      <c r="L502" s="10">
        <f t="shared" si="43"/>
        <v>0.115</v>
      </c>
      <c r="M502" s="12">
        <v>16</v>
      </c>
      <c r="N502" s="12">
        <f t="shared" si="44"/>
        <v>19.2</v>
      </c>
      <c r="O502" s="8">
        <v>4569.5735999999997</v>
      </c>
      <c r="P502" s="8">
        <f t="shared" si="45"/>
        <v>5483.4883199999995</v>
      </c>
      <c r="Q502" s="8">
        <v>4086.4</v>
      </c>
      <c r="R502" s="8">
        <f t="shared" si="46"/>
        <v>5639.2319999999991</v>
      </c>
      <c r="S502" s="8">
        <v>483.17359999999962</v>
      </c>
      <c r="T502" s="8">
        <f t="shared" si="47"/>
        <v>-155.74367999999959</v>
      </c>
    </row>
    <row r="503" spans="1:20" ht="16.5" x14ac:dyDescent="0.3">
      <c r="A503" s="4" t="s">
        <v>548</v>
      </c>
      <c r="B503" s="6">
        <v>45832</v>
      </c>
      <c r="C503" s="14">
        <v>45832</v>
      </c>
      <c r="D503" s="4" t="s">
        <v>1267</v>
      </c>
      <c r="E503" s="8">
        <v>1151.06</v>
      </c>
      <c r="F503" s="8">
        <f t="shared" si="42"/>
        <v>1323.7189999999998</v>
      </c>
      <c r="G503" s="8">
        <v>2821.36</v>
      </c>
      <c r="H503" s="8">
        <v>2821.36</v>
      </c>
      <c r="I503" s="8" t="s">
        <v>1470</v>
      </c>
      <c r="J503" s="10">
        <v>0.248</v>
      </c>
      <c r="K503" s="10">
        <v>0.248</v>
      </c>
      <c r="L503" s="10">
        <f t="shared" si="43"/>
        <v>0.248</v>
      </c>
      <c r="M503" s="12">
        <v>20</v>
      </c>
      <c r="N503" s="12">
        <f t="shared" si="44"/>
        <v>24</v>
      </c>
      <c r="O503" s="8">
        <v>42433.254400000005</v>
      </c>
      <c r="P503" s="8">
        <f t="shared" si="45"/>
        <v>50919.905279999999</v>
      </c>
      <c r="Q503" s="8">
        <v>23021.199999999997</v>
      </c>
      <c r="R503" s="8">
        <f t="shared" si="46"/>
        <v>31769.255999999994</v>
      </c>
      <c r="S503" s="8">
        <v>19412.054400000008</v>
      </c>
      <c r="T503" s="8">
        <f t="shared" si="47"/>
        <v>19150.649280000005</v>
      </c>
    </row>
    <row r="504" spans="1:20" ht="16.5" x14ac:dyDescent="0.3">
      <c r="A504" s="4" t="s">
        <v>348</v>
      </c>
      <c r="B504" s="6">
        <v>45774</v>
      </c>
      <c r="C504" s="14">
        <v>45774</v>
      </c>
      <c r="D504" s="4" t="s">
        <v>1068</v>
      </c>
      <c r="E504" s="8">
        <v>481.32</v>
      </c>
      <c r="F504" s="8">
        <f t="shared" si="42"/>
        <v>553.51799999999992</v>
      </c>
      <c r="G504" s="8">
        <v>1135.99</v>
      </c>
      <c r="H504" s="8">
        <v>1135.99</v>
      </c>
      <c r="I504" s="8" t="s">
        <v>1469</v>
      </c>
      <c r="J504" s="10">
        <v>0.14499999999999999</v>
      </c>
      <c r="K504" s="10">
        <v>0.14499999999999999</v>
      </c>
      <c r="L504" s="10">
        <f t="shared" si="43"/>
        <v>0.14499999999999999</v>
      </c>
      <c r="M504" s="12">
        <v>5</v>
      </c>
      <c r="N504" s="12">
        <f t="shared" si="44"/>
        <v>6</v>
      </c>
      <c r="O504" s="8">
        <v>4856.35725</v>
      </c>
      <c r="P504" s="8">
        <f t="shared" si="45"/>
        <v>5827.6287000000002</v>
      </c>
      <c r="Q504" s="8">
        <v>2406.6</v>
      </c>
      <c r="R504" s="8">
        <f t="shared" si="46"/>
        <v>3321.1079999999993</v>
      </c>
      <c r="S504" s="8">
        <v>2449.7572500000001</v>
      </c>
      <c r="T504" s="8">
        <f t="shared" si="47"/>
        <v>2506.5207000000009</v>
      </c>
    </row>
    <row r="505" spans="1:20" ht="16.5" x14ac:dyDescent="0.3">
      <c r="A505" s="4" t="s">
        <v>115</v>
      </c>
      <c r="B505" s="6">
        <v>45684</v>
      </c>
      <c r="C505" s="14">
        <v>45684</v>
      </c>
      <c r="D505" s="4" t="s">
        <v>834</v>
      </c>
      <c r="E505" s="8">
        <v>1253.22</v>
      </c>
      <c r="F505" s="8">
        <f t="shared" si="42"/>
        <v>1441.203</v>
      </c>
      <c r="G505" s="8">
        <v>3104.71</v>
      </c>
      <c r="H505" s="8">
        <v>3104.71</v>
      </c>
      <c r="I505" s="8" t="s">
        <v>1470</v>
      </c>
      <c r="J505" s="10">
        <v>0</v>
      </c>
      <c r="K505" s="10">
        <v>0</v>
      </c>
      <c r="L505" s="10">
        <f t="shared" si="43"/>
        <v>0</v>
      </c>
      <c r="M505" s="12">
        <v>17</v>
      </c>
      <c r="N505" s="12">
        <f t="shared" si="44"/>
        <v>20.399999999999999</v>
      </c>
      <c r="O505" s="8">
        <v>52780.07</v>
      </c>
      <c r="P505" s="8">
        <f t="shared" si="45"/>
        <v>63336.083999999995</v>
      </c>
      <c r="Q505" s="8">
        <v>21304.74</v>
      </c>
      <c r="R505" s="8">
        <f t="shared" si="46"/>
        <v>29400.541199999996</v>
      </c>
      <c r="S505" s="8">
        <v>31475.329999999998</v>
      </c>
      <c r="T505" s="8">
        <f t="shared" si="47"/>
        <v>33935.542799999996</v>
      </c>
    </row>
    <row r="506" spans="1:20" ht="16.5" x14ac:dyDescent="0.3">
      <c r="A506" s="4" t="s">
        <v>99</v>
      </c>
      <c r="B506" s="6">
        <v>45741</v>
      </c>
      <c r="C506" s="14">
        <v>45741</v>
      </c>
      <c r="D506" s="4" t="s">
        <v>818</v>
      </c>
      <c r="E506" s="8">
        <v>1421.19</v>
      </c>
      <c r="F506" s="8">
        <f t="shared" si="42"/>
        <v>1634.3685</v>
      </c>
      <c r="G506" s="8">
        <v>1808.26</v>
      </c>
      <c r="H506" s="8">
        <v>1808.26</v>
      </c>
      <c r="I506" s="8" t="s">
        <v>1470</v>
      </c>
      <c r="J506" s="10">
        <v>0.104</v>
      </c>
      <c r="K506" s="10">
        <v>0.104</v>
      </c>
      <c r="L506" s="10">
        <f t="shared" si="43"/>
        <v>0.104</v>
      </c>
      <c r="M506" s="12">
        <v>13</v>
      </c>
      <c r="N506" s="12">
        <f t="shared" si="44"/>
        <v>15.6</v>
      </c>
      <c r="O506" s="8">
        <v>21062.61248</v>
      </c>
      <c r="P506" s="8">
        <f t="shared" si="45"/>
        <v>25275.134976000001</v>
      </c>
      <c r="Q506" s="8">
        <v>18475.47</v>
      </c>
      <c r="R506" s="8">
        <f t="shared" si="46"/>
        <v>25496.1486</v>
      </c>
      <c r="S506" s="8">
        <v>2587.1424799999986</v>
      </c>
      <c r="T506" s="8">
        <f t="shared" si="47"/>
        <v>-221.01362399999925</v>
      </c>
    </row>
    <row r="507" spans="1:20" ht="16.5" x14ac:dyDescent="0.3">
      <c r="A507" s="4" t="s">
        <v>517</v>
      </c>
      <c r="B507" s="6">
        <v>45740</v>
      </c>
      <c r="C507" s="14">
        <v>45740</v>
      </c>
      <c r="D507" s="4" t="s">
        <v>1236</v>
      </c>
      <c r="E507" s="8">
        <v>1133.03</v>
      </c>
      <c r="F507" s="8">
        <f t="shared" si="42"/>
        <v>1302.9844999999998</v>
      </c>
      <c r="G507" s="8">
        <v>1921.51</v>
      </c>
      <c r="H507" s="8">
        <v>1921.51</v>
      </c>
      <c r="I507" s="8" t="s">
        <v>1470</v>
      </c>
      <c r="J507" s="10">
        <v>0.10100000000000001</v>
      </c>
      <c r="K507" s="10">
        <v>0.10100000000000001</v>
      </c>
      <c r="L507" s="10">
        <f t="shared" si="43"/>
        <v>0.10100000000000001</v>
      </c>
      <c r="M507" s="12">
        <v>5</v>
      </c>
      <c r="N507" s="12">
        <f t="shared" si="44"/>
        <v>6</v>
      </c>
      <c r="O507" s="8">
        <v>8637.1874499999994</v>
      </c>
      <c r="P507" s="8">
        <f t="shared" si="45"/>
        <v>10364.62494</v>
      </c>
      <c r="Q507" s="8">
        <v>5665.15</v>
      </c>
      <c r="R507" s="8">
        <f t="shared" si="46"/>
        <v>7817.9069999999992</v>
      </c>
      <c r="S507" s="8">
        <v>2972.0374499999998</v>
      </c>
      <c r="T507" s="8">
        <f t="shared" si="47"/>
        <v>2546.7179400000005</v>
      </c>
    </row>
    <row r="508" spans="1:20" ht="16.5" x14ac:dyDescent="0.3">
      <c r="A508" s="4" t="s">
        <v>568</v>
      </c>
      <c r="B508" s="6">
        <v>45703</v>
      </c>
      <c r="C508" s="14">
        <v>45703</v>
      </c>
      <c r="D508" s="4" t="s">
        <v>1286</v>
      </c>
      <c r="E508" s="8">
        <v>1162.8599999999999</v>
      </c>
      <c r="F508" s="8">
        <f t="shared" si="42"/>
        <v>1337.2889999999998</v>
      </c>
      <c r="G508" s="8">
        <v>1447.68</v>
      </c>
      <c r="H508" s="8">
        <v>1447.68</v>
      </c>
      <c r="I508" s="8" t="s">
        <v>1469</v>
      </c>
      <c r="J508" s="10">
        <v>8.6999999999999994E-2</v>
      </c>
      <c r="K508" s="10">
        <v>8.6999999999999994E-2</v>
      </c>
      <c r="L508" s="10">
        <f t="shared" si="43"/>
        <v>8.6999999999999994E-2</v>
      </c>
      <c r="M508" s="12">
        <v>12</v>
      </c>
      <c r="N508" s="12">
        <f t="shared" si="44"/>
        <v>14.399999999999999</v>
      </c>
      <c r="O508" s="8">
        <v>15860.782080000001</v>
      </c>
      <c r="P508" s="8">
        <f t="shared" si="45"/>
        <v>19032.938496000002</v>
      </c>
      <c r="Q508" s="8">
        <v>13954.32</v>
      </c>
      <c r="R508" s="8">
        <f t="shared" si="46"/>
        <v>19256.961599999995</v>
      </c>
      <c r="S508" s="8">
        <v>1906.4620800000012</v>
      </c>
      <c r="T508" s="8">
        <f t="shared" si="47"/>
        <v>-224.0231039999926</v>
      </c>
    </row>
    <row r="509" spans="1:20" ht="16.5" x14ac:dyDescent="0.3">
      <c r="A509" s="4" t="s">
        <v>567</v>
      </c>
      <c r="B509" s="6">
        <v>45704</v>
      </c>
      <c r="C509" s="14">
        <v>45704</v>
      </c>
      <c r="D509" s="4" t="s">
        <v>1285</v>
      </c>
      <c r="E509" s="8">
        <v>730.42</v>
      </c>
      <c r="F509" s="8">
        <f t="shared" si="42"/>
        <v>839.98299999999983</v>
      </c>
      <c r="G509" s="8">
        <v>956.7</v>
      </c>
      <c r="H509" s="8">
        <v>956.7</v>
      </c>
      <c r="I509" s="8" t="s">
        <v>1469</v>
      </c>
      <c r="J509" s="10">
        <v>4.2000000000000003E-2</v>
      </c>
      <c r="K509" s="10">
        <v>4.2000000000000003E-2</v>
      </c>
      <c r="L509" s="10">
        <f t="shared" si="43"/>
        <v>4.2000000000000003E-2</v>
      </c>
      <c r="M509" s="12">
        <v>22</v>
      </c>
      <c r="N509" s="12">
        <f t="shared" si="44"/>
        <v>26.4</v>
      </c>
      <c r="O509" s="8">
        <v>20163.409200000002</v>
      </c>
      <c r="P509" s="8">
        <f t="shared" si="45"/>
        <v>24196.091039999999</v>
      </c>
      <c r="Q509" s="8">
        <v>16069.24</v>
      </c>
      <c r="R509" s="8">
        <f t="shared" si="46"/>
        <v>22175.551199999994</v>
      </c>
      <c r="S509" s="8">
        <v>4094.1692000000021</v>
      </c>
      <c r="T509" s="8">
        <f t="shared" si="47"/>
        <v>2020.5398400000049</v>
      </c>
    </row>
    <row r="510" spans="1:20" ht="16.5" x14ac:dyDescent="0.3">
      <c r="A510" s="4" t="s">
        <v>148</v>
      </c>
      <c r="B510" s="6">
        <v>45666</v>
      </c>
      <c r="C510" s="14">
        <v>45666</v>
      </c>
      <c r="D510" s="4" t="s">
        <v>867</v>
      </c>
      <c r="E510" s="8">
        <v>304.77999999999997</v>
      </c>
      <c r="F510" s="8">
        <f t="shared" si="42"/>
        <v>350.49699999999996</v>
      </c>
      <c r="G510" s="8">
        <v>537.27</v>
      </c>
      <c r="H510" s="8">
        <v>537.27</v>
      </c>
      <c r="I510" s="8" t="s">
        <v>1471</v>
      </c>
      <c r="J510" s="10">
        <v>0.187</v>
      </c>
      <c r="K510" s="10">
        <v>0.187</v>
      </c>
      <c r="L510" s="10">
        <f t="shared" si="43"/>
        <v>0.187</v>
      </c>
      <c r="M510" s="12">
        <v>8</v>
      </c>
      <c r="N510" s="12">
        <f t="shared" si="44"/>
        <v>9.6</v>
      </c>
      <c r="O510" s="8">
        <v>3494.4040799999998</v>
      </c>
      <c r="P510" s="8">
        <f t="shared" si="45"/>
        <v>4193.2848959999992</v>
      </c>
      <c r="Q510" s="8">
        <v>2438.2399999999998</v>
      </c>
      <c r="R510" s="8">
        <f t="shared" si="46"/>
        <v>3364.7711999999997</v>
      </c>
      <c r="S510" s="8">
        <v>1056.16408</v>
      </c>
      <c r="T510" s="8">
        <f t="shared" si="47"/>
        <v>828.51369599999953</v>
      </c>
    </row>
    <row r="511" spans="1:20" ht="16.5" x14ac:dyDescent="0.3">
      <c r="A511" s="4" t="s">
        <v>321</v>
      </c>
      <c r="B511" s="6">
        <v>45795</v>
      </c>
      <c r="C511" s="14">
        <v>45795</v>
      </c>
      <c r="D511" s="4" t="s">
        <v>1041</v>
      </c>
      <c r="E511" s="8">
        <v>382.96</v>
      </c>
      <c r="F511" s="8">
        <f t="shared" si="42"/>
        <v>440.40399999999994</v>
      </c>
      <c r="G511" s="8">
        <v>552.84</v>
      </c>
      <c r="H511" s="8">
        <v>552.84</v>
      </c>
      <c r="I511" s="8" t="s">
        <v>1471</v>
      </c>
      <c r="J511" s="10">
        <v>0.17599999999999999</v>
      </c>
      <c r="K511" s="10">
        <v>0.17599999999999999</v>
      </c>
      <c r="L511" s="10">
        <f t="shared" si="43"/>
        <v>0.17599999999999999</v>
      </c>
      <c r="M511" s="12">
        <v>8</v>
      </c>
      <c r="N511" s="12">
        <f t="shared" si="44"/>
        <v>9.6</v>
      </c>
      <c r="O511" s="8">
        <v>3644.3212800000006</v>
      </c>
      <c r="P511" s="8">
        <f t="shared" si="45"/>
        <v>4373.1855360000009</v>
      </c>
      <c r="Q511" s="8">
        <v>3063.68</v>
      </c>
      <c r="R511" s="8">
        <f t="shared" si="46"/>
        <v>4227.8783999999996</v>
      </c>
      <c r="S511" s="8">
        <v>580.64128000000073</v>
      </c>
      <c r="T511" s="8">
        <f t="shared" si="47"/>
        <v>145.30713600000126</v>
      </c>
    </row>
    <row r="512" spans="1:20" ht="16.5" x14ac:dyDescent="0.3">
      <c r="A512" s="4" t="s">
        <v>309</v>
      </c>
      <c r="B512" s="6">
        <v>45809</v>
      </c>
      <c r="C512" s="14">
        <v>45809</v>
      </c>
      <c r="D512" s="4" t="s">
        <v>1029</v>
      </c>
      <c r="E512" s="8">
        <v>1362.31</v>
      </c>
      <c r="F512" s="8">
        <f t="shared" si="42"/>
        <v>1566.6564999999998</v>
      </c>
      <c r="G512" s="8">
        <v>3294.57</v>
      </c>
      <c r="H512" s="8">
        <v>3294.57</v>
      </c>
      <c r="I512" s="8" t="s">
        <v>1470</v>
      </c>
      <c r="J512" s="10">
        <v>0.113</v>
      </c>
      <c r="K512" s="10">
        <v>0.113</v>
      </c>
      <c r="L512" s="10">
        <f t="shared" si="43"/>
        <v>0.113</v>
      </c>
      <c r="M512" s="12">
        <v>7</v>
      </c>
      <c r="N512" s="12">
        <f t="shared" si="44"/>
        <v>8.4</v>
      </c>
      <c r="O512" s="8">
        <v>20455.985130000001</v>
      </c>
      <c r="P512" s="8">
        <f t="shared" si="45"/>
        <v>24547.182156000003</v>
      </c>
      <c r="Q512" s="8">
        <v>9536.17</v>
      </c>
      <c r="R512" s="8">
        <f t="shared" si="46"/>
        <v>13159.914599999998</v>
      </c>
      <c r="S512" s="8">
        <v>10919.815130000001</v>
      </c>
      <c r="T512" s="8">
        <f t="shared" si="47"/>
        <v>11387.267556000004</v>
      </c>
    </row>
    <row r="513" spans="1:20" ht="16.5" x14ac:dyDescent="0.3">
      <c r="A513" s="4" t="s">
        <v>431</v>
      </c>
      <c r="B513" s="6">
        <v>45813</v>
      </c>
      <c r="C513" s="14">
        <v>45813</v>
      </c>
      <c r="D513" s="4" t="s">
        <v>1150</v>
      </c>
      <c r="E513" s="8">
        <v>618.69000000000005</v>
      </c>
      <c r="F513" s="8">
        <f t="shared" si="42"/>
        <v>711.49350000000004</v>
      </c>
      <c r="G513" s="8">
        <v>796.15</v>
      </c>
      <c r="H513" s="8">
        <v>796.15</v>
      </c>
      <c r="I513" s="8" t="s">
        <v>1469</v>
      </c>
      <c r="J513" s="10">
        <v>0.09</v>
      </c>
      <c r="K513" s="10">
        <v>0.09</v>
      </c>
      <c r="L513" s="10">
        <f t="shared" si="43"/>
        <v>0.09</v>
      </c>
      <c r="M513" s="12">
        <v>11</v>
      </c>
      <c r="N513" s="12">
        <f t="shared" si="44"/>
        <v>13.2</v>
      </c>
      <c r="O513" s="8">
        <v>7969.4615000000003</v>
      </c>
      <c r="P513" s="8">
        <f t="shared" si="45"/>
        <v>9563.353799999999</v>
      </c>
      <c r="Q513" s="8">
        <v>6805.59</v>
      </c>
      <c r="R513" s="8">
        <f t="shared" si="46"/>
        <v>9391.7142000000003</v>
      </c>
      <c r="S513" s="8">
        <v>1163.8715000000002</v>
      </c>
      <c r="T513" s="8">
        <f t="shared" si="47"/>
        <v>171.63959999999861</v>
      </c>
    </row>
    <row r="514" spans="1:20" ht="16.5" x14ac:dyDescent="0.3">
      <c r="A514" s="4" t="s">
        <v>322</v>
      </c>
      <c r="B514" s="6">
        <v>45679</v>
      </c>
      <c r="C514" s="14">
        <v>45679</v>
      </c>
      <c r="D514" s="4" t="s">
        <v>1042</v>
      </c>
      <c r="E514" s="8">
        <v>122.29</v>
      </c>
      <c r="F514" s="8">
        <f t="shared" si="42"/>
        <v>140.6335</v>
      </c>
      <c r="G514" s="8">
        <v>224.95</v>
      </c>
      <c r="H514" s="8">
        <v>224.95</v>
      </c>
      <c r="I514" s="8" t="s">
        <v>1471</v>
      </c>
      <c r="J514" s="10">
        <v>0.153</v>
      </c>
      <c r="K514" s="10">
        <v>0.153</v>
      </c>
      <c r="L514" s="10">
        <f t="shared" si="43"/>
        <v>0.153</v>
      </c>
      <c r="M514" s="12">
        <v>28</v>
      </c>
      <c r="N514" s="12">
        <f t="shared" si="44"/>
        <v>33.6</v>
      </c>
      <c r="O514" s="8">
        <v>5334.9141999999993</v>
      </c>
      <c r="P514" s="8">
        <f t="shared" si="45"/>
        <v>6401.8970399999998</v>
      </c>
      <c r="Q514" s="8">
        <v>3424.1200000000003</v>
      </c>
      <c r="R514" s="8">
        <f t="shared" si="46"/>
        <v>4725.2856000000002</v>
      </c>
      <c r="S514" s="8">
        <v>1910.7941999999989</v>
      </c>
      <c r="T514" s="8">
        <f t="shared" si="47"/>
        <v>1676.6114399999997</v>
      </c>
    </row>
    <row r="515" spans="1:20" ht="16.5" x14ac:dyDescent="0.3">
      <c r="A515" s="4" t="s">
        <v>496</v>
      </c>
      <c r="B515" s="6">
        <v>45899</v>
      </c>
      <c r="C515" s="14">
        <v>45899</v>
      </c>
      <c r="D515" s="4" t="s">
        <v>1215</v>
      </c>
      <c r="E515" s="8">
        <v>1286.56</v>
      </c>
      <c r="F515" s="8">
        <f t="shared" ref="F515:F578" si="48">(E515*(1+$X$3))</f>
        <v>1479.5439999999999</v>
      </c>
      <c r="G515" s="8">
        <v>2777.35</v>
      </c>
      <c r="H515" s="8">
        <v>2777.35</v>
      </c>
      <c r="I515" s="8" t="s">
        <v>1470</v>
      </c>
      <c r="J515" s="10">
        <v>0.13200000000000001</v>
      </c>
      <c r="K515" s="10">
        <v>0.13200000000000001</v>
      </c>
      <c r="L515" s="10">
        <f t="shared" ref="L515:L578" si="49">MIN(K515, $X$2)</f>
        <v>0.13200000000000001</v>
      </c>
      <c r="M515" s="12">
        <v>15</v>
      </c>
      <c r="N515" s="12">
        <f t="shared" ref="N515:N578" si="50">(M515*(1+$X$4))</f>
        <v>18</v>
      </c>
      <c r="O515" s="8">
        <v>36161.097000000002</v>
      </c>
      <c r="P515" s="8">
        <f t="shared" ref="P515:P578" si="51">(H515*N515*(1-L515))</f>
        <v>43393.316399999996</v>
      </c>
      <c r="Q515" s="8">
        <v>19298.399999999998</v>
      </c>
      <c r="R515" s="8">
        <f t="shared" ref="R515:R578" si="52">F515*N515</f>
        <v>26631.791999999998</v>
      </c>
      <c r="S515" s="8">
        <v>16862.697000000004</v>
      </c>
      <c r="T515" s="8">
        <f t="shared" ref="T515:T578" si="53">P515-R515</f>
        <v>16761.524399999998</v>
      </c>
    </row>
    <row r="516" spans="1:20" ht="16.5" x14ac:dyDescent="0.3">
      <c r="A516" s="4" t="s">
        <v>467</v>
      </c>
      <c r="B516" s="6">
        <v>45817</v>
      </c>
      <c r="C516" s="14">
        <v>45817</v>
      </c>
      <c r="D516" s="4" t="s">
        <v>1186</v>
      </c>
      <c r="E516" s="8">
        <v>400.39</v>
      </c>
      <c r="F516" s="8">
        <f t="shared" si="48"/>
        <v>460.44849999999997</v>
      </c>
      <c r="G516" s="8">
        <v>712.75</v>
      </c>
      <c r="H516" s="8">
        <v>712.75</v>
      </c>
      <c r="I516" s="8" t="s">
        <v>1471</v>
      </c>
      <c r="J516" s="10">
        <v>0.115</v>
      </c>
      <c r="K516" s="10">
        <v>0.115</v>
      </c>
      <c r="L516" s="10">
        <f t="shared" si="49"/>
        <v>0.115</v>
      </c>
      <c r="M516" s="12">
        <v>19</v>
      </c>
      <c r="N516" s="12">
        <f t="shared" si="50"/>
        <v>22.8</v>
      </c>
      <c r="O516" s="8">
        <v>11984.891250000001</v>
      </c>
      <c r="P516" s="8">
        <f t="shared" si="51"/>
        <v>14381.869500000001</v>
      </c>
      <c r="Q516" s="8">
        <v>7607.41</v>
      </c>
      <c r="R516" s="8">
        <f t="shared" si="52"/>
        <v>10498.2258</v>
      </c>
      <c r="S516" s="8">
        <v>4377.4812500000007</v>
      </c>
      <c r="T516" s="8">
        <f t="shared" si="53"/>
        <v>3883.6437000000005</v>
      </c>
    </row>
    <row r="517" spans="1:20" ht="16.5" x14ac:dyDescent="0.3">
      <c r="A517" s="4" t="s">
        <v>174</v>
      </c>
      <c r="B517" s="6">
        <v>45870</v>
      </c>
      <c r="C517" s="14">
        <v>45870</v>
      </c>
      <c r="D517" s="4" t="s">
        <v>893</v>
      </c>
      <c r="E517" s="8">
        <v>1220.4100000000001</v>
      </c>
      <c r="F517" s="8">
        <f t="shared" si="48"/>
        <v>1403.4714999999999</v>
      </c>
      <c r="G517" s="8">
        <v>2552.2199999999998</v>
      </c>
      <c r="H517" s="8">
        <v>2552.2199999999998</v>
      </c>
      <c r="I517" s="8" t="s">
        <v>1470</v>
      </c>
      <c r="J517" s="10">
        <v>0.18099999999999999</v>
      </c>
      <c r="K517" s="10">
        <v>0.18099999999999999</v>
      </c>
      <c r="L517" s="10">
        <f t="shared" si="49"/>
        <v>0.18099999999999999</v>
      </c>
      <c r="M517" s="12">
        <v>14</v>
      </c>
      <c r="N517" s="12">
        <f t="shared" si="50"/>
        <v>16.8</v>
      </c>
      <c r="O517" s="8">
        <v>29263.754519999995</v>
      </c>
      <c r="P517" s="8">
        <f t="shared" si="51"/>
        <v>35116.505423999995</v>
      </c>
      <c r="Q517" s="8">
        <v>17085.740000000002</v>
      </c>
      <c r="R517" s="8">
        <f t="shared" si="52"/>
        <v>23578.321199999998</v>
      </c>
      <c r="S517" s="8">
        <v>12178.014519999993</v>
      </c>
      <c r="T517" s="8">
        <f t="shared" si="53"/>
        <v>11538.184223999997</v>
      </c>
    </row>
    <row r="518" spans="1:20" ht="16.5" x14ac:dyDescent="0.3">
      <c r="A518" s="4" t="s">
        <v>565</v>
      </c>
      <c r="B518" s="6">
        <v>45875</v>
      </c>
      <c r="C518" s="14">
        <v>45875</v>
      </c>
      <c r="D518" s="4" t="s">
        <v>1283</v>
      </c>
      <c r="E518" s="8">
        <v>86.64</v>
      </c>
      <c r="F518" s="8">
        <f t="shared" si="48"/>
        <v>99.635999999999996</v>
      </c>
      <c r="G518" s="8">
        <v>213.06</v>
      </c>
      <c r="H518" s="8">
        <v>213.06</v>
      </c>
      <c r="I518" s="8" t="s">
        <v>1471</v>
      </c>
      <c r="J518" s="10">
        <v>0.21199999999999999</v>
      </c>
      <c r="K518" s="10">
        <v>0.21199999999999999</v>
      </c>
      <c r="L518" s="10">
        <f t="shared" si="49"/>
        <v>0.21199999999999999</v>
      </c>
      <c r="M518" s="12">
        <v>11</v>
      </c>
      <c r="N518" s="12">
        <f t="shared" si="50"/>
        <v>13.2</v>
      </c>
      <c r="O518" s="8">
        <v>1846.8040799999999</v>
      </c>
      <c r="P518" s="8">
        <f t="shared" si="51"/>
        <v>2216.1648959999998</v>
      </c>
      <c r="Q518" s="8">
        <v>953.04</v>
      </c>
      <c r="R518" s="8">
        <f t="shared" si="52"/>
        <v>1315.1951999999999</v>
      </c>
      <c r="S518" s="8">
        <v>893.76407999999992</v>
      </c>
      <c r="T518" s="8">
        <f t="shared" si="53"/>
        <v>900.96969599999989</v>
      </c>
    </row>
    <row r="519" spans="1:20" ht="16.5" x14ac:dyDescent="0.3">
      <c r="A519" s="4" t="s">
        <v>278</v>
      </c>
      <c r="B519" s="6">
        <v>45763</v>
      </c>
      <c r="C519" s="14">
        <v>45763</v>
      </c>
      <c r="D519" s="4" t="s">
        <v>998</v>
      </c>
      <c r="E519" s="8">
        <v>1457.44</v>
      </c>
      <c r="F519" s="8">
        <f t="shared" si="48"/>
        <v>1676.056</v>
      </c>
      <c r="G519" s="8">
        <v>1996.81</v>
      </c>
      <c r="H519" s="8">
        <v>1996.81</v>
      </c>
      <c r="I519" s="8" t="s">
        <v>1470</v>
      </c>
      <c r="J519" s="10">
        <v>0.126</v>
      </c>
      <c r="K519" s="10">
        <v>0.126</v>
      </c>
      <c r="L519" s="10">
        <f t="shared" si="49"/>
        <v>0.126</v>
      </c>
      <c r="M519" s="12">
        <v>23</v>
      </c>
      <c r="N519" s="12">
        <f t="shared" si="50"/>
        <v>27.599999999999998</v>
      </c>
      <c r="O519" s="8">
        <v>40139.874619999995</v>
      </c>
      <c r="P519" s="8">
        <f t="shared" si="51"/>
        <v>48167.84954399999</v>
      </c>
      <c r="Q519" s="8">
        <v>33521.120000000003</v>
      </c>
      <c r="R519" s="8">
        <f t="shared" si="52"/>
        <v>46259.145599999996</v>
      </c>
      <c r="S519" s="8">
        <v>6618.7546199999924</v>
      </c>
      <c r="T519" s="8">
        <f t="shared" si="53"/>
        <v>1908.7039439999935</v>
      </c>
    </row>
    <row r="520" spans="1:20" ht="16.5" x14ac:dyDescent="0.3">
      <c r="A520" s="4" t="s">
        <v>540</v>
      </c>
      <c r="B520" s="6">
        <v>45695</v>
      </c>
      <c r="C520" s="14">
        <v>45695</v>
      </c>
      <c r="D520" s="4" t="s">
        <v>1259</v>
      </c>
      <c r="E520" s="8">
        <v>90.68</v>
      </c>
      <c r="F520" s="8">
        <f t="shared" si="48"/>
        <v>104.282</v>
      </c>
      <c r="G520" s="8">
        <v>118.17</v>
      </c>
      <c r="H520" s="8">
        <v>118.17</v>
      </c>
      <c r="I520" s="8" t="s">
        <v>1471</v>
      </c>
      <c r="J520" s="10">
        <v>0.13500000000000001</v>
      </c>
      <c r="K520" s="10">
        <v>0.13500000000000001</v>
      </c>
      <c r="L520" s="10">
        <f t="shared" si="49"/>
        <v>0.13500000000000001</v>
      </c>
      <c r="M520" s="12">
        <v>21</v>
      </c>
      <c r="N520" s="12">
        <f t="shared" si="50"/>
        <v>25.2</v>
      </c>
      <c r="O520" s="8">
        <v>2146.5580500000001</v>
      </c>
      <c r="P520" s="8">
        <f t="shared" si="51"/>
        <v>2575.8696599999998</v>
      </c>
      <c r="Q520" s="8">
        <v>1904.2800000000002</v>
      </c>
      <c r="R520" s="8">
        <f t="shared" si="52"/>
        <v>2627.9063999999998</v>
      </c>
      <c r="S520" s="8">
        <v>242.27804999999989</v>
      </c>
      <c r="T520" s="8">
        <f t="shared" si="53"/>
        <v>-52.036740000000009</v>
      </c>
    </row>
    <row r="521" spans="1:20" ht="16.5" x14ac:dyDescent="0.3">
      <c r="A521" s="4" t="s">
        <v>461</v>
      </c>
      <c r="B521" s="6">
        <v>45746</v>
      </c>
      <c r="C521" s="14">
        <v>45746</v>
      </c>
      <c r="D521" s="4" t="s">
        <v>1180</v>
      </c>
      <c r="E521" s="8">
        <v>194.6</v>
      </c>
      <c r="F521" s="8">
        <f t="shared" si="48"/>
        <v>223.78999999999996</v>
      </c>
      <c r="G521" s="8">
        <v>314.87</v>
      </c>
      <c r="H521" s="8">
        <v>314.87</v>
      </c>
      <c r="I521" s="8" t="s">
        <v>1471</v>
      </c>
      <c r="J521" s="10">
        <v>0.29299999999999998</v>
      </c>
      <c r="K521" s="10">
        <v>0.29299999999999998</v>
      </c>
      <c r="L521" s="10">
        <f t="shared" si="49"/>
        <v>0.25</v>
      </c>
      <c r="M521" s="12">
        <v>25</v>
      </c>
      <c r="N521" s="12">
        <f t="shared" si="50"/>
        <v>30</v>
      </c>
      <c r="O521" s="8">
        <v>5565.3272500000003</v>
      </c>
      <c r="P521" s="8">
        <f t="shared" si="51"/>
        <v>7084.5750000000007</v>
      </c>
      <c r="Q521" s="8">
        <v>4865</v>
      </c>
      <c r="R521" s="8">
        <f t="shared" si="52"/>
        <v>6713.6999999999989</v>
      </c>
      <c r="S521" s="8">
        <v>700.32725000000028</v>
      </c>
      <c r="T521" s="8">
        <f t="shared" si="53"/>
        <v>370.87500000000182</v>
      </c>
    </row>
    <row r="522" spans="1:20" ht="16.5" x14ac:dyDescent="0.3">
      <c r="A522" s="4" t="s">
        <v>520</v>
      </c>
      <c r="B522" s="6">
        <v>45774</v>
      </c>
      <c r="C522" s="14">
        <v>45774</v>
      </c>
      <c r="D522" s="4" t="s">
        <v>1239</v>
      </c>
      <c r="E522" s="8">
        <v>932.26</v>
      </c>
      <c r="F522" s="8">
        <f t="shared" si="48"/>
        <v>1072.0989999999999</v>
      </c>
      <c r="G522" s="8">
        <v>1624.67</v>
      </c>
      <c r="H522" s="8">
        <v>1624.67</v>
      </c>
      <c r="I522" s="8" t="s">
        <v>1470</v>
      </c>
      <c r="J522" s="10">
        <v>0.23499999999999999</v>
      </c>
      <c r="K522" s="10">
        <v>0.23499999999999999</v>
      </c>
      <c r="L522" s="10">
        <f t="shared" si="49"/>
        <v>0.23499999999999999</v>
      </c>
      <c r="M522" s="12">
        <v>28</v>
      </c>
      <c r="N522" s="12">
        <f t="shared" si="50"/>
        <v>33.6</v>
      </c>
      <c r="O522" s="8">
        <v>34800.431400000001</v>
      </c>
      <c r="P522" s="8">
        <f t="shared" si="51"/>
        <v>41760.517680000004</v>
      </c>
      <c r="Q522" s="8">
        <v>26103.279999999999</v>
      </c>
      <c r="R522" s="8">
        <f t="shared" si="52"/>
        <v>36022.526400000002</v>
      </c>
      <c r="S522" s="8">
        <v>8697.1514000000025</v>
      </c>
      <c r="T522" s="8">
        <f t="shared" si="53"/>
        <v>5737.991280000002</v>
      </c>
    </row>
    <row r="523" spans="1:20" ht="16.5" x14ac:dyDescent="0.3">
      <c r="A523" s="4" t="s">
        <v>47</v>
      </c>
      <c r="B523" s="6">
        <v>45862</v>
      </c>
      <c r="C523" s="14">
        <v>45862</v>
      </c>
      <c r="D523" s="4" t="s">
        <v>766</v>
      </c>
      <c r="E523" s="8">
        <v>1463.9</v>
      </c>
      <c r="F523" s="8">
        <f t="shared" si="48"/>
        <v>1683.4849999999999</v>
      </c>
      <c r="G523" s="8">
        <v>2633.02</v>
      </c>
      <c r="H523" s="8">
        <v>2633.02</v>
      </c>
      <c r="I523" s="8" t="s">
        <v>1470</v>
      </c>
      <c r="J523" s="10">
        <v>8.4000000000000005E-2</v>
      </c>
      <c r="K523" s="10">
        <v>8.4000000000000005E-2</v>
      </c>
      <c r="L523" s="10">
        <f t="shared" si="49"/>
        <v>8.4000000000000005E-2</v>
      </c>
      <c r="M523" s="12">
        <v>4</v>
      </c>
      <c r="N523" s="12">
        <f t="shared" si="50"/>
        <v>4.8</v>
      </c>
      <c r="O523" s="8">
        <v>9647.3852800000004</v>
      </c>
      <c r="P523" s="8">
        <f t="shared" si="51"/>
        <v>11576.862336</v>
      </c>
      <c r="Q523" s="8">
        <v>5855.6</v>
      </c>
      <c r="R523" s="8">
        <f t="shared" si="52"/>
        <v>8080.7279999999992</v>
      </c>
      <c r="S523" s="8">
        <v>3791.7852800000001</v>
      </c>
      <c r="T523" s="8">
        <f t="shared" si="53"/>
        <v>3496.134336000001</v>
      </c>
    </row>
    <row r="524" spans="1:20" ht="16.5" x14ac:dyDescent="0.3">
      <c r="A524" s="4" t="s">
        <v>363</v>
      </c>
      <c r="B524" s="6">
        <v>45825</v>
      </c>
      <c r="C524" s="14">
        <v>45825</v>
      </c>
      <c r="D524" s="4" t="s">
        <v>1083</v>
      </c>
      <c r="E524" s="8">
        <v>982.93</v>
      </c>
      <c r="F524" s="8">
        <f t="shared" si="48"/>
        <v>1130.3694999999998</v>
      </c>
      <c r="G524" s="8">
        <v>2299.3000000000002</v>
      </c>
      <c r="H524" s="8">
        <v>2299.3000000000002</v>
      </c>
      <c r="I524" s="8" t="s">
        <v>1470</v>
      </c>
      <c r="J524" s="10">
        <v>0.113</v>
      </c>
      <c r="K524" s="10">
        <v>0.113</v>
      </c>
      <c r="L524" s="10">
        <f t="shared" si="49"/>
        <v>0.113</v>
      </c>
      <c r="M524" s="12">
        <v>6</v>
      </c>
      <c r="N524" s="12">
        <f t="shared" si="50"/>
        <v>7.1999999999999993</v>
      </c>
      <c r="O524" s="8">
        <v>12236.874600000001</v>
      </c>
      <c r="P524" s="8">
        <f t="shared" si="51"/>
        <v>14684.249519999999</v>
      </c>
      <c r="Q524" s="8">
        <v>5897.58</v>
      </c>
      <c r="R524" s="8">
        <f t="shared" si="52"/>
        <v>8138.6603999999979</v>
      </c>
      <c r="S524" s="8">
        <v>6339.2946000000011</v>
      </c>
      <c r="T524" s="8">
        <f t="shared" si="53"/>
        <v>6545.5891200000015</v>
      </c>
    </row>
    <row r="525" spans="1:20" ht="16.5" x14ac:dyDescent="0.3">
      <c r="A525" s="4" t="s">
        <v>285</v>
      </c>
      <c r="B525" s="6">
        <v>45707</v>
      </c>
      <c r="C525" s="14">
        <v>45707</v>
      </c>
      <c r="D525" s="4" t="s">
        <v>1005</v>
      </c>
      <c r="E525" s="8">
        <v>325.87</v>
      </c>
      <c r="F525" s="8">
        <f t="shared" si="48"/>
        <v>374.75049999999999</v>
      </c>
      <c r="G525" s="8">
        <v>538.79</v>
      </c>
      <c r="H525" s="8">
        <v>538.79</v>
      </c>
      <c r="I525" s="8" t="s">
        <v>1471</v>
      </c>
      <c r="J525" s="10">
        <v>0.17399999999999999</v>
      </c>
      <c r="K525" s="10">
        <v>0.17399999999999999</v>
      </c>
      <c r="L525" s="10">
        <f t="shared" si="49"/>
        <v>0.17399999999999999</v>
      </c>
      <c r="M525" s="12">
        <v>16</v>
      </c>
      <c r="N525" s="12">
        <f t="shared" si="50"/>
        <v>19.2</v>
      </c>
      <c r="O525" s="8">
        <v>7120.6486400000003</v>
      </c>
      <c r="P525" s="8">
        <f t="shared" si="51"/>
        <v>8544.7783679999993</v>
      </c>
      <c r="Q525" s="8">
        <v>5213.92</v>
      </c>
      <c r="R525" s="8">
        <f t="shared" si="52"/>
        <v>7195.2095999999992</v>
      </c>
      <c r="S525" s="8">
        <v>1906.7286400000003</v>
      </c>
      <c r="T525" s="8">
        <f t="shared" si="53"/>
        <v>1349.5687680000001</v>
      </c>
    </row>
    <row r="526" spans="1:20" ht="16.5" x14ac:dyDescent="0.3">
      <c r="A526" s="4" t="s">
        <v>404</v>
      </c>
      <c r="B526" s="6">
        <v>45823</v>
      </c>
      <c r="C526" s="14">
        <v>45823</v>
      </c>
      <c r="D526" s="4" t="s">
        <v>1123</v>
      </c>
      <c r="E526" s="8">
        <v>1487.59</v>
      </c>
      <c r="F526" s="8">
        <f t="shared" si="48"/>
        <v>1710.7284999999997</v>
      </c>
      <c r="G526" s="8">
        <v>1480.83</v>
      </c>
      <c r="H526" s="8">
        <v>1480.83</v>
      </c>
      <c r="I526" s="8" t="s">
        <v>1470</v>
      </c>
      <c r="J526" s="10">
        <v>8.9999999999999993E-3</v>
      </c>
      <c r="K526" s="10">
        <v>8.9999999999999993E-3</v>
      </c>
      <c r="L526" s="10">
        <f t="shared" si="49"/>
        <v>8.9999999999999993E-3</v>
      </c>
      <c r="M526" s="12">
        <v>11</v>
      </c>
      <c r="N526" s="12">
        <f t="shared" si="50"/>
        <v>13.2</v>
      </c>
      <c r="O526" s="8">
        <v>16142.527829999999</v>
      </c>
      <c r="P526" s="8">
        <f t="shared" si="51"/>
        <v>19371.033395999999</v>
      </c>
      <c r="Q526" s="8">
        <v>16363.49</v>
      </c>
      <c r="R526" s="8">
        <f t="shared" si="52"/>
        <v>22581.616199999997</v>
      </c>
      <c r="S526" s="8">
        <v>-220.9621700000007</v>
      </c>
      <c r="T526" s="8">
        <f t="shared" si="53"/>
        <v>-3210.5828039999979</v>
      </c>
    </row>
    <row r="527" spans="1:20" ht="16.5" x14ac:dyDescent="0.3">
      <c r="A527" s="4" t="s">
        <v>409</v>
      </c>
      <c r="B527" s="6">
        <v>45804</v>
      </c>
      <c r="C527" s="14">
        <v>45804</v>
      </c>
      <c r="D527" s="4" t="s">
        <v>1128</v>
      </c>
      <c r="E527" s="8">
        <v>653.6</v>
      </c>
      <c r="F527" s="8">
        <f t="shared" si="48"/>
        <v>751.64</v>
      </c>
      <c r="G527" s="8">
        <v>842.09</v>
      </c>
      <c r="H527" s="8">
        <v>842.09</v>
      </c>
      <c r="I527" s="8" t="s">
        <v>1469</v>
      </c>
      <c r="J527" s="10">
        <v>9.8000000000000004E-2</v>
      </c>
      <c r="K527" s="10">
        <v>9.8000000000000004E-2</v>
      </c>
      <c r="L527" s="10">
        <f t="shared" si="49"/>
        <v>9.8000000000000004E-2</v>
      </c>
      <c r="M527" s="12">
        <v>19</v>
      </c>
      <c r="N527" s="12">
        <f t="shared" si="50"/>
        <v>22.8</v>
      </c>
      <c r="O527" s="8">
        <v>14431.738420000001</v>
      </c>
      <c r="P527" s="8">
        <f t="shared" si="51"/>
        <v>17318.086104000002</v>
      </c>
      <c r="Q527" s="8">
        <v>12418.4</v>
      </c>
      <c r="R527" s="8">
        <f t="shared" si="52"/>
        <v>17137.392</v>
      </c>
      <c r="S527" s="8">
        <v>2013.3384200000019</v>
      </c>
      <c r="T527" s="8">
        <f t="shared" si="53"/>
        <v>180.69410400000197</v>
      </c>
    </row>
    <row r="528" spans="1:20" ht="16.5" x14ac:dyDescent="0.3">
      <c r="A528" s="4" t="s">
        <v>308</v>
      </c>
      <c r="B528" s="6">
        <v>45758</v>
      </c>
      <c r="C528" s="14">
        <v>45758</v>
      </c>
      <c r="D528" s="4" t="s">
        <v>1028</v>
      </c>
      <c r="E528" s="8">
        <v>786.2</v>
      </c>
      <c r="F528" s="8">
        <f t="shared" si="48"/>
        <v>904.13</v>
      </c>
      <c r="G528" s="8">
        <v>1075.3</v>
      </c>
      <c r="H528" s="8">
        <v>1075.3</v>
      </c>
      <c r="I528" s="8" t="s">
        <v>1469</v>
      </c>
      <c r="J528" s="10">
        <v>0.08</v>
      </c>
      <c r="K528" s="10">
        <v>0.08</v>
      </c>
      <c r="L528" s="10">
        <f t="shared" si="49"/>
        <v>0.08</v>
      </c>
      <c r="M528" s="12">
        <v>9</v>
      </c>
      <c r="N528" s="12">
        <f t="shared" si="50"/>
        <v>10.799999999999999</v>
      </c>
      <c r="O528" s="8">
        <v>8903.4839999999986</v>
      </c>
      <c r="P528" s="8">
        <f t="shared" si="51"/>
        <v>10684.180799999998</v>
      </c>
      <c r="Q528" s="8">
        <v>7075.8</v>
      </c>
      <c r="R528" s="8">
        <f t="shared" si="52"/>
        <v>9764.6039999999994</v>
      </c>
      <c r="S528" s="8">
        <v>1827.6839999999984</v>
      </c>
      <c r="T528" s="8">
        <f t="shared" si="53"/>
        <v>919.57679999999891</v>
      </c>
    </row>
    <row r="529" spans="1:20" ht="16.5" x14ac:dyDescent="0.3">
      <c r="A529" s="4" t="s">
        <v>27</v>
      </c>
      <c r="B529" s="6">
        <v>45722</v>
      </c>
      <c r="C529" s="14">
        <v>45722</v>
      </c>
      <c r="D529" s="4" t="s">
        <v>746</v>
      </c>
      <c r="E529" s="8">
        <v>331.57</v>
      </c>
      <c r="F529" s="8">
        <f t="shared" si="48"/>
        <v>381.30549999999994</v>
      </c>
      <c r="G529" s="8">
        <v>548.4</v>
      </c>
      <c r="H529" s="8">
        <v>548.4</v>
      </c>
      <c r="I529" s="8" t="s">
        <v>1471</v>
      </c>
      <c r="J529" s="10">
        <v>9.4E-2</v>
      </c>
      <c r="K529" s="10">
        <v>9.4E-2</v>
      </c>
      <c r="L529" s="10">
        <f t="shared" si="49"/>
        <v>9.4E-2</v>
      </c>
      <c r="M529" s="12">
        <v>10</v>
      </c>
      <c r="N529" s="12">
        <f t="shared" si="50"/>
        <v>12</v>
      </c>
      <c r="O529" s="8">
        <v>4968.5039999999999</v>
      </c>
      <c r="P529" s="8">
        <f t="shared" si="51"/>
        <v>5962.2047999999995</v>
      </c>
      <c r="Q529" s="8">
        <v>3315.7</v>
      </c>
      <c r="R529" s="8">
        <f t="shared" si="52"/>
        <v>4575.6659999999993</v>
      </c>
      <c r="S529" s="8">
        <v>1652.8040000000001</v>
      </c>
      <c r="T529" s="8">
        <f t="shared" si="53"/>
        <v>1386.5388000000003</v>
      </c>
    </row>
    <row r="530" spans="1:20" ht="16.5" x14ac:dyDescent="0.3">
      <c r="A530" s="4" t="s">
        <v>98</v>
      </c>
      <c r="B530" s="6">
        <v>45770</v>
      </c>
      <c r="C530" s="14">
        <v>45770</v>
      </c>
      <c r="D530" s="4" t="s">
        <v>817</v>
      </c>
      <c r="E530" s="8">
        <v>23.24</v>
      </c>
      <c r="F530" s="8">
        <f t="shared" si="48"/>
        <v>26.725999999999996</v>
      </c>
      <c r="G530" s="8">
        <v>44.57</v>
      </c>
      <c r="H530" s="8">
        <v>44.57</v>
      </c>
      <c r="I530" s="8" t="s">
        <v>1471</v>
      </c>
      <c r="J530" s="10">
        <v>0.215</v>
      </c>
      <c r="K530" s="10">
        <v>0.215</v>
      </c>
      <c r="L530" s="10">
        <f t="shared" si="49"/>
        <v>0.215</v>
      </c>
      <c r="M530" s="12">
        <v>15</v>
      </c>
      <c r="N530" s="12">
        <f t="shared" si="50"/>
        <v>18</v>
      </c>
      <c r="O530" s="8">
        <v>524.81174999999996</v>
      </c>
      <c r="P530" s="8">
        <f t="shared" si="51"/>
        <v>629.77409999999998</v>
      </c>
      <c r="Q530" s="8">
        <v>348.59999999999997</v>
      </c>
      <c r="R530" s="8">
        <f t="shared" si="52"/>
        <v>481.06799999999993</v>
      </c>
      <c r="S530" s="8">
        <v>176.21174999999999</v>
      </c>
      <c r="T530" s="8">
        <f t="shared" si="53"/>
        <v>148.70610000000005</v>
      </c>
    </row>
    <row r="531" spans="1:20" ht="16.5" x14ac:dyDescent="0.3">
      <c r="A531" s="4" t="s">
        <v>478</v>
      </c>
      <c r="B531" s="6">
        <v>45865</v>
      </c>
      <c r="C531" s="14">
        <v>45865</v>
      </c>
      <c r="D531" s="4" t="s">
        <v>1197</v>
      </c>
      <c r="E531" s="8">
        <v>275.43</v>
      </c>
      <c r="F531" s="8">
        <f t="shared" si="48"/>
        <v>316.74449999999996</v>
      </c>
      <c r="G531" s="8">
        <v>608.36</v>
      </c>
      <c r="H531" s="8">
        <v>608.36</v>
      </c>
      <c r="I531" s="8" t="s">
        <v>1471</v>
      </c>
      <c r="J531" s="10">
        <v>0.25700000000000001</v>
      </c>
      <c r="K531" s="10">
        <v>0.25700000000000001</v>
      </c>
      <c r="L531" s="10">
        <f t="shared" si="49"/>
        <v>0.25</v>
      </c>
      <c r="M531" s="12">
        <v>4</v>
      </c>
      <c r="N531" s="12">
        <f t="shared" si="50"/>
        <v>4.8</v>
      </c>
      <c r="O531" s="8">
        <v>1808.04592</v>
      </c>
      <c r="P531" s="8">
        <f t="shared" si="51"/>
        <v>2190.096</v>
      </c>
      <c r="Q531" s="8">
        <v>1101.72</v>
      </c>
      <c r="R531" s="8">
        <f t="shared" si="52"/>
        <v>1520.3735999999997</v>
      </c>
      <c r="S531" s="8">
        <v>706.32592</v>
      </c>
      <c r="T531" s="8">
        <f t="shared" si="53"/>
        <v>669.72240000000033</v>
      </c>
    </row>
    <row r="532" spans="1:20" ht="16.5" x14ac:dyDescent="0.3">
      <c r="A532" s="4" t="s">
        <v>146</v>
      </c>
      <c r="B532" s="6">
        <v>45719</v>
      </c>
      <c r="C532" s="14">
        <v>45719</v>
      </c>
      <c r="D532" s="4" t="s">
        <v>865</v>
      </c>
      <c r="E532" s="8">
        <v>555.95000000000005</v>
      </c>
      <c r="F532" s="8">
        <f t="shared" si="48"/>
        <v>639.34249999999997</v>
      </c>
      <c r="G532" s="8">
        <v>468.09</v>
      </c>
      <c r="H532" s="8">
        <v>468.09</v>
      </c>
      <c r="I532" s="8" t="s">
        <v>1471</v>
      </c>
      <c r="J532" s="10">
        <v>0.14199999999999999</v>
      </c>
      <c r="K532" s="10">
        <v>0.14199999999999999</v>
      </c>
      <c r="L532" s="10">
        <f t="shared" si="49"/>
        <v>0.14199999999999999</v>
      </c>
      <c r="M532" s="12">
        <v>11</v>
      </c>
      <c r="N532" s="12">
        <f t="shared" si="50"/>
        <v>13.2</v>
      </c>
      <c r="O532" s="8">
        <v>4417.8334199999999</v>
      </c>
      <c r="P532" s="8">
        <f t="shared" si="51"/>
        <v>5301.4001039999994</v>
      </c>
      <c r="Q532" s="8">
        <v>6115.4500000000007</v>
      </c>
      <c r="R532" s="8">
        <f t="shared" si="52"/>
        <v>8439.3209999999999</v>
      </c>
      <c r="S532" s="8">
        <v>-1697.6165800000008</v>
      </c>
      <c r="T532" s="8">
        <f t="shared" si="53"/>
        <v>-3137.9208960000005</v>
      </c>
    </row>
    <row r="533" spans="1:20" ht="16.5" x14ac:dyDescent="0.3">
      <c r="A533" s="4" t="s">
        <v>255</v>
      </c>
      <c r="B533" s="6">
        <v>45793</v>
      </c>
      <c r="C533" s="14">
        <v>45793</v>
      </c>
      <c r="D533" s="4" t="s">
        <v>975</v>
      </c>
      <c r="E533" s="8">
        <v>918.12</v>
      </c>
      <c r="F533" s="8">
        <f t="shared" si="48"/>
        <v>1055.838</v>
      </c>
      <c r="G533" s="8">
        <v>1337.69</v>
      </c>
      <c r="H533" s="8">
        <v>1337.69</v>
      </c>
      <c r="I533" s="8" t="s">
        <v>1469</v>
      </c>
      <c r="J533" s="10">
        <v>9.5000000000000001E-2</v>
      </c>
      <c r="K533" s="10">
        <v>9.5000000000000001E-2</v>
      </c>
      <c r="L533" s="10">
        <f t="shared" si="49"/>
        <v>9.5000000000000001E-2</v>
      </c>
      <c r="M533" s="12">
        <v>8</v>
      </c>
      <c r="N533" s="12">
        <f t="shared" si="50"/>
        <v>9.6</v>
      </c>
      <c r="O533" s="8">
        <v>9684.8756000000012</v>
      </c>
      <c r="P533" s="8">
        <f t="shared" si="51"/>
        <v>11621.85072</v>
      </c>
      <c r="Q533" s="8">
        <v>7344.96</v>
      </c>
      <c r="R533" s="8">
        <f t="shared" si="52"/>
        <v>10136.0448</v>
      </c>
      <c r="S533" s="8">
        <v>2339.9156000000012</v>
      </c>
      <c r="T533" s="8">
        <f t="shared" si="53"/>
        <v>1485.8059200000007</v>
      </c>
    </row>
    <row r="534" spans="1:20" ht="16.5" x14ac:dyDescent="0.3">
      <c r="A534" s="4" t="s">
        <v>422</v>
      </c>
      <c r="B534" s="6">
        <v>45724</v>
      </c>
      <c r="C534" s="14">
        <v>45724</v>
      </c>
      <c r="D534" s="4" t="s">
        <v>1141</v>
      </c>
      <c r="E534" s="8">
        <v>475.66</v>
      </c>
      <c r="F534" s="8">
        <f t="shared" si="48"/>
        <v>547.00900000000001</v>
      </c>
      <c r="G534" s="8">
        <v>529.14</v>
      </c>
      <c r="H534" s="8">
        <v>529.14</v>
      </c>
      <c r="I534" s="8" t="s">
        <v>1471</v>
      </c>
      <c r="J534" s="10">
        <v>0.19600000000000001</v>
      </c>
      <c r="K534" s="10">
        <v>0.19600000000000001</v>
      </c>
      <c r="L534" s="10">
        <f t="shared" si="49"/>
        <v>0.19600000000000001</v>
      </c>
      <c r="M534" s="12">
        <v>11</v>
      </c>
      <c r="N534" s="12">
        <f t="shared" si="50"/>
        <v>13.2</v>
      </c>
      <c r="O534" s="8">
        <v>4679.7141600000004</v>
      </c>
      <c r="P534" s="8">
        <f t="shared" si="51"/>
        <v>5615.6569919999993</v>
      </c>
      <c r="Q534" s="8">
        <v>5232.26</v>
      </c>
      <c r="R534" s="8">
        <f t="shared" si="52"/>
        <v>7220.5187999999998</v>
      </c>
      <c r="S534" s="8">
        <v>-552.54583999999977</v>
      </c>
      <c r="T534" s="8">
        <f t="shared" si="53"/>
        <v>-1604.8618080000006</v>
      </c>
    </row>
    <row r="535" spans="1:20" ht="16.5" x14ac:dyDescent="0.3">
      <c r="A535" s="4" t="s">
        <v>26</v>
      </c>
      <c r="B535" s="6">
        <v>45660</v>
      </c>
      <c r="C535" s="14">
        <v>45660</v>
      </c>
      <c r="D535" s="4" t="s">
        <v>745</v>
      </c>
      <c r="E535" s="8">
        <v>908.6</v>
      </c>
      <c r="F535" s="8">
        <f t="shared" si="48"/>
        <v>1044.8899999999999</v>
      </c>
      <c r="G535" s="8">
        <v>691.37</v>
      </c>
      <c r="H535" s="8">
        <v>691.37</v>
      </c>
      <c r="I535" s="8" t="s">
        <v>1471</v>
      </c>
      <c r="J535" s="10">
        <v>0.25</v>
      </c>
      <c r="K535" s="10">
        <v>0.25</v>
      </c>
      <c r="L535" s="10">
        <f t="shared" si="49"/>
        <v>0.25</v>
      </c>
      <c r="M535" s="12">
        <v>20</v>
      </c>
      <c r="N535" s="12">
        <f t="shared" si="50"/>
        <v>24</v>
      </c>
      <c r="O535" s="8">
        <v>10370.549999999999</v>
      </c>
      <c r="P535" s="8">
        <f t="shared" si="51"/>
        <v>12444.66</v>
      </c>
      <c r="Q535" s="8">
        <v>18172</v>
      </c>
      <c r="R535" s="8">
        <f t="shared" si="52"/>
        <v>25077.359999999997</v>
      </c>
      <c r="S535" s="8">
        <v>-7801.4500000000007</v>
      </c>
      <c r="T535" s="8">
        <f t="shared" si="53"/>
        <v>-12632.699999999997</v>
      </c>
    </row>
    <row r="536" spans="1:20" ht="16.5" x14ac:dyDescent="0.3">
      <c r="A536" s="4" t="s">
        <v>77</v>
      </c>
      <c r="B536" s="6">
        <v>45774</v>
      </c>
      <c r="C536" s="14">
        <v>45774</v>
      </c>
      <c r="D536" s="4" t="s">
        <v>796</v>
      </c>
      <c r="E536" s="8">
        <v>603.45000000000005</v>
      </c>
      <c r="F536" s="8">
        <f t="shared" si="48"/>
        <v>693.96749999999997</v>
      </c>
      <c r="G536" s="8">
        <v>1244.08</v>
      </c>
      <c r="H536" s="8">
        <v>1244.08</v>
      </c>
      <c r="I536" s="8" t="s">
        <v>1469</v>
      </c>
      <c r="J536" s="10">
        <v>0.2</v>
      </c>
      <c r="K536" s="10">
        <v>0.2</v>
      </c>
      <c r="L536" s="10">
        <f t="shared" si="49"/>
        <v>0.2</v>
      </c>
      <c r="M536" s="12">
        <v>11</v>
      </c>
      <c r="N536" s="12">
        <f t="shared" si="50"/>
        <v>13.2</v>
      </c>
      <c r="O536" s="8">
        <v>10947.904</v>
      </c>
      <c r="P536" s="8">
        <f t="shared" si="51"/>
        <v>13137.4848</v>
      </c>
      <c r="Q536" s="8">
        <v>6637.9500000000007</v>
      </c>
      <c r="R536" s="8">
        <f t="shared" si="52"/>
        <v>9160.3709999999992</v>
      </c>
      <c r="S536" s="8">
        <v>4309.9539999999997</v>
      </c>
      <c r="T536" s="8">
        <f t="shared" si="53"/>
        <v>3977.113800000001</v>
      </c>
    </row>
    <row r="537" spans="1:20" ht="16.5" x14ac:dyDescent="0.3">
      <c r="A537" s="4" t="s">
        <v>106</v>
      </c>
      <c r="B537" s="6">
        <v>45817</v>
      </c>
      <c r="C537" s="14">
        <v>45817</v>
      </c>
      <c r="D537" s="4" t="s">
        <v>825</v>
      </c>
      <c r="E537" s="8">
        <v>527.33000000000004</v>
      </c>
      <c r="F537" s="8">
        <f t="shared" si="48"/>
        <v>606.42949999999996</v>
      </c>
      <c r="G537" s="8">
        <v>911.72</v>
      </c>
      <c r="H537" s="8">
        <v>911.72</v>
      </c>
      <c r="I537" s="8" t="s">
        <v>1469</v>
      </c>
      <c r="J537" s="10">
        <v>0.14399999999999999</v>
      </c>
      <c r="K537" s="10">
        <v>0.14399999999999999</v>
      </c>
      <c r="L537" s="10">
        <f t="shared" si="49"/>
        <v>0.14399999999999999</v>
      </c>
      <c r="M537" s="12">
        <v>25</v>
      </c>
      <c r="N537" s="12">
        <f t="shared" si="50"/>
        <v>30</v>
      </c>
      <c r="O537" s="8">
        <v>19510.808000000001</v>
      </c>
      <c r="P537" s="8">
        <f t="shared" si="51"/>
        <v>23412.9696</v>
      </c>
      <c r="Q537" s="8">
        <v>13183.250000000002</v>
      </c>
      <c r="R537" s="8">
        <f t="shared" si="52"/>
        <v>18192.884999999998</v>
      </c>
      <c r="S537" s="8">
        <v>6327.5579999999991</v>
      </c>
      <c r="T537" s="8">
        <f t="shared" si="53"/>
        <v>5220.084600000002</v>
      </c>
    </row>
    <row r="538" spans="1:20" ht="16.5" x14ac:dyDescent="0.3">
      <c r="A538" s="4" t="s">
        <v>629</v>
      </c>
      <c r="B538" s="6">
        <v>45727</v>
      </c>
      <c r="C538" s="14">
        <v>45727</v>
      </c>
      <c r="D538" s="4" t="s">
        <v>1347</v>
      </c>
      <c r="E538" s="8">
        <v>1317.58</v>
      </c>
      <c r="F538" s="8">
        <f t="shared" si="48"/>
        <v>1515.2169999999999</v>
      </c>
      <c r="G538" s="8">
        <v>1897.74</v>
      </c>
      <c r="H538" s="8">
        <v>1897.74</v>
      </c>
      <c r="I538" s="8" t="s">
        <v>1470</v>
      </c>
      <c r="J538" s="10">
        <v>8.1000000000000003E-2</v>
      </c>
      <c r="K538" s="10">
        <v>8.1000000000000003E-2</v>
      </c>
      <c r="L538" s="10">
        <f t="shared" si="49"/>
        <v>8.1000000000000003E-2</v>
      </c>
      <c r="M538" s="12">
        <v>6</v>
      </c>
      <c r="N538" s="12">
        <f t="shared" si="50"/>
        <v>7.1999999999999993</v>
      </c>
      <c r="O538" s="8">
        <v>10464.138360000001</v>
      </c>
      <c r="P538" s="8">
        <f t="shared" si="51"/>
        <v>12556.966032</v>
      </c>
      <c r="Q538" s="8">
        <v>7905.48</v>
      </c>
      <c r="R538" s="8">
        <f t="shared" si="52"/>
        <v>10909.562399999999</v>
      </c>
      <c r="S538" s="8">
        <v>2558.6583600000013</v>
      </c>
      <c r="T538" s="8">
        <f t="shared" si="53"/>
        <v>1647.4036320000014</v>
      </c>
    </row>
    <row r="539" spans="1:20" ht="16.5" x14ac:dyDescent="0.3">
      <c r="A539" s="4" t="s">
        <v>142</v>
      </c>
      <c r="B539" s="6">
        <v>45874</v>
      </c>
      <c r="C539" s="14">
        <v>45874</v>
      </c>
      <c r="D539" s="4" t="s">
        <v>861</v>
      </c>
      <c r="E539" s="8">
        <v>41.76</v>
      </c>
      <c r="F539" s="8">
        <f t="shared" si="48"/>
        <v>48.023999999999994</v>
      </c>
      <c r="G539" s="8">
        <v>45.19</v>
      </c>
      <c r="H539" s="8">
        <v>45.19</v>
      </c>
      <c r="I539" s="8" t="s">
        <v>1471</v>
      </c>
      <c r="J539" s="10">
        <v>0.17899999999999999</v>
      </c>
      <c r="K539" s="10">
        <v>0.17899999999999999</v>
      </c>
      <c r="L539" s="10">
        <f t="shared" si="49"/>
        <v>0.17899999999999999</v>
      </c>
      <c r="M539" s="12">
        <v>23</v>
      </c>
      <c r="N539" s="12">
        <f t="shared" si="50"/>
        <v>27.599999999999998</v>
      </c>
      <c r="O539" s="8">
        <v>853.32276999999988</v>
      </c>
      <c r="P539" s="8">
        <f t="shared" si="51"/>
        <v>1023.9873239999998</v>
      </c>
      <c r="Q539" s="8">
        <v>960.4799999999999</v>
      </c>
      <c r="R539" s="8">
        <f t="shared" si="52"/>
        <v>1325.4623999999997</v>
      </c>
      <c r="S539" s="8">
        <v>-107.15723000000003</v>
      </c>
      <c r="T539" s="8">
        <f t="shared" si="53"/>
        <v>-301.47507599999983</v>
      </c>
    </row>
    <row r="540" spans="1:20" ht="16.5" x14ac:dyDescent="0.3">
      <c r="A540" s="4" t="s">
        <v>300</v>
      </c>
      <c r="B540" s="6">
        <v>45751</v>
      </c>
      <c r="C540" s="14">
        <v>45751</v>
      </c>
      <c r="D540" s="4" t="s">
        <v>1020</v>
      </c>
      <c r="E540" s="8">
        <v>7.02</v>
      </c>
      <c r="F540" s="8">
        <f t="shared" si="48"/>
        <v>8.0729999999999986</v>
      </c>
      <c r="G540" s="8">
        <v>6.28</v>
      </c>
      <c r="H540" s="8">
        <v>6.28</v>
      </c>
      <c r="I540" s="8" t="s">
        <v>1471</v>
      </c>
      <c r="J540" s="10">
        <v>0.13400000000000001</v>
      </c>
      <c r="K540" s="10">
        <v>0.13400000000000001</v>
      </c>
      <c r="L540" s="10">
        <f t="shared" si="49"/>
        <v>0.13400000000000001</v>
      </c>
      <c r="M540" s="12">
        <v>14</v>
      </c>
      <c r="N540" s="12">
        <f t="shared" si="50"/>
        <v>16.8</v>
      </c>
      <c r="O540" s="8">
        <v>76.138720000000006</v>
      </c>
      <c r="P540" s="8">
        <f t="shared" si="51"/>
        <v>91.366464000000008</v>
      </c>
      <c r="Q540" s="8">
        <v>98.28</v>
      </c>
      <c r="R540" s="8">
        <f t="shared" si="52"/>
        <v>135.62639999999999</v>
      </c>
      <c r="S540" s="8">
        <v>-22.141279999999995</v>
      </c>
      <c r="T540" s="8">
        <f t="shared" si="53"/>
        <v>-44.259935999999982</v>
      </c>
    </row>
    <row r="541" spans="1:20" ht="16.5" x14ac:dyDescent="0.3">
      <c r="A541" s="4" t="s">
        <v>113</v>
      </c>
      <c r="B541" s="6">
        <v>45860</v>
      </c>
      <c r="C541" s="14">
        <v>45860</v>
      </c>
      <c r="D541" s="4" t="s">
        <v>832</v>
      </c>
      <c r="E541" s="8">
        <v>547.32000000000005</v>
      </c>
      <c r="F541" s="8">
        <f t="shared" si="48"/>
        <v>629.41800000000001</v>
      </c>
      <c r="G541" s="8">
        <v>419.17</v>
      </c>
      <c r="H541" s="8">
        <v>419.17</v>
      </c>
      <c r="I541" s="8" t="s">
        <v>1471</v>
      </c>
      <c r="J541" s="10">
        <v>9.1999999999999998E-2</v>
      </c>
      <c r="K541" s="10">
        <v>9.1999999999999998E-2</v>
      </c>
      <c r="L541" s="10">
        <f t="shared" si="49"/>
        <v>9.1999999999999998E-2</v>
      </c>
      <c r="M541" s="12">
        <v>14</v>
      </c>
      <c r="N541" s="12">
        <f t="shared" si="50"/>
        <v>16.8</v>
      </c>
      <c r="O541" s="8">
        <v>5328.4890400000004</v>
      </c>
      <c r="P541" s="8">
        <f t="shared" si="51"/>
        <v>6394.1868480000003</v>
      </c>
      <c r="Q541" s="8">
        <v>7662.4800000000005</v>
      </c>
      <c r="R541" s="8">
        <f t="shared" si="52"/>
        <v>10574.222400000001</v>
      </c>
      <c r="S541" s="8">
        <v>-2333.9909600000001</v>
      </c>
      <c r="T541" s="8">
        <f t="shared" si="53"/>
        <v>-4180.0355520000003</v>
      </c>
    </row>
    <row r="542" spans="1:20" ht="16.5" x14ac:dyDescent="0.3">
      <c r="A542" s="4" t="s">
        <v>201</v>
      </c>
      <c r="B542" s="6">
        <v>45670</v>
      </c>
      <c r="C542" s="14">
        <v>45670</v>
      </c>
      <c r="D542" s="4" t="s">
        <v>920</v>
      </c>
      <c r="E542" s="8">
        <v>594.74</v>
      </c>
      <c r="F542" s="8">
        <f t="shared" si="48"/>
        <v>683.95099999999991</v>
      </c>
      <c r="G542" s="8">
        <v>1020.69</v>
      </c>
      <c r="H542" s="8">
        <v>1020.69</v>
      </c>
      <c r="I542" s="8" t="s">
        <v>1469</v>
      </c>
      <c r="J542" s="10">
        <v>0.21099999999999999</v>
      </c>
      <c r="K542" s="10">
        <v>0.21099999999999999</v>
      </c>
      <c r="L542" s="10">
        <f t="shared" si="49"/>
        <v>0.21099999999999999</v>
      </c>
      <c r="M542" s="12">
        <v>6</v>
      </c>
      <c r="N542" s="12">
        <f t="shared" si="50"/>
        <v>7.1999999999999993</v>
      </c>
      <c r="O542" s="8">
        <v>4831.9464600000001</v>
      </c>
      <c r="P542" s="8">
        <f t="shared" si="51"/>
        <v>5798.335752</v>
      </c>
      <c r="Q542" s="8">
        <v>3568.44</v>
      </c>
      <c r="R542" s="8">
        <f t="shared" si="52"/>
        <v>4924.4471999999987</v>
      </c>
      <c r="S542" s="8">
        <v>1263.5064600000001</v>
      </c>
      <c r="T542" s="8">
        <f t="shared" si="53"/>
        <v>873.88855200000125</v>
      </c>
    </row>
    <row r="543" spans="1:20" ht="16.5" x14ac:dyDescent="0.3">
      <c r="A543" s="4" t="s">
        <v>44</v>
      </c>
      <c r="B543" s="6">
        <v>45754</v>
      </c>
      <c r="C543" s="14">
        <v>45754</v>
      </c>
      <c r="D543" s="4" t="s">
        <v>763</v>
      </c>
      <c r="E543" s="8">
        <v>754.77</v>
      </c>
      <c r="F543" s="8">
        <f t="shared" si="48"/>
        <v>867.98549999999989</v>
      </c>
      <c r="G543" s="8">
        <v>1666.18</v>
      </c>
      <c r="H543" s="8">
        <v>1666.18</v>
      </c>
      <c r="I543" s="8" t="s">
        <v>1469</v>
      </c>
      <c r="J543" s="10">
        <v>0.13900000000000001</v>
      </c>
      <c r="K543" s="10">
        <v>0.13900000000000001</v>
      </c>
      <c r="L543" s="10">
        <f t="shared" si="49"/>
        <v>0.13900000000000001</v>
      </c>
      <c r="M543" s="12">
        <v>14</v>
      </c>
      <c r="N543" s="12">
        <f t="shared" si="50"/>
        <v>16.8</v>
      </c>
      <c r="O543" s="8">
        <v>20084.133720000002</v>
      </c>
      <c r="P543" s="8">
        <f t="shared" si="51"/>
        <v>24100.960464</v>
      </c>
      <c r="Q543" s="8">
        <v>10566.779999999999</v>
      </c>
      <c r="R543" s="8">
        <f t="shared" si="52"/>
        <v>14582.156399999998</v>
      </c>
      <c r="S543" s="8">
        <v>9517.3537200000028</v>
      </c>
      <c r="T543" s="8">
        <f t="shared" si="53"/>
        <v>9518.8040640000017</v>
      </c>
    </row>
    <row r="544" spans="1:20" ht="16.5" x14ac:dyDescent="0.3">
      <c r="A544" s="4" t="s">
        <v>227</v>
      </c>
      <c r="B544" s="6">
        <v>45686</v>
      </c>
      <c r="C544" s="14">
        <v>45686</v>
      </c>
      <c r="D544" s="4" t="s">
        <v>947</v>
      </c>
      <c r="E544" s="8">
        <v>1445.27</v>
      </c>
      <c r="F544" s="8">
        <f t="shared" si="48"/>
        <v>1662.0604999999998</v>
      </c>
      <c r="G544" s="8">
        <v>2691.45</v>
      </c>
      <c r="H544" s="8">
        <v>2691.45</v>
      </c>
      <c r="I544" s="8" t="s">
        <v>1470</v>
      </c>
      <c r="J544" s="10">
        <v>0</v>
      </c>
      <c r="K544" s="10">
        <v>0</v>
      </c>
      <c r="L544" s="10">
        <f t="shared" si="49"/>
        <v>0</v>
      </c>
      <c r="M544" s="12">
        <v>9</v>
      </c>
      <c r="N544" s="12">
        <f t="shared" si="50"/>
        <v>10.799999999999999</v>
      </c>
      <c r="O544" s="8">
        <v>24223.05</v>
      </c>
      <c r="P544" s="8">
        <f t="shared" si="51"/>
        <v>29067.659999999996</v>
      </c>
      <c r="Q544" s="8">
        <v>13007.43</v>
      </c>
      <c r="R544" s="8">
        <f t="shared" si="52"/>
        <v>17950.253399999998</v>
      </c>
      <c r="S544" s="8">
        <v>11215.619999999999</v>
      </c>
      <c r="T544" s="8">
        <f t="shared" si="53"/>
        <v>11117.406599999998</v>
      </c>
    </row>
    <row r="545" spans="1:20" ht="16.5" x14ac:dyDescent="0.3">
      <c r="A545" s="4" t="s">
        <v>68</v>
      </c>
      <c r="B545" s="6">
        <v>45678</v>
      </c>
      <c r="C545" s="14">
        <v>45678</v>
      </c>
      <c r="D545" s="4" t="s">
        <v>787</v>
      </c>
      <c r="E545" s="8">
        <v>204.11</v>
      </c>
      <c r="F545" s="8">
        <f t="shared" si="48"/>
        <v>234.72649999999999</v>
      </c>
      <c r="G545" s="8">
        <v>236.87</v>
      </c>
      <c r="H545" s="8">
        <v>236.87</v>
      </c>
      <c r="I545" s="8" t="s">
        <v>1471</v>
      </c>
      <c r="J545" s="10">
        <v>0.182</v>
      </c>
      <c r="K545" s="10">
        <v>0.182</v>
      </c>
      <c r="L545" s="10">
        <f t="shared" si="49"/>
        <v>0.182</v>
      </c>
      <c r="M545" s="12">
        <v>13</v>
      </c>
      <c r="N545" s="12">
        <f t="shared" si="50"/>
        <v>15.6</v>
      </c>
      <c r="O545" s="8">
        <v>2518.8755800000004</v>
      </c>
      <c r="P545" s="8">
        <f t="shared" si="51"/>
        <v>3022.6506960000002</v>
      </c>
      <c r="Q545" s="8">
        <v>2653.4300000000003</v>
      </c>
      <c r="R545" s="8">
        <f t="shared" si="52"/>
        <v>3661.7333999999996</v>
      </c>
      <c r="S545" s="8">
        <v>-134.55441999999994</v>
      </c>
      <c r="T545" s="8">
        <f t="shared" si="53"/>
        <v>-639.08270399999947</v>
      </c>
    </row>
    <row r="546" spans="1:20" ht="16.5" x14ac:dyDescent="0.3">
      <c r="A546" s="4" t="s">
        <v>37</v>
      </c>
      <c r="B546" s="6">
        <v>45822</v>
      </c>
      <c r="C546" s="14">
        <v>45822</v>
      </c>
      <c r="D546" s="4" t="s">
        <v>756</v>
      </c>
      <c r="E546" s="8">
        <v>730.99</v>
      </c>
      <c r="F546" s="8">
        <f t="shared" si="48"/>
        <v>840.63849999999991</v>
      </c>
      <c r="G546" s="8">
        <v>1242.8399999999999</v>
      </c>
      <c r="H546" s="8">
        <v>1242.8399999999999</v>
      </c>
      <c r="I546" s="8" t="s">
        <v>1469</v>
      </c>
      <c r="J546" s="10">
        <v>0.12</v>
      </c>
      <c r="K546" s="10">
        <v>0.12</v>
      </c>
      <c r="L546" s="10">
        <f t="shared" si="49"/>
        <v>0.12</v>
      </c>
      <c r="M546" s="12">
        <v>10</v>
      </c>
      <c r="N546" s="12">
        <f t="shared" si="50"/>
        <v>12</v>
      </c>
      <c r="O546" s="8">
        <v>10936.992</v>
      </c>
      <c r="P546" s="8">
        <f t="shared" si="51"/>
        <v>13124.390399999998</v>
      </c>
      <c r="Q546" s="8">
        <v>7309.9</v>
      </c>
      <c r="R546" s="8">
        <f t="shared" si="52"/>
        <v>10087.661999999998</v>
      </c>
      <c r="S546" s="8">
        <v>3627.0920000000006</v>
      </c>
      <c r="T546" s="8">
        <f t="shared" si="53"/>
        <v>3036.7284</v>
      </c>
    </row>
    <row r="547" spans="1:20" ht="16.5" x14ac:dyDescent="0.3">
      <c r="A547" s="4" t="s">
        <v>225</v>
      </c>
      <c r="B547" s="6">
        <v>45852</v>
      </c>
      <c r="C547" s="14">
        <v>45852</v>
      </c>
      <c r="D547" s="4" t="s">
        <v>945</v>
      </c>
      <c r="E547" s="8">
        <v>90.3</v>
      </c>
      <c r="F547" s="8">
        <f t="shared" si="48"/>
        <v>103.84499999999998</v>
      </c>
      <c r="G547" s="8">
        <v>131.76</v>
      </c>
      <c r="H547" s="8">
        <v>131.76</v>
      </c>
      <c r="I547" s="8" t="s">
        <v>1471</v>
      </c>
      <c r="J547" s="10">
        <v>0.10199999999999999</v>
      </c>
      <c r="K547" s="10">
        <v>0.10199999999999999</v>
      </c>
      <c r="L547" s="10">
        <f t="shared" si="49"/>
        <v>0.10199999999999999</v>
      </c>
      <c r="M547" s="12">
        <v>15</v>
      </c>
      <c r="N547" s="12">
        <f t="shared" si="50"/>
        <v>18</v>
      </c>
      <c r="O547" s="8">
        <v>1774.8072</v>
      </c>
      <c r="P547" s="8">
        <f t="shared" si="51"/>
        <v>2129.7686399999998</v>
      </c>
      <c r="Q547" s="8">
        <v>1354.5</v>
      </c>
      <c r="R547" s="8">
        <f t="shared" si="52"/>
        <v>1869.2099999999998</v>
      </c>
      <c r="S547" s="8">
        <v>420.30719999999997</v>
      </c>
      <c r="T547" s="8">
        <f t="shared" si="53"/>
        <v>260.55863999999997</v>
      </c>
    </row>
    <row r="548" spans="1:20" ht="16.5" x14ac:dyDescent="0.3">
      <c r="A548" s="4" t="s">
        <v>412</v>
      </c>
      <c r="B548" s="6">
        <v>45914</v>
      </c>
      <c r="C548" s="14">
        <v>45914</v>
      </c>
      <c r="D548" s="4" t="s">
        <v>1131</v>
      </c>
      <c r="E548" s="8">
        <v>1310.3</v>
      </c>
      <c r="F548" s="8">
        <f t="shared" si="48"/>
        <v>1506.8449999999998</v>
      </c>
      <c r="G548" s="8">
        <v>2875.8</v>
      </c>
      <c r="H548" s="8">
        <v>2875.8</v>
      </c>
      <c r="I548" s="8" t="s">
        <v>1470</v>
      </c>
      <c r="J548" s="10">
        <v>8.3000000000000004E-2</v>
      </c>
      <c r="K548" s="10">
        <v>8.3000000000000004E-2</v>
      </c>
      <c r="L548" s="10">
        <f t="shared" si="49"/>
        <v>8.3000000000000004E-2</v>
      </c>
      <c r="M548" s="12">
        <v>5</v>
      </c>
      <c r="N548" s="12">
        <f t="shared" si="50"/>
        <v>6</v>
      </c>
      <c r="O548" s="8">
        <v>13185.543</v>
      </c>
      <c r="P548" s="8">
        <f t="shared" si="51"/>
        <v>15822.651600000003</v>
      </c>
      <c r="Q548" s="8">
        <v>6551.5</v>
      </c>
      <c r="R548" s="8">
        <f t="shared" si="52"/>
        <v>9041.07</v>
      </c>
      <c r="S548" s="8">
        <v>6634.0429999999997</v>
      </c>
      <c r="T548" s="8">
        <f t="shared" si="53"/>
        <v>6781.5816000000032</v>
      </c>
    </row>
    <row r="549" spans="1:20" ht="16.5" x14ac:dyDescent="0.3">
      <c r="A549" s="4" t="s">
        <v>375</v>
      </c>
      <c r="B549" s="6">
        <v>45833</v>
      </c>
      <c r="C549" s="14">
        <v>45833</v>
      </c>
      <c r="D549" s="4" t="s">
        <v>1095</v>
      </c>
      <c r="E549" s="8">
        <v>546.83000000000004</v>
      </c>
      <c r="F549" s="8">
        <f t="shared" si="48"/>
        <v>628.85450000000003</v>
      </c>
      <c r="G549" s="8">
        <v>400.84</v>
      </c>
      <c r="H549" s="8">
        <v>400.84</v>
      </c>
      <c r="I549" s="8" t="s">
        <v>1471</v>
      </c>
      <c r="J549" s="10">
        <v>7.8E-2</v>
      </c>
      <c r="K549" s="10">
        <v>7.8E-2</v>
      </c>
      <c r="L549" s="10">
        <f t="shared" si="49"/>
        <v>7.8E-2</v>
      </c>
      <c r="M549" s="12">
        <v>13</v>
      </c>
      <c r="N549" s="12">
        <f t="shared" si="50"/>
        <v>15.6</v>
      </c>
      <c r="O549" s="8">
        <v>4804.4682400000002</v>
      </c>
      <c r="P549" s="8">
        <f t="shared" si="51"/>
        <v>5765.3618879999995</v>
      </c>
      <c r="Q549" s="8">
        <v>7108.7900000000009</v>
      </c>
      <c r="R549" s="8">
        <f t="shared" si="52"/>
        <v>9810.1301999999996</v>
      </c>
      <c r="S549" s="8">
        <v>-2304.3217600000007</v>
      </c>
      <c r="T549" s="8">
        <f t="shared" si="53"/>
        <v>-4044.7683120000002</v>
      </c>
    </row>
    <row r="550" spans="1:20" ht="16.5" x14ac:dyDescent="0.3">
      <c r="A550" s="4" t="s">
        <v>414</v>
      </c>
      <c r="B550" s="6">
        <v>45759</v>
      </c>
      <c r="C550" s="14">
        <v>45759</v>
      </c>
      <c r="D550" s="4" t="s">
        <v>1133</v>
      </c>
      <c r="E550" s="8">
        <v>1119.04</v>
      </c>
      <c r="F550" s="8">
        <f t="shared" si="48"/>
        <v>1286.896</v>
      </c>
      <c r="G550" s="8">
        <v>1299.02</v>
      </c>
      <c r="H550" s="8">
        <v>1299.02</v>
      </c>
      <c r="I550" s="8" t="s">
        <v>1469</v>
      </c>
      <c r="J550" s="10">
        <v>2.5000000000000001E-2</v>
      </c>
      <c r="K550" s="10">
        <v>2.5000000000000001E-2</v>
      </c>
      <c r="L550" s="10">
        <f t="shared" si="49"/>
        <v>2.5000000000000001E-2</v>
      </c>
      <c r="M550" s="12">
        <v>14</v>
      </c>
      <c r="N550" s="12">
        <f t="shared" si="50"/>
        <v>16.8</v>
      </c>
      <c r="O550" s="8">
        <v>17731.623</v>
      </c>
      <c r="P550" s="8">
        <f t="shared" si="51"/>
        <v>21277.9476</v>
      </c>
      <c r="Q550" s="8">
        <v>15666.56</v>
      </c>
      <c r="R550" s="8">
        <f t="shared" si="52"/>
        <v>21619.852800000001</v>
      </c>
      <c r="S550" s="8">
        <v>2065.0630000000001</v>
      </c>
      <c r="T550" s="8">
        <f t="shared" si="53"/>
        <v>-341.90520000000106</v>
      </c>
    </row>
    <row r="551" spans="1:20" ht="16.5" x14ac:dyDescent="0.3">
      <c r="A551" s="4" t="s">
        <v>381</v>
      </c>
      <c r="B551" s="6">
        <v>45731</v>
      </c>
      <c r="C551" s="14">
        <v>45731</v>
      </c>
      <c r="D551" s="4" t="s">
        <v>1101</v>
      </c>
      <c r="E551" s="8">
        <v>935.83</v>
      </c>
      <c r="F551" s="8">
        <f t="shared" si="48"/>
        <v>1076.2045000000001</v>
      </c>
      <c r="G551" s="8">
        <v>2303.46</v>
      </c>
      <c r="H551" s="8">
        <v>2303.46</v>
      </c>
      <c r="I551" s="8" t="s">
        <v>1470</v>
      </c>
      <c r="J551" s="10">
        <v>0.105</v>
      </c>
      <c r="K551" s="10">
        <v>0.105</v>
      </c>
      <c r="L551" s="10">
        <f t="shared" si="49"/>
        <v>0.105</v>
      </c>
      <c r="M551" s="12">
        <v>9</v>
      </c>
      <c r="N551" s="12">
        <f t="shared" si="50"/>
        <v>10.799999999999999</v>
      </c>
      <c r="O551" s="8">
        <v>18554.370299999999</v>
      </c>
      <c r="P551" s="8">
        <f t="shared" si="51"/>
        <v>22265.244360000001</v>
      </c>
      <c r="Q551" s="8">
        <v>8422.4700000000012</v>
      </c>
      <c r="R551" s="8">
        <f t="shared" si="52"/>
        <v>11623.008599999999</v>
      </c>
      <c r="S551" s="8">
        <v>10131.900299999998</v>
      </c>
      <c r="T551" s="8">
        <f t="shared" si="53"/>
        <v>10642.235760000001</v>
      </c>
    </row>
    <row r="552" spans="1:20" ht="16.5" x14ac:dyDescent="0.3">
      <c r="A552" s="4" t="s">
        <v>105</v>
      </c>
      <c r="B552" s="6">
        <v>45775</v>
      </c>
      <c r="C552" s="14">
        <v>45775</v>
      </c>
      <c r="D552" s="4" t="s">
        <v>824</v>
      </c>
      <c r="E552" s="8">
        <v>691.19</v>
      </c>
      <c r="F552" s="8">
        <f t="shared" si="48"/>
        <v>794.86850000000004</v>
      </c>
      <c r="G552" s="8">
        <v>1284.3</v>
      </c>
      <c r="H552" s="8">
        <v>1284.3</v>
      </c>
      <c r="I552" s="8" t="s">
        <v>1469</v>
      </c>
      <c r="J552" s="10">
        <v>7.3999999999999996E-2</v>
      </c>
      <c r="K552" s="10">
        <v>7.3999999999999996E-2</v>
      </c>
      <c r="L552" s="10">
        <f t="shared" si="49"/>
        <v>7.3999999999999996E-2</v>
      </c>
      <c r="M552" s="12">
        <v>7</v>
      </c>
      <c r="N552" s="12">
        <f t="shared" si="50"/>
        <v>8.4</v>
      </c>
      <c r="O552" s="8">
        <v>8324.8326000000015</v>
      </c>
      <c r="P552" s="8">
        <f t="shared" si="51"/>
        <v>9989.7991200000015</v>
      </c>
      <c r="Q552" s="8">
        <v>4838.33</v>
      </c>
      <c r="R552" s="8">
        <f t="shared" si="52"/>
        <v>6676.8954000000003</v>
      </c>
      <c r="S552" s="8">
        <v>3486.5026000000016</v>
      </c>
      <c r="T552" s="8">
        <f t="shared" si="53"/>
        <v>3312.9037200000012</v>
      </c>
    </row>
    <row r="553" spans="1:20" ht="16.5" x14ac:dyDescent="0.3">
      <c r="A553" s="4" t="s">
        <v>223</v>
      </c>
      <c r="B553" s="6">
        <v>45859</v>
      </c>
      <c r="C553" s="14">
        <v>45859</v>
      </c>
      <c r="D553" s="4" t="s">
        <v>943</v>
      </c>
      <c r="E553" s="8">
        <v>1204.95</v>
      </c>
      <c r="F553" s="8">
        <f t="shared" si="48"/>
        <v>1385.6924999999999</v>
      </c>
      <c r="G553" s="8">
        <v>2065.73</v>
      </c>
      <c r="H553" s="8">
        <v>2065.73</v>
      </c>
      <c r="I553" s="8" t="s">
        <v>1470</v>
      </c>
      <c r="J553" s="10">
        <v>0.13600000000000001</v>
      </c>
      <c r="K553" s="10">
        <v>0.13600000000000001</v>
      </c>
      <c r="L553" s="10">
        <f t="shared" si="49"/>
        <v>0.13600000000000001</v>
      </c>
      <c r="M553" s="12">
        <v>10</v>
      </c>
      <c r="N553" s="12">
        <f t="shared" si="50"/>
        <v>12</v>
      </c>
      <c r="O553" s="8">
        <v>17847.907199999998</v>
      </c>
      <c r="P553" s="8">
        <f t="shared" si="51"/>
        <v>21417.488640000003</v>
      </c>
      <c r="Q553" s="8">
        <v>12049.5</v>
      </c>
      <c r="R553" s="8">
        <f t="shared" si="52"/>
        <v>16628.309999999998</v>
      </c>
      <c r="S553" s="8">
        <v>5798.4071999999978</v>
      </c>
      <c r="T553" s="8">
        <f t="shared" si="53"/>
        <v>4789.1786400000055</v>
      </c>
    </row>
    <row r="554" spans="1:20" ht="16.5" x14ac:dyDescent="0.3">
      <c r="A554" s="4" t="s">
        <v>529</v>
      </c>
      <c r="B554" s="6">
        <v>45874</v>
      </c>
      <c r="C554" s="14">
        <v>45874</v>
      </c>
      <c r="D554" s="4" t="s">
        <v>1248</v>
      </c>
      <c r="E554" s="8">
        <v>638.54</v>
      </c>
      <c r="F554" s="8">
        <f t="shared" si="48"/>
        <v>734.32099999999991</v>
      </c>
      <c r="G554" s="8">
        <v>987.24</v>
      </c>
      <c r="H554" s="8">
        <v>987.24</v>
      </c>
      <c r="I554" s="8" t="s">
        <v>1469</v>
      </c>
      <c r="J554" s="10">
        <v>0</v>
      </c>
      <c r="K554" s="10">
        <v>0</v>
      </c>
      <c r="L554" s="10">
        <f t="shared" si="49"/>
        <v>0</v>
      </c>
      <c r="M554" s="12">
        <v>11</v>
      </c>
      <c r="N554" s="12">
        <f t="shared" si="50"/>
        <v>13.2</v>
      </c>
      <c r="O554" s="8">
        <v>10859.64</v>
      </c>
      <c r="P554" s="8">
        <f t="shared" si="51"/>
        <v>13031.567999999999</v>
      </c>
      <c r="Q554" s="8">
        <v>7023.94</v>
      </c>
      <c r="R554" s="8">
        <f t="shared" si="52"/>
        <v>9693.0371999999988</v>
      </c>
      <c r="S554" s="8">
        <v>3835.7</v>
      </c>
      <c r="T554" s="8">
        <f t="shared" si="53"/>
        <v>3338.5308000000005</v>
      </c>
    </row>
    <row r="555" spans="1:20" ht="16.5" x14ac:dyDescent="0.3">
      <c r="A555" s="4" t="s">
        <v>392</v>
      </c>
      <c r="B555" s="6">
        <v>45664</v>
      </c>
      <c r="C555" s="14">
        <v>45664</v>
      </c>
      <c r="D555" s="4" t="s">
        <v>1112</v>
      </c>
      <c r="E555" s="8">
        <v>432.13</v>
      </c>
      <c r="F555" s="8">
        <f t="shared" si="48"/>
        <v>496.94949999999994</v>
      </c>
      <c r="G555" s="8">
        <v>1034.6600000000001</v>
      </c>
      <c r="H555" s="8">
        <v>1034.6600000000001</v>
      </c>
      <c r="I555" s="8" t="s">
        <v>1469</v>
      </c>
      <c r="J555" s="10">
        <v>9.1999999999999998E-2</v>
      </c>
      <c r="K555" s="10">
        <v>9.1999999999999998E-2</v>
      </c>
      <c r="L555" s="10">
        <f t="shared" si="49"/>
        <v>9.1999999999999998E-2</v>
      </c>
      <c r="M555" s="12">
        <v>7</v>
      </c>
      <c r="N555" s="12">
        <f t="shared" si="50"/>
        <v>8.4</v>
      </c>
      <c r="O555" s="8">
        <v>6576.298960000001</v>
      </c>
      <c r="P555" s="8">
        <f t="shared" si="51"/>
        <v>7891.5587520000008</v>
      </c>
      <c r="Q555" s="8">
        <v>3024.91</v>
      </c>
      <c r="R555" s="8">
        <f t="shared" si="52"/>
        <v>4174.3757999999998</v>
      </c>
      <c r="S555" s="8">
        <v>3551.3889600000011</v>
      </c>
      <c r="T555" s="8">
        <f t="shared" si="53"/>
        <v>3717.182952000001</v>
      </c>
    </row>
    <row r="556" spans="1:20" ht="16.5" x14ac:dyDescent="0.3">
      <c r="A556" s="4" t="s">
        <v>73</v>
      </c>
      <c r="B556" s="6">
        <v>45817</v>
      </c>
      <c r="C556" s="14">
        <v>45817</v>
      </c>
      <c r="D556" s="4" t="s">
        <v>792</v>
      </c>
      <c r="E556" s="8">
        <v>1225.5</v>
      </c>
      <c r="F556" s="8">
        <f t="shared" si="48"/>
        <v>1409.3249999999998</v>
      </c>
      <c r="G556" s="8">
        <v>-5.27</v>
      </c>
      <c r="H556" s="8">
        <v>5.27</v>
      </c>
      <c r="I556" s="8" t="s">
        <v>1471</v>
      </c>
      <c r="J556" s="10">
        <v>7.4999999999999997E-2</v>
      </c>
      <c r="K556" s="10">
        <v>7.4999999999999997E-2</v>
      </c>
      <c r="L556" s="10">
        <f t="shared" si="49"/>
        <v>7.4999999999999997E-2</v>
      </c>
      <c r="M556" s="12">
        <v>56</v>
      </c>
      <c r="N556" s="12">
        <f t="shared" si="50"/>
        <v>67.2</v>
      </c>
      <c r="O556" s="8">
        <v>272.98599999999999</v>
      </c>
      <c r="P556" s="8">
        <f t="shared" si="51"/>
        <v>327.58320000000003</v>
      </c>
      <c r="Q556" s="8">
        <v>68628</v>
      </c>
      <c r="R556" s="8">
        <f t="shared" si="52"/>
        <v>94706.639999999985</v>
      </c>
      <c r="S556" s="8">
        <v>-68355.013999999996</v>
      </c>
      <c r="T556" s="8">
        <f t="shared" si="53"/>
        <v>-94379.056799999991</v>
      </c>
    </row>
    <row r="557" spans="1:20" ht="16.5" x14ac:dyDescent="0.3">
      <c r="A557" s="4" t="s">
        <v>86</v>
      </c>
      <c r="B557" s="6">
        <v>45756</v>
      </c>
      <c r="C557" s="14">
        <v>45756</v>
      </c>
      <c r="D557" s="4" t="s">
        <v>805</v>
      </c>
      <c r="E557" s="8">
        <v>264.19</v>
      </c>
      <c r="F557" s="8">
        <f t="shared" si="48"/>
        <v>303.81849999999997</v>
      </c>
      <c r="G557" s="8">
        <v>620.92999999999995</v>
      </c>
      <c r="H557" s="8">
        <v>620.92999999999995</v>
      </c>
      <c r="I557" s="8" t="s">
        <v>1471</v>
      </c>
      <c r="J557" s="10">
        <v>0.14199999999999999</v>
      </c>
      <c r="K557" s="10">
        <v>0.14199999999999999</v>
      </c>
      <c r="L557" s="10">
        <f t="shared" si="49"/>
        <v>0.14199999999999999</v>
      </c>
      <c r="M557" s="12">
        <v>12</v>
      </c>
      <c r="N557" s="12">
        <f t="shared" si="50"/>
        <v>14.399999999999999</v>
      </c>
      <c r="O557" s="8">
        <v>6393.0952799999995</v>
      </c>
      <c r="P557" s="8">
        <f t="shared" si="51"/>
        <v>7671.7143359999982</v>
      </c>
      <c r="Q557" s="8">
        <v>3170.2799999999997</v>
      </c>
      <c r="R557" s="8">
        <f t="shared" si="52"/>
        <v>4374.9863999999989</v>
      </c>
      <c r="S557" s="8">
        <v>3222.8152799999998</v>
      </c>
      <c r="T557" s="8">
        <f t="shared" si="53"/>
        <v>3296.7279359999993</v>
      </c>
    </row>
    <row r="558" spans="1:20" ht="16.5" x14ac:dyDescent="0.3">
      <c r="A558" s="4" t="s">
        <v>256</v>
      </c>
      <c r="B558" s="6">
        <v>45871</v>
      </c>
      <c r="C558" s="14">
        <v>45871</v>
      </c>
      <c r="D558" s="4" t="s">
        <v>976</v>
      </c>
      <c r="E558" s="8">
        <v>1225.94</v>
      </c>
      <c r="F558" s="8">
        <f t="shared" si="48"/>
        <v>1409.8309999999999</v>
      </c>
      <c r="G558" s="8">
        <v>1793.08</v>
      </c>
      <c r="H558" s="8">
        <v>1793.08</v>
      </c>
      <c r="I558" s="8" t="s">
        <v>1470</v>
      </c>
      <c r="J558" s="10">
        <v>0.13600000000000001</v>
      </c>
      <c r="K558" s="10">
        <v>0.13600000000000001</v>
      </c>
      <c r="L558" s="10">
        <f t="shared" si="49"/>
        <v>0.13600000000000001</v>
      </c>
      <c r="M558" s="12">
        <v>22</v>
      </c>
      <c r="N558" s="12">
        <f t="shared" si="50"/>
        <v>26.4</v>
      </c>
      <c r="O558" s="8">
        <v>34082.864639999993</v>
      </c>
      <c r="P558" s="8">
        <f t="shared" si="51"/>
        <v>40899.437568000001</v>
      </c>
      <c r="Q558" s="8">
        <v>26970.68</v>
      </c>
      <c r="R558" s="8">
        <f t="shared" si="52"/>
        <v>37219.538399999998</v>
      </c>
      <c r="S558" s="8">
        <v>7112.1846399999922</v>
      </c>
      <c r="T558" s="8">
        <f t="shared" si="53"/>
        <v>3679.8991680000036</v>
      </c>
    </row>
    <row r="559" spans="1:20" ht="16.5" x14ac:dyDescent="0.3">
      <c r="A559" s="4" t="s">
        <v>128</v>
      </c>
      <c r="B559" s="6">
        <v>45674</v>
      </c>
      <c r="C559" s="14">
        <v>45674</v>
      </c>
      <c r="D559" s="4" t="s">
        <v>847</v>
      </c>
      <c r="E559" s="8">
        <v>142.09</v>
      </c>
      <c r="F559" s="8">
        <f t="shared" si="48"/>
        <v>163.40349999999998</v>
      </c>
      <c r="G559" s="8">
        <v>218.5</v>
      </c>
      <c r="H559" s="8">
        <v>218.5</v>
      </c>
      <c r="I559" s="8" t="s">
        <v>1471</v>
      </c>
      <c r="J559" s="10">
        <v>0.11899999999999999</v>
      </c>
      <c r="K559" s="10">
        <v>0.11899999999999999</v>
      </c>
      <c r="L559" s="10">
        <f t="shared" si="49"/>
        <v>0.11899999999999999</v>
      </c>
      <c r="M559" s="12">
        <v>11</v>
      </c>
      <c r="N559" s="12">
        <f t="shared" si="50"/>
        <v>13.2</v>
      </c>
      <c r="O559" s="8">
        <v>2117.4834999999998</v>
      </c>
      <c r="P559" s="8">
        <f t="shared" si="51"/>
        <v>2540.9802</v>
      </c>
      <c r="Q559" s="8">
        <v>1562.99</v>
      </c>
      <c r="R559" s="8">
        <f t="shared" si="52"/>
        <v>2156.9261999999994</v>
      </c>
      <c r="S559" s="8">
        <v>554.49349999999981</v>
      </c>
      <c r="T559" s="8">
        <f t="shared" si="53"/>
        <v>384.05400000000054</v>
      </c>
    </row>
    <row r="560" spans="1:20" ht="16.5" x14ac:dyDescent="0.3">
      <c r="A560" s="4" t="s">
        <v>637</v>
      </c>
      <c r="B560" s="6">
        <v>45857</v>
      </c>
      <c r="C560" s="14">
        <v>45857</v>
      </c>
      <c r="D560" s="4" t="s">
        <v>1355</v>
      </c>
      <c r="E560" s="8">
        <v>619.64</v>
      </c>
      <c r="F560" s="8">
        <f t="shared" si="48"/>
        <v>712.5859999999999</v>
      </c>
      <c r="G560" s="8">
        <v>861.16</v>
      </c>
      <c r="H560" s="8">
        <v>861.16</v>
      </c>
      <c r="I560" s="8" t="s">
        <v>1471</v>
      </c>
      <c r="J560" s="10">
        <v>0.113</v>
      </c>
      <c r="K560" s="10">
        <v>0.113</v>
      </c>
      <c r="L560" s="10">
        <f t="shared" si="49"/>
        <v>0.113</v>
      </c>
      <c r="M560" s="12">
        <v>14</v>
      </c>
      <c r="N560" s="12">
        <f t="shared" si="50"/>
        <v>16.8</v>
      </c>
      <c r="O560" s="8">
        <v>10693.88488</v>
      </c>
      <c r="P560" s="8">
        <f t="shared" si="51"/>
        <v>12832.661855999999</v>
      </c>
      <c r="Q560" s="8">
        <v>8674.9599999999991</v>
      </c>
      <c r="R560" s="8">
        <f t="shared" si="52"/>
        <v>11971.444799999999</v>
      </c>
      <c r="S560" s="8">
        <v>2018.9248800000005</v>
      </c>
      <c r="T560" s="8">
        <f t="shared" si="53"/>
        <v>861.2170559999995</v>
      </c>
    </row>
    <row r="561" spans="1:20" ht="16.5" x14ac:dyDescent="0.3">
      <c r="A561" s="4" t="s">
        <v>145</v>
      </c>
      <c r="B561" s="6">
        <v>45700</v>
      </c>
      <c r="C561" s="14">
        <v>45700</v>
      </c>
      <c r="D561" s="4" t="s">
        <v>864</v>
      </c>
      <c r="E561" s="8">
        <v>414.95</v>
      </c>
      <c r="F561" s="8">
        <f t="shared" si="48"/>
        <v>477.19249999999994</v>
      </c>
      <c r="G561" s="8">
        <v>1027.73</v>
      </c>
      <c r="H561" s="8">
        <v>1027.73</v>
      </c>
      <c r="I561" s="8" t="s">
        <v>1469</v>
      </c>
      <c r="J561" s="10">
        <v>6.3E-2</v>
      </c>
      <c r="K561" s="10">
        <v>6.3E-2</v>
      </c>
      <c r="L561" s="10">
        <f t="shared" si="49"/>
        <v>6.3E-2</v>
      </c>
      <c r="M561" s="12">
        <v>8</v>
      </c>
      <c r="N561" s="12">
        <f t="shared" si="50"/>
        <v>9.6</v>
      </c>
      <c r="O561" s="8">
        <v>7703.8640800000003</v>
      </c>
      <c r="P561" s="8">
        <f t="shared" si="51"/>
        <v>9244.6368960000018</v>
      </c>
      <c r="Q561" s="8">
        <v>3319.6</v>
      </c>
      <c r="R561" s="8">
        <f t="shared" si="52"/>
        <v>4581.0479999999989</v>
      </c>
      <c r="S561" s="8">
        <v>4384.2640800000008</v>
      </c>
      <c r="T561" s="8">
        <f t="shared" si="53"/>
        <v>4663.5888960000029</v>
      </c>
    </row>
    <row r="562" spans="1:20" ht="16.5" x14ac:dyDescent="0.3">
      <c r="A562" s="4" t="s">
        <v>436</v>
      </c>
      <c r="B562" s="6">
        <v>45841</v>
      </c>
      <c r="C562" s="14">
        <v>45841</v>
      </c>
      <c r="D562" s="4" t="s">
        <v>1155</v>
      </c>
      <c r="E562" s="8">
        <v>1313.3</v>
      </c>
      <c r="F562" s="8">
        <f t="shared" si="48"/>
        <v>1510.2949999999998</v>
      </c>
      <c r="G562" s="8">
        <v>2884.34</v>
      </c>
      <c r="H562" s="8">
        <v>2884.34</v>
      </c>
      <c r="I562" s="8" t="s">
        <v>1470</v>
      </c>
      <c r="J562" s="10">
        <v>0.157</v>
      </c>
      <c r="K562" s="10">
        <v>0.157</v>
      </c>
      <c r="L562" s="10">
        <f t="shared" si="49"/>
        <v>0.157</v>
      </c>
      <c r="M562" s="12">
        <v>42</v>
      </c>
      <c r="N562" s="12">
        <f t="shared" si="50"/>
        <v>50.4</v>
      </c>
      <c r="O562" s="8">
        <v>102122.94203999999</v>
      </c>
      <c r="P562" s="8">
        <f t="shared" si="51"/>
        <v>122547.530448</v>
      </c>
      <c r="Q562" s="8">
        <v>55158.6</v>
      </c>
      <c r="R562" s="8">
        <f t="shared" si="52"/>
        <v>76118.867999999988</v>
      </c>
      <c r="S562" s="8">
        <v>46964.342039999996</v>
      </c>
      <c r="T562" s="8">
        <f t="shared" si="53"/>
        <v>46428.662448000017</v>
      </c>
    </row>
    <row r="563" spans="1:20" ht="16.5" x14ac:dyDescent="0.3">
      <c r="A563" s="4" t="s">
        <v>194</v>
      </c>
      <c r="B563" s="6">
        <v>45890</v>
      </c>
      <c r="C563" s="14">
        <v>45890</v>
      </c>
      <c r="D563" s="4" t="s">
        <v>913</v>
      </c>
      <c r="E563" s="8">
        <v>352.66</v>
      </c>
      <c r="F563" s="8">
        <f t="shared" si="48"/>
        <v>405.55899999999997</v>
      </c>
      <c r="G563" s="8">
        <v>411.18</v>
      </c>
      <c r="H563" s="8">
        <v>411.18</v>
      </c>
      <c r="I563" s="8" t="s">
        <v>1471</v>
      </c>
      <c r="J563" s="10">
        <v>0.17299999999999999</v>
      </c>
      <c r="K563" s="10">
        <v>0.17299999999999999</v>
      </c>
      <c r="L563" s="10">
        <f t="shared" si="49"/>
        <v>0.17299999999999999</v>
      </c>
      <c r="M563" s="12">
        <v>13</v>
      </c>
      <c r="N563" s="12">
        <f t="shared" si="50"/>
        <v>15.6</v>
      </c>
      <c r="O563" s="8">
        <v>4420.5961799999995</v>
      </c>
      <c r="P563" s="8">
        <f t="shared" si="51"/>
        <v>5304.715416</v>
      </c>
      <c r="Q563" s="8">
        <v>4584.58</v>
      </c>
      <c r="R563" s="8">
        <f t="shared" si="52"/>
        <v>6326.7203999999992</v>
      </c>
      <c r="S563" s="8">
        <v>-163.98382000000038</v>
      </c>
      <c r="T563" s="8">
        <f t="shared" si="53"/>
        <v>-1022.0049839999992</v>
      </c>
    </row>
    <row r="564" spans="1:20" ht="16.5" x14ac:dyDescent="0.3">
      <c r="A564" s="4" t="s">
        <v>344</v>
      </c>
      <c r="B564" s="6">
        <v>45668</v>
      </c>
      <c r="C564" s="14">
        <v>45668</v>
      </c>
      <c r="D564" s="4" t="s">
        <v>1064</v>
      </c>
      <c r="E564" s="8">
        <v>100.69</v>
      </c>
      <c r="F564" s="8">
        <f t="shared" si="48"/>
        <v>115.79349999999999</v>
      </c>
      <c r="G564" s="8">
        <v>226.14</v>
      </c>
      <c r="H564" s="8">
        <v>226.14</v>
      </c>
      <c r="I564" s="8" t="s">
        <v>1471</v>
      </c>
      <c r="J564" s="10">
        <v>6.5000000000000002E-2</v>
      </c>
      <c r="K564" s="10">
        <v>6.5000000000000002E-2</v>
      </c>
      <c r="L564" s="10">
        <f t="shared" si="49"/>
        <v>6.5000000000000002E-2</v>
      </c>
      <c r="M564" s="12">
        <v>12</v>
      </c>
      <c r="N564" s="12">
        <f t="shared" si="50"/>
        <v>14.399999999999999</v>
      </c>
      <c r="O564" s="8">
        <v>2537.2908000000002</v>
      </c>
      <c r="P564" s="8">
        <f t="shared" si="51"/>
        <v>3044.7489599999994</v>
      </c>
      <c r="Q564" s="8">
        <v>1208.28</v>
      </c>
      <c r="R564" s="8">
        <f t="shared" si="52"/>
        <v>1667.4263999999998</v>
      </c>
      <c r="S564" s="8">
        <v>1329.0108000000002</v>
      </c>
      <c r="T564" s="8">
        <f t="shared" si="53"/>
        <v>1377.3225599999996</v>
      </c>
    </row>
    <row r="565" spans="1:20" ht="16.5" x14ac:dyDescent="0.3">
      <c r="A565" s="4" t="s">
        <v>578</v>
      </c>
      <c r="B565" s="6">
        <v>45692</v>
      </c>
      <c r="C565" s="14">
        <v>45692</v>
      </c>
      <c r="D565" s="4" t="s">
        <v>1296</v>
      </c>
      <c r="E565" s="8">
        <v>586.21</v>
      </c>
      <c r="F565" s="8">
        <f t="shared" si="48"/>
        <v>674.14149999999995</v>
      </c>
      <c r="G565" s="8">
        <v>727.22</v>
      </c>
      <c r="H565" s="8">
        <v>727.22</v>
      </c>
      <c r="I565" s="8" t="s">
        <v>1471</v>
      </c>
      <c r="J565" s="10">
        <v>6.8000000000000005E-2</v>
      </c>
      <c r="K565" s="10">
        <v>6.8000000000000005E-2</v>
      </c>
      <c r="L565" s="10">
        <f t="shared" si="49"/>
        <v>6.8000000000000005E-2</v>
      </c>
      <c r="M565" s="12">
        <v>15</v>
      </c>
      <c r="N565" s="12">
        <f t="shared" si="50"/>
        <v>18</v>
      </c>
      <c r="O565" s="8">
        <v>10166.535600000001</v>
      </c>
      <c r="P565" s="8">
        <f t="shared" si="51"/>
        <v>12199.842720000001</v>
      </c>
      <c r="Q565" s="8">
        <v>8793.1500000000015</v>
      </c>
      <c r="R565" s="8">
        <f t="shared" si="52"/>
        <v>12134.546999999999</v>
      </c>
      <c r="S565" s="8">
        <v>1373.3855999999996</v>
      </c>
      <c r="T565" s="8">
        <f t="shared" si="53"/>
        <v>65.295720000001893</v>
      </c>
    </row>
    <row r="566" spans="1:20" ht="16.5" x14ac:dyDescent="0.3">
      <c r="A566" s="4" t="s">
        <v>117</v>
      </c>
      <c r="B566" s="6">
        <v>45747</v>
      </c>
      <c r="C566" s="14">
        <v>45747</v>
      </c>
      <c r="D566" s="4" t="s">
        <v>836</v>
      </c>
      <c r="E566" s="8">
        <v>862.08</v>
      </c>
      <c r="F566" s="8">
        <f t="shared" si="48"/>
        <v>991.39199999999994</v>
      </c>
      <c r="G566" s="8">
        <v>1952.83</v>
      </c>
      <c r="H566" s="8">
        <v>1952.83</v>
      </c>
      <c r="I566" s="8" t="s">
        <v>1470</v>
      </c>
      <c r="J566" s="10">
        <v>0</v>
      </c>
      <c r="K566" s="10">
        <v>0</v>
      </c>
      <c r="L566" s="10">
        <f t="shared" si="49"/>
        <v>0</v>
      </c>
      <c r="M566" s="12">
        <v>7</v>
      </c>
      <c r="N566" s="12">
        <f t="shared" si="50"/>
        <v>8.4</v>
      </c>
      <c r="O566" s="8">
        <v>13669.81</v>
      </c>
      <c r="P566" s="8">
        <f t="shared" si="51"/>
        <v>16403.772000000001</v>
      </c>
      <c r="Q566" s="8">
        <v>6034.56</v>
      </c>
      <c r="R566" s="8">
        <f t="shared" si="52"/>
        <v>8327.6928000000007</v>
      </c>
      <c r="S566" s="8">
        <v>7635.2499999999991</v>
      </c>
      <c r="T566" s="8">
        <f t="shared" si="53"/>
        <v>8076.0792000000001</v>
      </c>
    </row>
    <row r="567" spans="1:20" ht="16.5" x14ac:dyDescent="0.3">
      <c r="A567" s="4" t="s">
        <v>195</v>
      </c>
      <c r="B567" s="6">
        <v>45915</v>
      </c>
      <c r="C567" s="14">
        <v>45915</v>
      </c>
      <c r="D567" s="4" t="s">
        <v>914</v>
      </c>
      <c r="E567" s="8">
        <v>5.5</v>
      </c>
      <c r="F567" s="8">
        <f t="shared" si="48"/>
        <v>6.3249999999999993</v>
      </c>
      <c r="G567" s="8">
        <v>5.92</v>
      </c>
      <c r="H567" s="8">
        <v>5.92</v>
      </c>
      <c r="I567" s="8" t="s">
        <v>1471</v>
      </c>
      <c r="J567" s="10">
        <v>0.21199999999999999</v>
      </c>
      <c r="K567" s="10">
        <v>0.21199999999999999</v>
      </c>
      <c r="L567" s="10">
        <f t="shared" si="49"/>
        <v>0.21199999999999999</v>
      </c>
      <c r="M567" s="12">
        <v>4</v>
      </c>
      <c r="N567" s="12">
        <f t="shared" si="50"/>
        <v>4.8</v>
      </c>
      <c r="O567" s="8">
        <v>18.659839999999999</v>
      </c>
      <c r="P567" s="8">
        <f t="shared" si="51"/>
        <v>22.391808000000001</v>
      </c>
      <c r="Q567" s="8">
        <v>22</v>
      </c>
      <c r="R567" s="8">
        <f t="shared" si="52"/>
        <v>30.359999999999996</v>
      </c>
      <c r="S567" s="8">
        <v>-3.3401600000000009</v>
      </c>
      <c r="T567" s="8">
        <f t="shared" si="53"/>
        <v>-7.9681919999999948</v>
      </c>
    </row>
    <row r="568" spans="1:20" ht="16.5" x14ac:dyDescent="0.3">
      <c r="A568" s="4" t="s">
        <v>443</v>
      </c>
      <c r="B568" s="6">
        <v>45784</v>
      </c>
      <c r="C568" s="14">
        <v>45784</v>
      </c>
      <c r="D568" s="4" t="s">
        <v>1162</v>
      </c>
      <c r="E568" s="8">
        <v>935.98</v>
      </c>
      <c r="F568" s="8">
        <f t="shared" si="48"/>
        <v>1076.377</v>
      </c>
      <c r="G568" s="8">
        <v>2077.69</v>
      </c>
      <c r="H568" s="8">
        <v>2077.69</v>
      </c>
      <c r="I568" s="8" t="s">
        <v>1470</v>
      </c>
      <c r="J568" s="10">
        <v>0.17499999999999999</v>
      </c>
      <c r="K568" s="10">
        <v>0.17499999999999999</v>
      </c>
      <c r="L568" s="10">
        <f t="shared" si="49"/>
        <v>0.17499999999999999</v>
      </c>
      <c r="M568" s="12">
        <v>24</v>
      </c>
      <c r="N568" s="12">
        <f t="shared" si="50"/>
        <v>28.799999999999997</v>
      </c>
      <c r="O568" s="8">
        <v>41138.261999999995</v>
      </c>
      <c r="P568" s="8">
        <f t="shared" si="51"/>
        <v>49365.914399999994</v>
      </c>
      <c r="Q568" s="8">
        <v>22463.52</v>
      </c>
      <c r="R568" s="8">
        <f t="shared" si="52"/>
        <v>30999.657599999995</v>
      </c>
      <c r="S568" s="8">
        <v>18674.741999999995</v>
      </c>
      <c r="T568" s="8">
        <f t="shared" si="53"/>
        <v>18366.256799999999</v>
      </c>
    </row>
    <row r="569" spans="1:20" ht="16.5" x14ac:dyDescent="0.3">
      <c r="A569" s="4" t="s">
        <v>410</v>
      </c>
      <c r="B569" s="6">
        <v>45890</v>
      </c>
      <c r="C569" s="14">
        <v>45890</v>
      </c>
      <c r="D569" s="4" t="s">
        <v>1129</v>
      </c>
      <c r="E569" s="8">
        <v>1397.67</v>
      </c>
      <c r="F569" s="8">
        <f t="shared" si="48"/>
        <v>1607.3205</v>
      </c>
      <c r="G569" s="8">
        <v>3131.37</v>
      </c>
      <c r="H569" s="8">
        <v>3131.37</v>
      </c>
      <c r="I569" s="8" t="s">
        <v>1470</v>
      </c>
      <c r="J569" s="10">
        <v>0.10299999999999999</v>
      </c>
      <c r="K569" s="10">
        <v>0.10299999999999999</v>
      </c>
      <c r="L569" s="10">
        <f t="shared" si="49"/>
        <v>0.10299999999999999</v>
      </c>
      <c r="M569" s="12">
        <v>20</v>
      </c>
      <c r="N569" s="12">
        <f t="shared" si="50"/>
        <v>24</v>
      </c>
      <c r="O569" s="8">
        <v>56176.777799999996</v>
      </c>
      <c r="P569" s="8">
        <f t="shared" si="51"/>
        <v>67412.133360000007</v>
      </c>
      <c r="Q569" s="8">
        <v>27953.4</v>
      </c>
      <c r="R569" s="8">
        <f t="shared" si="52"/>
        <v>38575.692000000003</v>
      </c>
      <c r="S569" s="8">
        <v>28223.377799999995</v>
      </c>
      <c r="T569" s="8">
        <f t="shared" si="53"/>
        <v>28836.441360000004</v>
      </c>
    </row>
    <row r="570" spans="1:20" ht="16.5" x14ac:dyDescent="0.3">
      <c r="A570" s="4" t="s">
        <v>291</v>
      </c>
      <c r="B570" s="6">
        <v>45832</v>
      </c>
      <c r="C570" s="14">
        <v>45832</v>
      </c>
      <c r="D570" s="4" t="s">
        <v>1011</v>
      </c>
      <c r="E570" s="8">
        <v>385.08</v>
      </c>
      <c r="F570" s="8">
        <f t="shared" si="48"/>
        <v>442.84199999999993</v>
      </c>
      <c r="G570" s="8">
        <v>893.19</v>
      </c>
      <c r="H570" s="8">
        <v>893.19</v>
      </c>
      <c r="I570" s="8" t="s">
        <v>1471</v>
      </c>
      <c r="J570" s="10">
        <v>0.151</v>
      </c>
      <c r="K570" s="10">
        <v>0.151</v>
      </c>
      <c r="L570" s="10">
        <f t="shared" si="49"/>
        <v>0.151</v>
      </c>
      <c r="M570" s="12">
        <v>8</v>
      </c>
      <c r="N570" s="12">
        <f t="shared" si="50"/>
        <v>9.6</v>
      </c>
      <c r="O570" s="8">
        <v>6066.54648</v>
      </c>
      <c r="P570" s="8">
        <f t="shared" si="51"/>
        <v>7279.8557759999994</v>
      </c>
      <c r="Q570" s="8">
        <v>3080.64</v>
      </c>
      <c r="R570" s="8">
        <f t="shared" si="52"/>
        <v>4251.2831999999989</v>
      </c>
      <c r="S570" s="8">
        <v>2985.9064800000001</v>
      </c>
      <c r="T570" s="8">
        <f t="shared" si="53"/>
        <v>3028.5725760000005</v>
      </c>
    </row>
    <row r="571" spans="1:20" ht="16.5" x14ac:dyDescent="0.3">
      <c r="A571" s="4" t="s">
        <v>237</v>
      </c>
      <c r="B571" s="6">
        <v>45854</v>
      </c>
      <c r="C571" s="14">
        <v>45854</v>
      </c>
      <c r="D571" s="4" t="s">
        <v>957</v>
      </c>
      <c r="E571" s="8">
        <v>1198.9000000000001</v>
      </c>
      <c r="F571" s="8">
        <f t="shared" si="48"/>
        <v>1378.7349999999999</v>
      </c>
      <c r="G571" s="8">
        <v>2941.2</v>
      </c>
      <c r="H571" s="8">
        <v>2941.2</v>
      </c>
      <c r="I571" s="8" t="s">
        <v>1470</v>
      </c>
      <c r="J571" s="10">
        <v>5.0999999999999997E-2</v>
      </c>
      <c r="K571" s="10">
        <v>5.0999999999999997E-2</v>
      </c>
      <c r="L571" s="10">
        <f t="shared" si="49"/>
        <v>5.0999999999999997E-2</v>
      </c>
      <c r="M571" s="12">
        <v>24</v>
      </c>
      <c r="N571" s="12">
        <f t="shared" si="50"/>
        <v>28.799999999999997</v>
      </c>
      <c r="O571" s="8">
        <v>66988.771199999988</v>
      </c>
      <c r="P571" s="8">
        <f t="shared" si="51"/>
        <v>80386.525439999983</v>
      </c>
      <c r="Q571" s="8">
        <v>28773.600000000002</v>
      </c>
      <c r="R571" s="8">
        <f t="shared" si="52"/>
        <v>39707.567999999992</v>
      </c>
      <c r="S571" s="8">
        <v>38215.171199999982</v>
      </c>
      <c r="T571" s="8">
        <f t="shared" si="53"/>
        <v>40678.957439999991</v>
      </c>
    </row>
    <row r="572" spans="1:20" ht="16.5" x14ac:dyDescent="0.3">
      <c r="A572" s="4" t="s">
        <v>518</v>
      </c>
      <c r="B572" s="6">
        <v>45726</v>
      </c>
      <c r="C572" s="14">
        <v>45726</v>
      </c>
      <c r="D572" s="4" t="s">
        <v>1237</v>
      </c>
      <c r="E572" s="8">
        <v>996.73</v>
      </c>
      <c r="F572" s="8">
        <f t="shared" si="48"/>
        <v>1146.2394999999999</v>
      </c>
      <c r="G572" s="8">
        <v>1217.43</v>
      </c>
      <c r="H572" s="8">
        <v>1217.43</v>
      </c>
      <c r="I572" s="8" t="s">
        <v>1469</v>
      </c>
      <c r="J572" s="10">
        <v>7.0000000000000007E-2</v>
      </c>
      <c r="K572" s="10">
        <v>7.0000000000000007E-2</v>
      </c>
      <c r="L572" s="10">
        <f t="shared" si="49"/>
        <v>7.0000000000000007E-2</v>
      </c>
      <c r="M572" s="12">
        <v>9</v>
      </c>
      <c r="N572" s="12">
        <f t="shared" si="50"/>
        <v>10.799999999999999</v>
      </c>
      <c r="O572" s="8">
        <v>10189.8891</v>
      </c>
      <c r="P572" s="8">
        <f t="shared" si="51"/>
        <v>12227.866919999999</v>
      </c>
      <c r="Q572" s="8">
        <v>8970.57</v>
      </c>
      <c r="R572" s="8">
        <f t="shared" si="52"/>
        <v>12379.386599999998</v>
      </c>
      <c r="S572" s="8">
        <v>1219.3191000000006</v>
      </c>
      <c r="T572" s="8">
        <f t="shared" si="53"/>
        <v>-151.51967999999943</v>
      </c>
    </row>
    <row r="573" spans="1:20" ht="16.5" x14ac:dyDescent="0.3">
      <c r="A573" s="4" t="s">
        <v>488</v>
      </c>
      <c r="B573" s="6">
        <v>45882</v>
      </c>
      <c r="C573" s="14">
        <v>45882</v>
      </c>
      <c r="D573" s="4" t="s">
        <v>1207</v>
      </c>
      <c r="E573" s="8">
        <v>603.47</v>
      </c>
      <c r="F573" s="8">
        <f t="shared" si="48"/>
        <v>693.9905</v>
      </c>
      <c r="G573" s="8">
        <v>1344.05</v>
      </c>
      <c r="H573" s="8">
        <v>1344.05</v>
      </c>
      <c r="I573" s="8" t="s">
        <v>1469</v>
      </c>
      <c r="J573" s="10">
        <v>0.20499999999999999</v>
      </c>
      <c r="K573" s="10">
        <v>0.20499999999999999</v>
      </c>
      <c r="L573" s="10">
        <f t="shared" si="49"/>
        <v>0.20499999999999999</v>
      </c>
      <c r="M573" s="12">
        <v>18</v>
      </c>
      <c r="N573" s="12">
        <f t="shared" si="50"/>
        <v>21.599999999999998</v>
      </c>
      <c r="O573" s="8">
        <v>19233.355499999998</v>
      </c>
      <c r="P573" s="8">
        <f t="shared" si="51"/>
        <v>23080.026599999997</v>
      </c>
      <c r="Q573" s="8">
        <v>10862.460000000001</v>
      </c>
      <c r="R573" s="8">
        <f t="shared" si="52"/>
        <v>14990.194799999999</v>
      </c>
      <c r="S573" s="8">
        <v>8370.8954999999969</v>
      </c>
      <c r="T573" s="8">
        <f t="shared" si="53"/>
        <v>8089.8317999999981</v>
      </c>
    </row>
    <row r="574" spans="1:20" ht="16.5" x14ac:dyDescent="0.3">
      <c r="A574" s="4" t="s">
        <v>612</v>
      </c>
      <c r="B574" s="6">
        <v>45726</v>
      </c>
      <c r="C574" s="14">
        <v>45726</v>
      </c>
      <c r="D574" s="4" t="s">
        <v>1330</v>
      </c>
      <c r="E574" s="8">
        <v>783.72</v>
      </c>
      <c r="F574" s="8">
        <f t="shared" si="48"/>
        <v>901.27799999999991</v>
      </c>
      <c r="G574" s="8">
        <v>1355.94</v>
      </c>
      <c r="H574" s="8">
        <v>1355.94</v>
      </c>
      <c r="I574" s="8" t="s">
        <v>1469</v>
      </c>
      <c r="J574" s="10">
        <v>0.187</v>
      </c>
      <c r="K574" s="10">
        <v>0.187</v>
      </c>
      <c r="L574" s="10">
        <f t="shared" si="49"/>
        <v>0.187</v>
      </c>
      <c r="M574" s="12">
        <v>4</v>
      </c>
      <c r="N574" s="12">
        <f t="shared" si="50"/>
        <v>4.8</v>
      </c>
      <c r="O574" s="8">
        <v>4409.5168800000001</v>
      </c>
      <c r="P574" s="8">
        <f t="shared" si="51"/>
        <v>5291.4202559999994</v>
      </c>
      <c r="Q574" s="8">
        <v>3134.88</v>
      </c>
      <c r="R574" s="8">
        <f t="shared" si="52"/>
        <v>4326.134399999999</v>
      </c>
      <c r="S574" s="8">
        <v>1274.63688</v>
      </c>
      <c r="T574" s="8">
        <f t="shared" si="53"/>
        <v>965.28585600000042</v>
      </c>
    </row>
    <row r="575" spans="1:20" ht="16.5" x14ac:dyDescent="0.3">
      <c r="A575" s="4" t="s">
        <v>295</v>
      </c>
      <c r="B575" s="6">
        <v>45730</v>
      </c>
      <c r="C575" s="14">
        <v>45730</v>
      </c>
      <c r="D575" s="4" t="s">
        <v>1015</v>
      </c>
      <c r="E575" s="8">
        <v>1106.96</v>
      </c>
      <c r="F575" s="8">
        <f t="shared" si="48"/>
        <v>1273.0039999999999</v>
      </c>
      <c r="G575" s="8">
        <v>2726.62</v>
      </c>
      <c r="H575" s="8">
        <v>2726.62</v>
      </c>
      <c r="I575" s="8" t="s">
        <v>1470</v>
      </c>
      <c r="J575" s="10">
        <v>0.317</v>
      </c>
      <c r="K575" s="10">
        <v>0.3</v>
      </c>
      <c r="L575" s="10">
        <f t="shared" si="49"/>
        <v>0.25</v>
      </c>
      <c r="M575" s="12">
        <v>7</v>
      </c>
      <c r="N575" s="12">
        <f t="shared" si="50"/>
        <v>8.4</v>
      </c>
      <c r="O575" s="8">
        <v>13360.438</v>
      </c>
      <c r="P575" s="8">
        <f t="shared" si="51"/>
        <v>17177.705999999998</v>
      </c>
      <c r="Q575" s="8">
        <v>7748.72</v>
      </c>
      <c r="R575" s="8">
        <f t="shared" si="52"/>
        <v>10693.2336</v>
      </c>
      <c r="S575" s="8">
        <v>5611.7179999999998</v>
      </c>
      <c r="T575" s="8">
        <f t="shared" si="53"/>
        <v>6484.4723999999987</v>
      </c>
    </row>
    <row r="576" spans="1:20" ht="16.5" x14ac:dyDescent="0.3">
      <c r="A576" s="4" t="s">
        <v>131</v>
      </c>
      <c r="B576" s="6">
        <v>45811</v>
      </c>
      <c r="C576" s="14">
        <v>45811</v>
      </c>
      <c r="D576" s="4" t="s">
        <v>850</v>
      </c>
      <c r="E576" s="8">
        <v>75.180000000000007</v>
      </c>
      <c r="F576" s="8">
        <f t="shared" si="48"/>
        <v>86.457000000000008</v>
      </c>
      <c r="G576" s="8">
        <v>53.45</v>
      </c>
      <c r="H576" s="8">
        <v>53.45</v>
      </c>
      <c r="I576" s="8" t="s">
        <v>1471</v>
      </c>
      <c r="J576" s="10">
        <v>0.157</v>
      </c>
      <c r="K576" s="10">
        <v>0.157</v>
      </c>
      <c r="L576" s="10">
        <f t="shared" si="49"/>
        <v>0.157</v>
      </c>
      <c r="M576" s="12">
        <v>17</v>
      </c>
      <c r="N576" s="12">
        <f t="shared" si="50"/>
        <v>20.399999999999999</v>
      </c>
      <c r="O576" s="8">
        <v>765.99195000000009</v>
      </c>
      <c r="P576" s="8">
        <f t="shared" si="51"/>
        <v>919.19033999999988</v>
      </c>
      <c r="Q576" s="8">
        <v>1278.0600000000002</v>
      </c>
      <c r="R576" s="8">
        <f t="shared" si="52"/>
        <v>1763.7228</v>
      </c>
      <c r="S576" s="8">
        <v>-512.06805000000008</v>
      </c>
      <c r="T576" s="8">
        <f t="shared" si="53"/>
        <v>-844.53246000000013</v>
      </c>
    </row>
    <row r="577" spans="1:20" ht="16.5" x14ac:dyDescent="0.3">
      <c r="A577" s="4" t="s">
        <v>188</v>
      </c>
      <c r="B577" s="6">
        <v>45798</v>
      </c>
      <c r="C577" s="14">
        <v>45798</v>
      </c>
      <c r="D577" s="4" t="s">
        <v>907</v>
      </c>
      <c r="E577" s="8">
        <v>1263.8399999999999</v>
      </c>
      <c r="F577" s="8">
        <f t="shared" si="48"/>
        <v>1453.4159999999997</v>
      </c>
      <c r="G577" s="8">
        <v>2281.7199999999998</v>
      </c>
      <c r="H577" s="8">
        <v>2281.7199999999998</v>
      </c>
      <c r="I577" s="8" t="s">
        <v>1470</v>
      </c>
      <c r="J577" s="10">
        <v>7.8E-2</v>
      </c>
      <c r="K577" s="10">
        <v>7.8E-2</v>
      </c>
      <c r="L577" s="10">
        <f t="shared" si="49"/>
        <v>7.8E-2</v>
      </c>
      <c r="M577" s="12">
        <v>15</v>
      </c>
      <c r="N577" s="12">
        <f t="shared" si="50"/>
        <v>18</v>
      </c>
      <c r="O577" s="8">
        <v>31556.187599999997</v>
      </c>
      <c r="P577" s="8">
        <f t="shared" si="51"/>
        <v>37867.42512</v>
      </c>
      <c r="Q577" s="8">
        <v>18957.599999999999</v>
      </c>
      <c r="R577" s="8">
        <f t="shared" si="52"/>
        <v>26161.487999999994</v>
      </c>
      <c r="S577" s="8">
        <v>12598.587599999999</v>
      </c>
      <c r="T577" s="8">
        <f t="shared" si="53"/>
        <v>11705.937120000006</v>
      </c>
    </row>
    <row r="578" spans="1:20" ht="16.5" x14ac:dyDescent="0.3">
      <c r="A578" s="4" t="s">
        <v>506</v>
      </c>
      <c r="B578" s="6">
        <v>45861</v>
      </c>
      <c r="C578" s="14">
        <v>45861</v>
      </c>
      <c r="D578" s="4" t="s">
        <v>1225</v>
      </c>
      <c r="E578" s="8">
        <v>896.09</v>
      </c>
      <c r="F578" s="8">
        <f t="shared" si="48"/>
        <v>1030.5035</v>
      </c>
      <c r="G578" s="8">
        <v>744.27</v>
      </c>
      <c r="H578" s="8">
        <v>744.27</v>
      </c>
      <c r="I578" s="8" t="s">
        <v>1471</v>
      </c>
      <c r="J578" s="10">
        <v>8.3000000000000004E-2</v>
      </c>
      <c r="K578" s="10">
        <v>8.3000000000000004E-2</v>
      </c>
      <c r="L578" s="10">
        <f t="shared" si="49"/>
        <v>8.3000000000000004E-2</v>
      </c>
      <c r="M578" s="12">
        <v>11</v>
      </c>
      <c r="N578" s="12">
        <f t="shared" si="50"/>
        <v>13.2</v>
      </c>
      <c r="O578" s="8">
        <v>7507.4514899999995</v>
      </c>
      <c r="P578" s="8">
        <f t="shared" si="51"/>
        <v>9008.9417880000001</v>
      </c>
      <c r="Q578" s="8">
        <v>9856.99</v>
      </c>
      <c r="R578" s="8">
        <f t="shared" si="52"/>
        <v>13602.646199999999</v>
      </c>
      <c r="S578" s="8">
        <v>-2349.5385100000003</v>
      </c>
      <c r="T578" s="8">
        <f t="shared" si="53"/>
        <v>-4593.7044119999991</v>
      </c>
    </row>
    <row r="579" spans="1:20" ht="16.5" x14ac:dyDescent="0.3">
      <c r="A579" s="4" t="s">
        <v>610</v>
      </c>
      <c r="B579" s="6">
        <v>45705</v>
      </c>
      <c r="C579" s="14">
        <v>45705</v>
      </c>
      <c r="D579" s="4" t="s">
        <v>1328</v>
      </c>
      <c r="E579" s="8">
        <v>1133.47</v>
      </c>
      <c r="F579" s="8">
        <f t="shared" ref="F579:F633" si="54">(E579*(1+$X$3))</f>
        <v>1303.4904999999999</v>
      </c>
      <c r="G579" s="8">
        <v>1698.75</v>
      </c>
      <c r="H579" s="8">
        <v>1698.75</v>
      </c>
      <c r="I579" s="8" t="s">
        <v>1469</v>
      </c>
      <c r="J579" s="10">
        <v>4.2999999999999997E-2</v>
      </c>
      <c r="K579" s="10">
        <v>4.2999999999999997E-2</v>
      </c>
      <c r="L579" s="10">
        <f t="shared" ref="L579:L633" si="55">MIN(K579, $X$2)</f>
        <v>4.2999999999999997E-2</v>
      </c>
      <c r="M579" s="12">
        <v>5</v>
      </c>
      <c r="N579" s="12">
        <f t="shared" ref="N579:N633" si="56">(M579*(1+$X$4))</f>
        <v>6</v>
      </c>
      <c r="O579" s="8">
        <v>8128.5187499999993</v>
      </c>
      <c r="P579" s="8">
        <f t="shared" ref="P579:P633" si="57">(H579*N579*(1-L579))</f>
        <v>9754.2224999999999</v>
      </c>
      <c r="Q579" s="8">
        <v>5667.35</v>
      </c>
      <c r="R579" s="8">
        <f t="shared" ref="R579:R633" si="58">F579*N579</f>
        <v>7820.9429999999993</v>
      </c>
      <c r="S579" s="8">
        <v>2461.1687499999989</v>
      </c>
      <c r="T579" s="8">
        <f t="shared" ref="T579:T633" si="59">P579-R579</f>
        <v>1933.2795000000006</v>
      </c>
    </row>
    <row r="580" spans="1:20" ht="16.5" x14ac:dyDescent="0.3">
      <c r="A580" s="4" t="s">
        <v>52</v>
      </c>
      <c r="B580" s="6">
        <v>45832</v>
      </c>
      <c r="C580" s="14">
        <v>45832</v>
      </c>
      <c r="D580" s="4" t="s">
        <v>771</v>
      </c>
      <c r="E580" s="8">
        <v>757.19</v>
      </c>
      <c r="F580" s="8">
        <f t="shared" si="54"/>
        <v>870.76850000000002</v>
      </c>
      <c r="G580" s="8">
        <v>1735.41</v>
      </c>
      <c r="H580" s="8">
        <v>1735.41</v>
      </c>
      <c r="I580" s="8" t="s">
        <v>1470</v>
      </c>
      <c r="J580" s="10">
        <v>0.13600000000000001</v>
      </c>
      <c r="K580" s="10">
        <v>0.13600000000000001</v>
      </c>
      <c r="L580" s="10">
        <f t="shared" si="55"/>
        <v>0.13600000000000001</v>
      </c>
      <c r="M580" s="12">
        <v>8</v>
      </c>
      <c r="N580" s="12">
        <f t="shared" si="56"/>
        <v>9.6</v>
      </c>
      <c r="O580" s="8">
        <v>11995.153920000001</v>
      </c>
      <c r="P580" s="8">
        <f t="shared" si="57"/>
        <v>14394.184704000001</v>
      </c>
      <c r="Q580" s="8">
        <v>6057.52</v>
      </c>
      <c r="R580" s="8">
        <f t="shared" si="58"/>
        <v>8359.3775999999998</v>
      </c>
      <c r="S580" s="8">
        <v>5937.6339200000002</v>
      </c>
      <c r="T580" s="8">
        <f t="shared" si="59"/>
        <v>6034.8071040000013</v>
      </c>
    </row>
    <row r="581" spans="1:20" ht="16.5" x14ac:dyDescent="0.3">
      <c r="A581" s="4" t="s">
        <v>109</v>
      </c>
      <c r="B581" s="6">
        <v>45910</v>
      </c>
      <c r="C581" s="14">
        <v>45910</v>
      </c>
      <c r="D581" s="4" t="s">
        <v>828</v>
      </c>
      <c r="E581" s="8">
        <v>1009.48</v>
      </c>
      <c r="F581" s="8">
        <f t="shared" si="54"/>
        <v>1160.902</v>
      </c>
      <c r="G581" s="8">
        <v>1088.81</v>
      </c>
      <c r="H581" s="8">
        <v>1088.81</v>
      </c>
      <c r="I581" s="8" t="s">
        <v>1469</v>
      </c>
      <c r="J581" s="10">
        <v>0.16</v>
      </c>
      <c r="K581" s="10">
        <v>0.16</v>
      </c>
      <c r="L581" s="10">
        <f t="shared" si="55"/>
        <v>0.16</v>
      </c>
      <c r="M581" s="12">
        <v>6</v>
      </c>
      <c r="N581" s="12">
        <f t="shared" si="56"/>
        <v>7.1999999999999993</v>
      </c>
      <c r="O581" s="8">
        <v>5487.6023999999998</v>
      </c>
      <c r="P581" s="8">
        <f t="shared" si="57"/>
        <v>6585.122879999999</v>
      </c>
      <c r="Q581" s="8">
        <v>6056.88</v>
      </c>
      <c r="R581" s="8">
        <f t="shared" si="58"/>
        <v>8358.4943999999996</v>
      </c>
      <c r="S581" s="8">
        <v>-569.27760000000035</v>
      </c>
      <c r="T581" s="8">
        <f t="shared" si="59"/>
        <v>-1773.3715200000006</v>
      </c>
    </row>
    <row r="582" spans="1:20" ht="16.5" x14ac:dyDescent="0.3">
      <c r="A582" s="4" t="s">
        <v>645</v>
      </c>
      <c r="B582" s="6">
        <v>45716</v>
      </c>
      <c r="C582" s="14">
        <v>45716</v>
      </c>
      <c r="D582" s="4" t="s">
        <v>1363</v>
      </c>
      <c r="E582" s="8">
        <v>51.86</v>
      </c>
      <c r="F582" s="8">
        <f t="shared" si="54"/>
        <v>59.638999999999996</v>
      </c>
      <c r="G582" s="8">
        <v>45.98</v>
      </c>
      <c r="H582" s="8">
        <v>45.98</v>
      </c>
      <c r="I582" s="8" t="s">
        <v>1471</v>
      </c>
      <c r="J582" s="10">
        <v>0.17299999999999999</v>
      </c>
      <c r="K582" s="10">
        <v>0.17299999999999999</v>
      </c>
      <c r="L582" s="10">
        <f t="shared" si="55"/>
        <v>0.17299999999999999</v>
      </c>
      <c r="M582" s="12">
        <v>7</v>
      </c>
      <c r="N582" s="12">
        <f t="shared" si="56"/>
        <v>8.4</v>
      </c>
      <c r="O582" s="8">
        <v>266.17821999999995</v>
      </c>
      <c r="P582" s="8">
        <f t="shared" si="57"/>
        <v>319.41386399999993</v>
      </c>
      <c r="Q582" s="8">
        <v>363.02</v>
      </c>
      <c r="R582" s="8">
        <f t="shared" si="58"/>
        <v>500.9676</v>
      </c>
      <c r="S582" s="8">
        <v>-96.841780000000028</v>
      </c>
      <c r="T582" s="8">
        <f t="shared" si="59"/>
        <v>-181.55373600000007</v>
      </c>
    </row>
    <row r="583" spans="1:20" ht="16.5" x14ac:dyDescent="0.3">
      <c r="A583" s="4" t="s">
        <v>345</v>
      </c>
      <c r="B583" s="6">
        <v>45914</v>
      </c>
      <c r="C583" s="14">
        <v>45914</v>
      </c>
      <c r="D583" s="4" t="s">
        <v>1065</v>
      </c>
      <c r="E583" s="8">
        <v>425.15</v>
      </c>
      <c r="F583" s="8">
        <f t="shared" si="54"/>
        <v>488.92249999999996</v>
      </c>
      <c r="G583" s="8">
        <v>885.92</v>
      </c>
      <c r="H583" s="8">
        <v>885.92</v>
      </c>
      <c r="I583" s="8" t="s">
        <v>1471</v>
      </c>
      <c r="J583" s="10">
        <v>0.23899999999999999</v>
      </c>
      <c r="K583" s="10">
        <v>0.23899999999999999</v>
      </c>
      <c r="L583" s="10">
        <f t="shared" si="55"/>
        <v>0.23899999999999999</v>
      </c>
      <c r="M583" s="12">
        <v>13</v>
      </c>
      <c r="N583" s="12">
        <f t="shared" si="56"/>
        <v>15.6</v>
      </c>
      <c r="O583" s="8">
        <v>8764.4065599999994</v>
      </c>
      <c r="P583" s="8">
        <f t="shared" si="57"/>
        <v>10517.287871999999</v>
      </c>
      <c r="Q583" s="8">
        <v>5526.95</v>
      </c>
      <c r="R583" s="8">
        <f t="shared" si="58"/>
        <v>7627.1909999999989</v>
      </c>
      <c r="S583" s="8">
        <v>3237.4565599999996</v>
      </c>
      <c r="T583" s="8">
        <f t="shared" si="59"/>
        <v>2890.0968720000001</v>
      </c>
    </row>
    <row r="584" spans="1:20" ht="16.5" x14ac:dyDescent="0.3">
      <c r="A584" s="4" t="s">
        <v>34</v>
      </c>
      <c r="B584" s="6">
        <v>45798</v>
      </c>
      <c r="C584" s="14">
        <v>45798</v>
      </c>
      <c r="D584" s="4" t="s">
        <v>753</v>
      </c>
      <c r="E584" s="8">
        <v>1015.16</v>
      </c>
      <c r="F584" s="8">
        <f t="shared" si="54"/>
        <v>1167.434</v>
      </c>
      <c r="G584" s="8">
        <v>2148.14</v>
      </c>
      <c r="H584" s="8">
        <v>2148.14</v>
      </c>
      <c r="I584" s="8" t="s">
        <v>1470</v>
      </c>
      <c r="J584" s="10">
        <v>3.7999999999999999E-2</v>
      </c>
      <c r="K584" s="10">
        <v>3.7999999999999999E-2</v>
      </c>
      <c r="L584" s="10">
        <f t="shared" si="55"/>
        <v>3.7999999999999999E-2</v>
      </c>
      <c r="M584" s="12">
        <v>19</v>
      </c>
      <c r="N584" s="12">
        <f t="shared" si="56"/>
        <v>22.8</v>
      </c>
      <c r="O584" s="8">
        <v>39263.702919999996</v>
      </c>
      <c r="P584" s="8">
        <f t="shared" si="57"/>
        <v>47116.443503999995</v>
      </c>
      <c r="Q584" s="8">
        <v>19288.04</v>
      </c>
      <c r="R584" s="8">
        <f t="shared" si="58"/>
        <v>26617.495200000001</v>
      </c>
      <c r="S584" s="8">
        <v>19975.662919999995</v>
      </c>
      <c r="T584" s="8">
        <f t="shared" si="59"/>
        <v>20498.948303999994</v>
      </c>
    </row>
    <row r="585" spans="1:20" ht="16.5" x14ac:dyDescent="0.3">
      <c r="A585" s="4" t="s">
        <v>617</v>
      </c>
      <c r="B585" s="6">
        <v>45793</v>
      </c>
      <c r="C585" s="14">
        <v>45793</v>
      </c>
      <c r="D585" s="4" t="s">
        <v>1335</v>
      </c>
      <c r="E585" s="8">
        <v>1144.3800000000001</v>
      </c>
      <c r="F585" s="8">
        <f t="shared" si="54"/>
        <v>1316.037</v>
      </c>
      <c r="G585" s="8">
        <v>2755.04</v>
      </c>
      <c r="H585" s="8">
        <v>2755.04</v>
      </c>
      <c r="I585" s="8" t="s">
        <v>1470</v>
      </c>
      <c r="J585" s="10">
        <v>0.15</v>
      </c>
      <c r="K585" s="10">
        <v>0.15</v>
      </c>
      <c r="L585" s="10">
        <f t="shared" si="55"/>
        <v>0.15</v>
      </c>
      <c r="M585" s="12">
        <v>17</v>
      </c>
      <c r="N585" s="12">
        <f t="shared" si="56"/>
        <v>20.399999999999999</v>
      </c>
      <c r="O585" s="8">
        <v>39810.328000000001</v>
      </c>
      <c r="P585" s="8">
        <f t="shared" si="57"/>
        <v>47772.393599999996</v>
      </c>
      <c r="Q585" s="8">
        <v>19454.460000000003</v>
      </c>
      <c r="R585" s="8">
        <f t="shared" si="58"/>
        <v>26847.1548</v>
      </c>
      <c r="S585" s="8">
        <v>20355.867999999999</v>
      </c>
      <c r="T585" s="8">
        <f t="shared" si="59"/>
        <v>20925.238799999996</v>
      </c>
    </row>
    <row r="586" spans="1:20" ht="16.5" x14ac:dyDescent="0.3">
      <c r="A586" s="4" t="s">
        <v>305</v>
      </c>
      <c r="B586" s="6">
        <v>45746</v>
      </c>
      <c r="C586" s="14">
        <v>45746</v>
      </c>
      <c r="D586" s="4" t="s">
        <v>1025</v>
      </c>
      <c r="E586" s="8">
        <v>71.62</v>
      </c>
      <c r="F586" s="8">
        <f t="shared" si="54"/>
        <v>82.363</v>
      </c>
      <c r="G586" s="8">
        <v>118.37</v>
      </c>
      <c r="H586" s="8">
        <v>118.37</v>
      </c>
      <c r="I586" s="8" t="s">
        <v>1471</v>
      </c>
      <c r="J586" s="10">
        <v>0.156</v>
      </c>
      <c r="K586" s="10">
        <v>0.156</v>
      </c>
      <c r="L586" s="10">
        <f t="shared" si="55"/>
        <v>0.156</v>
      </c>
      <c r="M586" s="12">
        <v>11</v>
      </c>
      <c r="N586" s="12">
        <f t="shared" si="56"/>
        <v>13.2</v>
      </c>
      <c r="O586" s="8">
        <v>1098.9470800000001</v>
      </c>
      <c r="P586" s="8">
        <f t="shared" si="57"/>
        <v>1318.736496</v>
      </c>
      <c r="Q586" s="8">
        <v>787.82</v>
      </c>
      <c r="R586" s="8">
        <f t="shared" si="58"/>
        <v>1087.1915999999999</v>
      </c>
      <c r="S586" s="8">
        <v>311.12708000000009</v>
      </c>
      <c r="T586" s="8">
        <f t="shared" si="59"/>
        <v>231.54489600000011</v>
      </c>
    </row>
    <row r="587" spans="1:20" ht="16.5" x14ac:dyDescent="0.3">
      <c r="A587" s="4" t="s">
        <v>245</v>
      </c>
      <c r="B587" s="6">
        <v>45771</v>
      </c>
      <c r="C587" s="14">
        <v>45771</v>
      </c>
      <c r="D587" s="4" t="s">
        <v>965</v>
      </c>
      <c r="E587" s="8">
        <v>394.13</v>
      </c>
      <c r="F587" s="8">
        <f t="shared" si="54"/>
        <v>453.24949999999995</v>
      </c>
      <c r="G587" s="8">
        <v>932.29</v>
      </c>
      <c r="H587" s="8">
        <v>932.29</v>
      </c>
      <c r="I587" s="8" t="s">
        <v>1471</v>
      </c>
      <c r="J587" s="10">
        <v>0.109</v>
      </c>
      <c r="K587" s="10">
        <v>0.109</v>
      </c>
      <c r="L587" s="10">
        <f t="shared" si="55"/>
        <v>0.109</v>
      </c>
      <c r="M587" s="12">
        <v>7</v>
      </c>
      <c r="N587" s="12">
        <f t="shared" si="56"/>
        <v>8.4</v>
      </c>
      <c r="O587" s="8">
        <v>5814.6927299999998</v>
      </c>
      <c r="P587" s="8">
        <f t="shared" si="57"/>
        <v>6977.6312760000001</v>
      </c>
      <c r="Q587" s="8">
        <v>2758.91</v>
      </c>
      <c r="R587" s="8">
        <f t="shared" si="58"/>
        <v>3807.2957999999999</v>
      </c>
      <c r="S587" s="8">
        <v>3055.7827299999999</v>
      </c>
      <c r="T587" s="8">
        <f t="shared" si="59"/>
        <v>3170.3354760000002</v>
      </c>
    </row>
    <row r="588" spans="1:20" ht="16.5" x14ac:dyDescent="0.3">
      <c r="A588" s="4" t="s">
        <v>234</v>
      </c>
      <c r="B588" s="6">
        <v>45894</v>
      </c>
      <c r="C588" s="14">
        <v>45894</v>
      </c>
      <c r="D588" s="4" t="s">
        <v>954</v>
      </c>
      <c r="E588" s="8">
        <v>589.14</v>
      </c>
      <c r="F588" s="8">
        <f t="shared" si="54"/>
        <v>677.51099999999997</v>
      </c>
      <c r="G588" s="8">
        <v>1300.58</v>
      </c>
      <c r="H588" s="8">
        <v>1300.58</v>
      </c>
      <c r="I588" s="8" t="s">
        <v>1469</v>
      </c>
      <c r="J588" s="10">
        <v>5.5E-2</v>
      </c>
      <c r="K588" s="10">
        <v>5.5E-2</v>
      </c>
      <c r="L588" s="10">
        <f t="shared" si="55"/>
        <v>5.5E-2</v>
      </c>
      <c r="M588" s="12">
        <v>11</v>
      </c>
      <c r="N588" s="12">
        <f t="shared" si="56"/>
        <v>13.2</v>
      </c>
      <c r="O588" s="8">
        <v>13519.529099999998</v>
      </c>
      <c r="P588" s="8">
        <f t="shared" si="57"/>
        <v>16223.434919999998</v>
      </c>
      <c r="Q588" s="8">
        <v>6480.54</v>
      </c>
      <c r="R588" s="8">
        <f t="shared" si="58"/>
        <v>8943.145199999999</v>
      </c>
      <c r="S588" s="8">
        <v>7038.989099999998</v>
      </c>
      <c r="T588" s="8">
        <f t="shared" si="59"/>
        <v>7280.2897199999989</v>
      </c>
    </row>
    <row r="589" spans="1:20" ht="16.5" x14ac:dyDescent="0.3">
      <c r="A589" s="4" t="s">
        <v>74</v>
      </c>
      <c r="B589" s="6">
        <v>45779</v>
      </c>
      <c r="C589" s="14">
        <v>45779</v>
      </c>
      <c r="D589" s="4" t="s">
        <v>793</v>
      </c>
      <c r="E589" s="8">
        <v>1057.5999999999999</v>
      </c>
      <c r="F589" s="8">
        <f t="shared" si="54"/>
        <v>1216.2399999999998</v>
      </c>
      <c r="G589" s="8">
        <v>1437.06</v>
      </c>
      <c r="H589" s="8">
        <v>1437.06</v>
      </c>
      <c r="I589" s="8" t="s">
        <v>1469</v>
      </c>
      <c r="J589" s="10">
        <v>0.20499999999999999</v>
      </c>
      <c r="K589" s="10">
        <v>0.20499999999999999</v>
      </c>
      <c r="L589" s="10">
        <f t="shared" si="55"/>
        <v>0.20499999999999999</v>
      </c>
      <c r="M589" s="12">
        <v>4</v>
      </c>
      <c r="N589" s="12">
        <f t="shared" si="56"/>
        <v>4.8</v>
      </c>
      <c r="O589" s="8">
        <v>4569.8508000000002</v>
      </c>
      <c r="P589" s="8">
        <f t="shared" si="57"/>
        <v>5483.82096</v>
      </c>
      <c r="Q589" s="8">
        <v>4230.3999999999996</v>
      </c>
      <c r="R589" s="8">
        <f t="shared" si="58"/>
        <v>5837.9519999999984</v>
      </c>
      <c r="S589" s="8">
        <v>339.45080000000053</v>
      </c>
      <c r="T589" s="8">
        <f t="shared" si="59"/>
        <v>-354.13103999999839</v>
      </c>
    </row>
    <row r="590" spans="1:20" ht="16.5" x14ac:dyDescent="0.3">
      <c r="A590" s="4" t="s">
        <v>70</v>
      </c>
      <c r="B590" s="6">
        <v>45753</v>
      </c>
      <c r="C590" s="14">
        <v>45753</v>
      </c>
      <c r="D590" s="4" t="s">
        <v>789</v>
      </c>
      <c r="E590" s="8">
        <v>855.78</v>
      </c>
      <c r="F590" s="8">
        <f t="shared" si="54"/>
        <v>984.14699999999993</v>
      </c>
      <c r="G590" s="8">
        <v>977.38</v>
      </c>
      <c r="H590" s="8">
        <v>977.38</v>
      </c>
      <c r="I590" s="8" t="s">
        <v>1469</v>
      </c>
      <c r="J590" s="10">
        <v>0.14699999999999999</v>
      </c>
      <c r="K590" s="10">
        <v>0.14699999999999999</v>
      </c>
      <c r="L590" s="10">
        <f t="shared" si="55"/>
        <v>0.14699999999999999</v>
      </c>
      <c r="M590" s="12">
        <v>38</v>
      </c>
      <c r="N590" s="12">
        <f t="shared" si="56"/>
        <v>45.6</v>
      </c>
      <c r="O590" s="8">
        <v>31680.795320000001</v>
      </c>
      <c r="P590" s="8">
        <f t="shared" si="57"/>
        <v>38016.954383999997</v>
      </c>
      <c r="Q590" s="8">
        <v>32519.64</v>
      </c>
      <c r="R590" s="8">
        <f t="shared" si="58"/>
        <v>44877.103199999998</v>
      </c>
      <c r="S590" s="8">
        <v>-838.84467999999833</v>
      </c>
      <c r="T590" s="8">
        <f t="shared" si="59"/>
        <v>-6860.1488160000008</v>
      </c>
    </row>
    <row r="591" spans="1:20" ht="16.5" x14ac:dyDescent="0.3">
      <c r="A591" s="4" t="s">
        <v>173</v>
      </c>
      <c r="B591" s="6">
        <v>45703</v>
      </c>
      <c r="C591" s="14">
        <v>45703</v>
      </c>
      <c r="D591" s="4" t="s">
        <v>892</v>
      </c>
      <c r="E591" s="8">
        <v>815.83</v>
      </c>
      <c r="F591" s="8">
        <f t="shared" si="54"/>
        <v>938.20449999999994</v>
      </c>
      <c r="G591" s="8">
        <v>1982.18</v>
      </c>
      <c r="H591" s="8">
        <v>1982.18</v>
      </c>
      <c r="I591" s="8" t="s">
        <v>1470</v>
      </c>
      <c r="J591" s="10">
        <v>0.127</v>
      </c>
      <c r="K591" s="10">
        <v>0.127</v>
      </c>
      <c r="L591" s="10">
        <f t="shared" si="55"/>
        <v>0.127</v>
      </c>
      <c r="M591" s="12">
        <v>6</v>
      </c>
      <c r="N591" s="12">
        <f t="shared" si="56"/>
        <v>7.1999999999999993</v>
      </c>
      <c r="O591" s="8">
        <v>10382.65884</v>
      </c>
      <c r="P591" s="8">
        <f t="shared" si="57"/>
        <v>12459.190608000001</v>
      </c>
      <c r="Q591" s="8">
        <v>4894.9800000000005</v>
      </c>
      <c r="R591" s="8">
        <f t="shared" si="58"/>
        <v>6755.0723999999991</v>
      </c>
      <c r="S591" s="8">
        <v>5487.6788399999996</v>
      </c>
      <c r="T591" s="8">
        <f t="shared" si="59"/>
        <v>5704.1182080000017</v>
      </c>
    </row>
    <row r="592" spans="1:20" ht="16.5" x14ac:dyDescent="0.3">
      <c r="A592" s="4" t="s">
        <v>546</v>
      </c>
      <c r="B592" s="6">
        <v>45769</v>
      </c>
      <c r="C592" s="14">
        <v>45769</v>
      </c>
      <c r="D592" s="4" t="s">
        <v>1265</v>
      </c>
      <c r="E592" s="8">
        <v>59.51</v>
      </c>
      <c r="F592" s="8">
        <f t="shared" si="54"/>
        <v>68.436499999999995</v>
      </c>
      <c r="G592" s="8">
        <v>67.040000000000006</v>
      </c>
      <c r="H592" s="8">
        <v>67.040000000000006</v>
      </c>
      <c r="I592" s="8" t="s">
        <v>1471</v>
      </c>
      <c r="J592" s="10">
        <v>0.114</v>
      </c>
      <c r="K592" s="10">
        <v>0.114</v>
      </c>
      <c r="L592" s="10">
        <f t="shared" si="55"/>
        <v>0.114</v>
      </c>
      <c r="M592" s="12">
        <v>9</v>
      </c>
      <c r="N592" s="12">
        <f t="shared" si="56"/>
        <v>10.799999999999999</v>
      </c>
      <c r="O592" s="8">
        <v>534.57695999999999</v>
      </c>
      <c r="P592" s="8">
        <f t="shared" si="57"/>
        <v>641.4923520000001</v>
      </c>
      <c r="Q592" s="8">
        <v>535.59</v>
      </c>
      <c r="R592" s="8">
        <f t="shared" si="58"/>
        <v>739.11419999999987</v>
      </c>
      <c r="S592" s="8">
        <v>-1.0130400000000463</v>
      </c>
      <c r="T592" s="8">
        <f t="shared" si="59"/>
        <v>-97.621847999999773</v>
      </c>
    </row>
    <row r="593" spans="1:20" ht="16.5" x14ac:dyDescent="0.3">
      <c r="A593" s="4" t="s">
        <v>342</v>
      </c>
      <c r="B593" s="6">
        <v>45796</v>
      </c>
      <c r="C593" s="14">
        <v>45796</v>
      </c>
      <c r="D593" s="4" t="s">
        <v>1062</v>
      </c>
      <c r="E593" s="8">
        <v>383.77</v>
      </c>
      <c r="F593" s="8">
        <f t="shared" si="54"/>
        <v>441.33549999999997</v>
      </c>
      <c r="G593" s="8">
        <v>952.56</v>
      </c>
      <c r="H593" s="8">
        <v>952.56</v>
      </c>
      <c r="I593" s="8" t="s">
        <v>1469</v>
      </c>
      <c r="J593" s="10">
        <v>0.34599999999999997</v>
      </c>
      <c r="K593" s="10">
        <v>0.3</v>
      </c>
      <c r="L593" s="10">
        <f t="shared" si="55"/>
        <v>0.25</v>
      </c>
      <c r="M593" s="12">
        <v>10</v>
      </c>
      <c r="N593" s="12">
        <f t="shared" si="56"/>
        <v>12</v>
      </c>
      <c r="O593" s="8">
        <v>6667.9199999999983</v>
      </c>
      <c r="P593" s="8">
        <f t="shared" si="57"/>
        <v>8573.0399999999991</v>
      </c>
      <c r="Q593" s="8">
        <v>3837.7</v>
      </c>
      <c r="R593" s="8">
        <f t="shared" si="58"/>
        <v>5296.0259999999998</v>
      </c>
      <c r="S593" s="8">
        <v>2830.2199999999984</v>
      </c>
      <c r="T593" s="8">
        <f t="shared" si="59"/>
        <v>3277.0139999999992</v>
      </c>
    </row>
    <row r="594" spans="1:20" ht="16.5" x14ac:dyDescent="0.3">
      <c r="A594" s="4" t="s">
        <v>76</v>
      </c>
      <c r="B594" s="6">
        <v>45910</v>
      </c>
      <c r="C594" s="14">
        <v>45910</v>
      </c>
      <c r="D594" s="4" t="s">
        <v>795</v>
      </c>
      <c r="E594" s="8">
        <v>1470.15</v>
      </c>
      <c r="F594" s="8">
        <f t="shared" si="54"/>
        <v>1690.6724999999999</v>
      </c>
      <c r="G594" s="8">
        <v>2593.7800000000002</v>
      </c>
      <c r="H594" s="8">
        <v>2593.7800000000002</v>
      </c>
      <c r="I594" s="8" t="s">
        <v>1470</v>
      </c>
      <c r="J594" s="10">
        <v>0.11</v>
      </c>
      <c r="K594" s="10">
        <v>0.11</v>
      </c>
      <c r="L594" s="10">
        <f t="shared" si="55"/>
        <v>0.11</v>
      </c>
      <c r="M594" s="12">
        <v>12</v>
      </c>
      <c r="N594" s="12">
        <f t="shared" si="56"/>
        <v>14.399999999999999</v>
      </c>
      <c r="O594" s="8">
        <v>27701.570400000001</v>
      </c>
      <c r="P594" s="8">
        <f t="shared" si="57"/>
        <v>33241.884480000001</v>
      </c>
      <c r="Q594" s="8">
        <v>17641.800000000003</v>
      </c>
      <c r="R594" s="8">
        <f t="shared" si="58"/>
        <v>24345.683999999997</v>
      </c>
      <c r="S594" s="8">
        <v>10059.770399999998</v>
      </c>
      <c r="T594" s="8">
        <f t="shared" si="59"/>
        <v>8896.2004800000032</v>
      </c>
    </row>
    <row r="595" spans="1:20" ht="16.5" x14ac:dyDescent="0.3">
      <c r="A595" s="4" t="s">
        <v>486</v>
      </c>
      <c r="B595" s="6">
        <v>45841</v>
      </c>
      <c r="C595" s="14">
        <v>45841</v>
      </c>
      <c r="D595" s="4" t="s">
        <v>1205</v>
      </c>
      <c r="E595" s="8">
        <v>647.36</v>
      </c>
      <c r="F595" s="8">
        <f t="shared" si="54"/>
        <v>744.46399999999994</v>
      </c>
      <c r="G595" s="8">
        <v>1383.6</v>
      </c>
      <c r="H595" s="8">
        <v>1383.6</v>
      </c>
      <c r="I595" s="8" t="s">
        <v>1469</v>
      </c>
      <c r="J595" s="10">
        <v>7.3999999999999996E-2</v>
      </c>
      <c r="K595" s="10">
        <v>7.3999999999999996E-2</v>
      </c>
      <c r="L595" s="10">
        <f t="shared" si="55"/>
        <v>7.3999999999999996E-2</v>
      </c>
      <c r="M595" s="12">
        <v>12</v>
      </c>
      <c r="N595" s="12">
        <f t="shared" si="56"/>
        <v>14.399999999999999</v>
      </c>
      <c r="O595" s="8">
        <v>15374.563199999999</v>
      </c>
      <c r="P595" s="8">
        <f t="shared" si="57"/>
        <v>18449.475839999999</v>
      </c>
      <c r="Q595" s="8">
        <v>7768.32</v>
      </c>
      <c r="R595" s="8">
        <f t="shared" si="58"/>
        <v>10720.281599999998</v>
      </c>
      <c r="S595" s="8">
        <v>7606.243199999999</v>
      </c>
      <c r="T595" s="8">
        <f t="shared" si="59"/>
        <v>7729.1942400000007</v>
      </c>
    </row>
    <row r="596" spans="1:20" ht="16.5" x14ac:dyDescent="0.3">
      <c r="A596" s="4" t="s">
        <v>396</v>
      </c>
      <c r="B596" s="6">
        <v>45861</v>
      </c>
      <c r="C596" s="14">
        <v>45861</v>
      </c>
      <c r="D596" s="4" t="s">
        <v>1115</v>
      </c>
      <c r="E596" s="8">
        <v>1142.06</v>
      </c>
      <c r="F596" s="8">
        <f t="shared" si="54"/>
        <v>1313.3689999999999</v>
      </c>
      <c r="G596" s="8">
        <v>1455</v>
      </c>
      <c r="H596" s="8">
        <v>1455</v>
      </c>
      <c r="I596" s="8" t="s">
        <v>1469</v>
      </c>
      <c r="J596" s="10">
        <v>7.8E-2</v>
      </c>
      <c r="K596" s="10">
        <v>7.8E-2</v>
      </c>
      <c r="L596" s="10">
        <f t="shared" si="55"/>
        <v>7.8E-2</v>
      </c>
      <c r="M596" s="12">
        <v>28</v>
      </c>
      <c r="N596" s="12">
        <f t="shared" si="56"/>
        <v>33.6</v>
      </c>
      <c r="O596" s="8">
        <v>37562.28</v>
      </c>
      <c r="P596" s="8">
        <f t="shared" si="57"/>
        <v>45074.736000000004</v>
      </c>
      <c r="Q596" s="8">
        <v>31977.68</v>
      </c>
      <c r="R596" s="8">
        <f t="shared" si="58"/>
        <v>44129.198400000001</v>
      </c>
      <c r="S596" s="8">
        <v>5584.5999999999985</v>
      </c>
      <c r="T596" s="8">
        <f t="shared" si="59"/>
        <v>945.53760000000329</v>
      </c>
    </row>
    <row r="597" spans="1:20" ht="16.5" x14ac:dyDescent="0.3">
      <c r="A597" s="4" t="s">
        <v>482</v>
      </c>
      <c r="B597" s="6">
        <v>45809</v>
      </c>
      <c r="C597" s="14">
        <v>45809</v>
      </c>
      <c r="D597" s="4" t="s">
        <v>1201</v>
      </c>
      <c r="E597" s="8">
        <v>1171.42</v>
      </c>
      <c r="F597" s="8">
        <f t="shared" si="54"/>
        <v>1347.133</v>
      </c>
      <c r="G597" s="8">
        <v>2187.8000000000002</v>
      </c>
      <c r="H597" s="8">
        <v>2187.8000000000002</v>
      </c>
      <c r="I597" s="8" t="s">
        <v>1470</v>
      </c>
      <c r="J597" s="10">
        <v>0.23</v>
      </c>
      <c r="K597" s="10">
        <v>0.23</v>
      </c>
      <c r="L597" s="10">
        <f t="shared" si="55"/>
        <v>0.23</v>
      </c>
      <c r="M597" s="12">
        <v>15</v>
      </c>
      <c r="N597" s="12">
        <f t="shared" si="56"/>
        <v>18</v>
      </c>
      <c r="O597" s="8">
        <v>25269.09</v>
      </c>
      <c r="P597" s="8">
        <f t="shared" si="57"/>
        <v>30322.908000000003</v>
      </c>
      <c r="Q597" s="8">
        <v>17571.300000000003</v>
      </c>
      <c r="R597" s="8">
        <f t="shared" si="58"/>
        <v>24248.394</v>
      </c>
      <c r="S597" s="8">
        <v>7697.7899999999972</v>
      </c>
      <c r="T597" s="8">
        <f t="shared" si="59"/>
        <v>6074.5140000000029</v>
      </c>
    </row>
    <row r="598" spans="1:20" ht="16.5" x14ac:dyDescent="0.3">
      <c r="A598" s="4" t="s">
        <v>440</v>
      </c>
      <c r="B598" s="6">
        <v>45897</v>
      </c>
      <c r="C598" s="14">
        <v>45897</v>
      </c>
      <c r="D598" s="4" t="s">
        <v>1159</v>
      </c>
      <c r="E598" s="8">
        <v>1271.0999999999999</v>
      </c>
      <c r="F598" s="8">
        <f t="shared" si="54"/>
        <v>1461.7649999999999</v>
      </c>
      <c r="G598" s="8">
        <v>1932.42</v>
      </c>
      <c r="H598" s="8">
        <v>1932.42</v>
      </c>
      <c r="I598" s="8" t="s">
        <v>1470</v>
      </c>
      <c r="J598" s="10">
        <v>0.25</v>
      </c>
      <c r="K598" s="10">
        <v>0.25</v>
      </c>
      <c r="L598" s="10">
        <f t="shared" si="55"/>
        <v>0.25</v>
      </c>
      <c r="M598" s="12">
        <v>21</v>
      </c>
      <c r="N598" s="12">
        <f t="shared" si="56"/>
        <v>25.2</v>
      </c>
      <c r="O598" s="8">
        <v>30435.614999999998</v>
      </c>
      <c r="P598" s="8">
        <f t="shared" si="57"/>
        <v>36522.738000000005</v>
      </c>
      <c r="Q598" s="8">
        <v>26693.1</v>
      </c>
      <c r="R598" s="8">
        <f t="shared" si="58"/>
        <v>36836.477999999996</v>
      </c>
      <c r="S598" s="8">
        <v>3742.5149999999994</v>
      </c>
      <c r="T598" s="8">
        <f t="shared" si="59"/>
        <v>-313.73999999999069</v>
      </c>
    </row>
    <row r="599" spans="1:20" ht="16.5" x14ac:dyDescent="0.3">
      <c r="A599" s="4" t="s">
        <v>58</v>
      </c>
      <c r="B599" s="6">
        <v>45806</v>
      </c>
      <c r="C599" s="14">
        <v>45806</v>
      </c>
      <c r="D599" s="4" t="s">
        <v>777</v>
      </c>
      <c r="E599" s="8">
        <v>483.47</v>
      </c>
      <c r="F599" s="8">
        <f t="shared" si="54"/>
        <v>555.9905</v>
      </c>
      <c r="G599" s="8">
        <v>1135.43</v>
      </c>
      <c r="H599" s="8">
        <v>1135.43</v>
      </c>
      <c r="I599" s="8" t="s">
        <v>1469</v>
      </c>
      <c r="J599" s="10">
        <v>0.14599999999999999</v>
      </c>
      <c r="K599" s="10">
        <v>0.14599999999999999</v>
      </c>
      <c r="L599" s="10">
        <f t="shared" si="55"/>
        <v>0.14599999999999999</v>
      </c>
      <c r="M599" s="12">
        <v>11</v>
      </c>
      <c r="N599" s="12">
        <f t="shared" si="56"/>
        <v>13.2</v>
      </c>
      <c r="O599" s="8">
        <v>10666.229420000001</v>
      </c>
      <c r="P599" s="8">
        <f t="shared" si="57"/>
        <v>12799.475304</v>
      </c>
      <c r="Q599" s="8">
        <v>5318.17</v>
      </c>
      <c r="R599" s="8">
        <f t="shared" si="58"/>
        <v>7339.0745999999999</v>
      </c>
      <c r="S599" s="8">
        <v>5348.0594200000014</v>
      </c>
      <c r="T599" s="8">
        <f t="shared" si="59"/>
        <v>5460.4007039999997</v>
      </c>
    </row>
    <row r="600" spans="1:20" ht="16.5" x14ac:dyDescent="0.3">
      <c r="A600" s="4" t="s">
        <v>395</v>
      </c>
      <c r="B600" s="6">
        <v>45876</v>
      </c>
      <c r="C600" s="14">
        <v>45876</v>
      </c>
      <c r="D600" s="4" t="s">
        <v>1114</v>
      </c>
      <c r="E600" s="8">
        <v>833.73</v>
      </c>
      <c r="F600" s="8">
        <f t="shared" si="54"/>
        <v>958.78949999999998</v>
      </c>
      <c r="G600" s="8">
        <v>1116.5999999999999</v>
      </c>
      <c r="H600" s="8">
        <v>1116.5999999999999</v>
      </c>
      <c r="I600" s="8" t="s">
        <v>1469</v>
      </c>
      <c r="J600" s="10">
        <v>0.17599999999999999</v>
      </c>
      <c r="K600" s="10">
        <v>0.17599999999999999</v>
      </c>
      <c r="L600" s="10">
        <f t="shared" si="55"/>
        <v>0.17599999999999999</v>
      </c>
      <c r="M600" s="12">
        <v>14</v>
      </c>
      <c r="N600" s="12">
        <f t="shared" si="56"/>
        <v>16.8</v>
      </c>
      <c r="O600" s="8">
        <v>12881.097599999999</v>
      </c>
      <c r="P600" s="8">
        <f t="shared" si="57"/>
        <v>15457.317120000002</v>
      </c>
      <c r="Q600" s="8">
        <v>11672.220000000001</v>
      </c>
      <c r="R600" s="8">
        <f t="shared" si="58"/>
        <v>16107.6636</v>
      </c>
      <c r="S600" s="8">
        <v>1208.877599999998</v>
      </c>
      <c r="T600" s="8">
        <f t="shared" si="59"/>
        <v>-650.34647999999834</v>
      </c>
    </row>
    <row r="601" spans="1:20" ht="16.5" x14ac:dyDescent="0.3">
      <c r="A601" s="4" t="s">
        <v>513</v>
      </c>
      <c r="B601" s="6">
        <v>45908</v>
      </c>
      <c r="C601" s="14">
        <v>45908</v>
      </c>
      <c r="D601" s="4" t="s">
        <v>1232</v>
      </c>
      <c r="E601" s="8">
        <v>660.78</v>
      </c>
      <c r="F601" s="8">
        <f t="shared" si="54"/>
        <v>759.89699999999993</v>
      </c>
      <c r="G601" s="8">
        <v>1630.39</v>
      </c>
      <c r="H601" s="8">
        <v>1630.39</v>
      </c>
      <c r="I601" s="8" t="s">
        <v>1469</v>
      </c>
      <c r="J601" s="10">
        <v>0.218</v>
      </c>
      <c r="K601" s="10">
        <v>0.218</v>
      </c>
      <c r="L601" s="10">
        <f t="shared" si="55"/>
        <v>0.218</v>
      </c>
      <c r="M601" s="12">
        <v>13</v>
      </c>
      <c r="N601" s="12">
        <f t="shared" si="56"/>
        <v>15.6</v>
      </c>
      <c r="O601" s="8">
        <v>16574.544740000001</v>
      </c>
      <c r="P601" s="8">
        <f t="shared" si="57"/>
        <v>19889.453688000001</v>
      </c>
      <c r="Q601" s="8">
        <v>8590.14</v>
      </c>
      <c r="R601" s="8">
        <f t="shared" si="58"/>
        <v>11854.393199999999</v>
      </c>
      <c r="S601" s="8">
        <v>7984.4047400000018</v>
      </c>
      <c r="T601" s="8">
        <f t="shared" si="59"/>
        <v>8035.0604880000028</v>
      </c>
    </row>
    <row r="602" spans="1:20" ht="16.5" x14ac:dyDescent="0.3">
      <c r="A602" s="4" t="s">
        <v>531</v>
      </c>
      <c r="B602" s="6">
        <v>45794</v>
      </c>
      <c r="C602" s="14">
        <v>45794</v>
      </c>
      <c r="D602" s="4" t="s">
        <v>1250</v>
      </c>
      <c r="E602" s="8">
        <v>66.400000000000006</v>
      </c>
      <c r="F602" s="8">
        <f t="shared" si="54"/>
        <v>76.36</v>
      </c>
      <c r="G602" s="8">
        <v>141.43</v>
      </c>
      <c r="H602" s="8">
        <v>141.43</v>
      </c>
      <c r="I602" s="8" t="s">
        <v>1471</v>
      </c>
      <c r="J602" s="10">
        <v>0.107</v>
      </c>
      <c r="K602" s="10">
        <v>0.107</v>
      </c>
      <c r="L602" s="10">
        <f t="shared" si="55"/>
        <v>0.107</v>
      </c>
      <c r="M602" s="12">
        <v>8</v>
      </c>
      <c r="N602" s="12">
        <f t="shared" si="56"/>
        <v>9.6</v>
      </c>
      <c r="O602" s="8">
        <v>1010.3759200000001</v>
      </c>
      <c r="P602" s="8">
        <f t="shared" si="57"/>
        <v>1212.451104</v>
      </c>
      <c r="Q602" s="8">
        <v>531.20000000000005</v>
      </c>
      <c r="R602" s="8">
        <f t="shared" si="58"/>
        <v>733.05599999999993</v>
      </c>
      <c r="S602" s="8">
        <v>479.17592000000002</v>
      </c>
      <c r="T602" s="8">
        <f t="shared" si="59"/>
        <v>479.39510400000006</v>
      </c>
    </row>
    <row r="603" spans="1:20" ht="16.5" x14ac:dyDescent="0.3">
      <c r="A603" s="4" t="s">
        <v>437</v>
      </c>
      <c r="B603" s="6">
        <v>45915</v>
      </c>
      <c r="C603" s="14">
        <v>45915</v>
      </c>
      <c r="D603" s="4" t="s">
        <v>1156</v>
      </c>
      <c r="E603" s="8">
        <v>1488.91</v>
      </c>
      <c r="F603" s="8">
        <f t="shared" si="54"/>
        <v>1712.2465</v>
      </c>
      <c r="G603" s="8">
        <v>1483.74</v>
      </c>
      <c r="H603" s="8">
        <v>1483.74</v>
      </c>
      <c r="I603" s="8" t="s">
        <v>1469</v>
      </c>
      <c r="J603" s="10">
        <v>0.16800000000000001</v>
      </c>
      <c r="K603" s="10">
        <v>0.16800000000000001</v>
      </c>
      <c r="L603" s="10">
        <f t="shared" si="55"/>
        <v>0.16800000000000001</v>
      </c>
      <c r="M603" s="12">
        <v>24</v>
      </c>
      <c r="N603" s="12">
        <f t="shared" si="56"/>
        <v>28.799999999999997</v>
      </c>
      <c r="O603" s="8">
        <v>29627.320319999999</v>
      </c>
      <c r="P603" s="8">
        <f t="shared" si="57"/>
        <v>35552.784383999999</v>
      </c>
      <c r="Q603" s="8">
        <v>35733.840000000004</v>
      </c>
      <c r="R603" s="8">
        <f t="shared" si="58"/>
        <v>49312.699199999995</v>
      </c>
      <c r="S603" s="8">
        <v>-6106.5196800000049</v>
      </c>
      <c r="T603" s="8">
        <f t="shared" si="59"/>
        <v>-13759.914815999997</v>
      </c>
    </row>
    <row r="604" spans="1:20" ht="16.5" x14ac:dyDescent="0.3">
      <c r="A604" s="4" t="s">
        <v>29</v>
      </c>
      <c r="B604" s="6">
        <v>45901</v>
      </c>
      <c r="C604" s="14">
        <v>45901</v>
      </c>
      <c r="D604" s="4" t="s">
        <v>748</v>
      </c>
      <c r="E604" s="8">
        <v>780.59</v>
      </c>
      <c r="F604" s="8">
        <f t="shared" si="54"/>
        <v>897.67849999999999</v>
      </c>
      <c r="G604" s="8">
        <v>631.57000000000005</v>
      </c>
      <c r="H604" s="8">
        <v>631.57000000000005</v>
      </c>
      <c r="I604" s="8" t="s">
        <v>1471</v>
      </c>
      <c r="J604" s="10">
        <v>0</v>
      </c>
      <c r="K604" s="10">
        <v>0</v>
      </c>
      <c r="L604" s="10">
        <f t="shared" si="55"/>
        <v>0</v>
      </c>
      <c r="M604" s="12">
        <v>12</v>
      </c>
      <c r="N604" s="12">
        <f t="shared" si="56"/>
        <v>14.399999999999999</v>
      </c>
      <c r="O604" s="8">
        <v>7578.84</v>
      </c>
      <c r="P604" s="8">
        <f t="shared" si="57"/>
        <v>9094.6080000000002</v>
      </c>
      <c r="Q604" s="8">
        <v>9367.08</v>
      </c>
      <c r="R604" s="8">
        <f t="shared" si="58"/>
        <v>12926.570399999999</v>
      </c>
      <c r="S604" s="8">
        <v>-1788.2399999999998</v>
      </c>
      <c r="T604" s="8">
        <f t="shared" si="59"/>
        <v>-3831.9623999999985</v>
      </c>
    </row>
    <row r="605" spans="1:20" ht="16.5" x14ac:dyDescent="0.3">
      <c r="A605" s="4" t="s">
        <v>33</v>
      </c>
      <c r="B605" s="6">
        <v>45858</v>
      </c>
      <c r="C605" s="14">
        <v>45858</v>
      </c>
      <c r="D605" s="4" t="s">
        <v>752</v>
      </c>
      <c r="E605" s="8">
        <v>1068.17</v>
      </c>
      <c r="F605" s="8">
        <f t="shared" si="54"/>
        <v>1228.3955000000001</v>
      </c>
      <c r="G605" s="8">
        <v>2375.37</v>
      </c>
      <c r="H605" s="8">
        <v>2375.37</v>
      </c>
      <c r="I605" s="8" t="s">
        <v>1470</v>
      </c>
      <c r="J605" s="10">
        <v>0.109</v>
      </c>
      <c r="K605" s="10">
        <v>0.109</v>
      </c>
      <c r="L605" s="10">
        <f t="shared" si="55"/>
        <v>0.109</v>
      </c>
      <c r="M605" s="12">
        <v>18</v>
      </c>
      <c r="N605" s="12">
        <f t="shared" si="56"/>
        <v>21.599999999999998</v>
      </c>
      <c r="O605" s="8">
        <v>38096.18406</v>
      </c>
      <c r="P605" s="8">
        <f t="shared" si="57"/>
        <v>45715.420871999995</v>
      </c>
      <c r="Q605" s="8">
        <v>19227.060000000001</v>
      </c>
      <c r="R605" s="8">
        <f t="shared" si="58"/>
        <v>26533.342799999999</v>
      </c>
      <c r="S605" s="8">
        <v>18869.124059999998</v>
      </c>
      <c r="T605" s="8">
        <f t="shared" si="59"/>
        <v>19182.078071999997</v>
      </c>
    </row>
    <row r="606" spans="1:20" ht="16.5" x14ac:dyDescent="0.3">
      <c r="A606" s="4" t="s">
        <v>190</v>
      </c>
      <c r="B606" s="6">
        <v>45761</v>
      </c>
      <c r="C606" s="14">
        <v>45761</v>
      </c>
      <c r="D606" s="4" t="s">
        <v>909</v>
      </c>
      <c r="E606" s="8">
        <v>1413.87</v>
      </c>
      <c r="F606" s="8">
        <f t="shared" si="54"/>
        <v>1625.9504999999997</v>
      </c>
      <c r="G606" s="8">
        <v>3275</v>
      </c>
      <c r="H606" s="8">
        <v>3275</v>
      </c>
      <c r="I606" s="8" t="s">
        <v>1470</v>
      </c>
      <c r="J606" s="10">
        <v>0.255</v>
      </c>
      <c r="K606" s="10">
        <v>0.255</v>
      </c>
      <c r="L606" s="10">
        <f t="shared" si="55"/>
        <v>0.25</v>
      </c>
      <c r="M606" s="12">
        <v>38</v>
      </c>
      <c r="N606" s="12">
        <f t="shared" si="56"/>
        <v>45.6</v>
      </c>
      <c r="O606" s="8">
        <v>92715.25</v>
      </c>
      <c r="P606" s="8">
        <f t="shared" si="57"/>
        <v>112005</v>
      </c>
      <c r="Q606" s="8">
        <v>53727.06</v>
      </c>
      <c r="R606" s="8">
        <f t="shared" si="58"/>
        <v>74143.342799999984</v>
      </c>
      <c r="S606" s="8">
        <v>38988.19</v>
      </c>
      <c r="T606" s="8">
        <f t="shared" si="59"/>
        <v>37861.657200000016</v>
      </c>
    </row>
    <row r="607" spans="1:20" ht="16.5" x14ac:dyDescent="0.3">
      <c r="A607" s="4" t="s">
        <v>608</v>
      </c>
      <c r="B607" s="6">
        <v>45823</v>
      </c>
      <c r="C607" s="14">
        <v>45823</v>
      </c>
      <c r="D607" s="4" t="s">
        <v>1326</v>
      </c>
      <c r="E607" s="8">
        <v>318.83</v>
      </c>
      <c r="F607" s="8">
        <f t="shared" si="54"/>
        <v>366.65449999999993</v>
      </c>
      <c r="G607" s="8">
        <v>699.5</v>
      </c>
      <c r="H607" s="8">
        <v>699.5</v>
      </c>
      <c r="I607" s="8" t="s">
        <v>1469</v>
      </c>
      <c r="J607" s="10">
        <v>0.08</v>
      </c>
      <c r="K607" s="10">
        <v>0.08</v>
      </c>
      <c r="L607" s="10">
        <f t="shared" si="55"/>
        <v>0.08</v>
      </c>
      <c r="M607" s="12">
        <v>13</v>
      </c>
      <c r="N607" s="12">
        <f t="shared" si="56"/>
        <v>15.6</v>
      </c>
      <c r="O607" s="8">
        <v>8366.02</v>
      </c>
      <c r="P607" s="8">
        <f t="shared" si="57"/>
        <v>10039.224</v>
      </c>
      <c r="Q607" s="8">
        <v>4144.79</v>
      </c>
      <c r="R607" s="8">
        <f t="shared" si="58"/>
        <v>5719.810199999999</v>
      </c>
      <c r="S607" s="8">
        <v>4221.2300000000005</v>
      </c>
      <c r="T607" s="8">
        <f t="shared" si="59"/>
        <v>4319.4138000000012</v>
      </c>
    </row>
    <row r="608" spans="1:20" ht="16.5" x14ac:dyDescent="0.3">
      <c r="A608" s="4" t="s">
        <v>332</v>
      </c>
      <c r="B608" s="6">
        <v>45748</v>
      </c>
      <c r="C608" s="14">
        <v>45748</v>
      </c>
      <c r="D608" s="4" t="s">
        <v>1052</v>
      </c>
      <c r="E608" s="8">
        <v>156.55000000000001</v>
      </c>
      <c r="F608" s="8">
        <f t="shared" si="54"/>
        <v>180.0325</v>
      </c>
      <c r="G608" s="8">
        <v>227.45</v>
      </c>
      <c r="H608" s="8">
        <v>227.45</v>
      </c>
      <c r="I608" s="8" t="s">
        <v>1471</v>
      </c>
      <c r="J608" s="10">
        <v>1.4E-2</v>
      </c>
      <c r="K608" s="10">
        <v>1.4E-2</v>
      </c>
      <c r="L608" s="10">
        <f t="shared" si="55"/>
        <v>1.4E-2</v>
      </c>
      <c r="M608" s="12">
        <v>13</v>
      </c>
      <c r="N608" s="12">
        <f t="shared" si="56"/>
        <v>15.6</v>
      </c>
      <c r="O608" s="8">
        <v>2915.4540999999999</v>
      </c>
      <c r="P608" s="8">
        <f t="shared" si="57"/>
        <v>3498.5449199999998</v>
      </c>
      <c r="Q608" s="8">
        <v>2035.15</v>
      </c>
      <c r="R608" s="8">
        <f t="shared" si="58"/>
        <v>2808.5070000000001</v>
      </c>
      <c r="S608" s="8">
        <v>880.30409999999983</v>
      </c>
      <c r="T608" s="8">
        <f t="shared" si="59"/>
        <v>690.03791999999976</v>
      </c>
    </row>
    <row r="609" spans="1:20" ht="16.5" x14ac:dyDescent="0.3">
      <c r="A609" s="4" t="s">
        <v>102</v>
      </c>
      <c r="B609" s="6">
        <v>45876</v>
      </c>
      <c r="C609" s="14">
        <v>45876</v>
      </c>
      <c r="D609" s="4" t="s">
        <v>821</v>
      </c>
      <c r="E609" s="8">
        <v>601.51</v>
      </c>
      <c r="F609" s="8">
        <f t="shared" si="54"/>
        <v>691.73649999999998</v>
      </c>
      <c r="G609" s="8">
        <v>679.35</v>
      </c>
      <c r="H609" s="8">
        <v>679.35</v>
      </c>
      <c r="I609" s="8" t="s">
        <v>1471</v>
      </c>
      <c r="J609" s="10">
        <v>0.188</v>
      </c>
      <c r="K609" s="10">
        <v>0.188</v>
      </c>
      <c r="L609" s="10">
        <f t="shared" si="55"/>
        <v>0.188</v>
      </c>
      <c r="M609" s="12">
        <v>3</v>
      </c>
      <c r="N609" s="12">
        <f t="shared" si="56"/>
        <v>3.5999999999999996</v>
      </c>
      <c r="O609" s="8">
        <v>1654.8966000000003</v>
      </c>
      <c r="P609" s="8">
        <f t="shared" si="57"/>
        <v>1985.87592</v>
      </c>
      <c r="Q609" s="8">
        <v>1804.53</v>
      </c>
      <c r="R609" s="8">
        <f t="shared" si="58"/>
        <v>2490.2513999999996</v>
      </c>
      <c r="S609" s="8">
        <v>-149.63339999999971</v>
      </c>
      <c r="T609" s="8">
        <f t="shared" si="59"/>
        <v>-504.3754799999997</v>
      </c>
    </row>
    <row r="610" spans="1:20" ht="16.5" x14ac:dyDescent="0.3">
      <c r="A610" s="4" t="s">
        <v>400</v>
      </c>
      <c r="B610" s="6">
        <v>45789</v>
      </c>
      <c r="C610" s="14">
        <v>45789</v>
      </c>
      <c r="D610" s="4" t="s">
        <v>1119</v>
      </c>
      <c r="E610" s="8">
        <v>320.12</v>
      </c>
      <c r="F610" s="8">
        <f t="shared" si="54"/>
        <v>368.13799999999998</v>
      </c>
      <c r="G610" s="8">
        <v>594.41999999999996</v>
      </c>
      <c r="H610" s="8">
        <v>594.41999999999996</v>
      </c>
      <c r="I610" s="8" t="s">
        <v>1471</v>
      </c>
      <c r="J610" s="10">
        <v>0.104</v>
      </c>
      <c r="K610" s="10">
        <v>0.104</v>
      </c>
      <c r="L610" s="10">
        <f t="shared" si="55"/>
        <v>0.104</v>
      </c>
      <c r="M610" s="12">
        <v>18</v>
      </c>
      <c r="N610" s="12">
        <f t="shared" si="56"/>
        <v>21.599999999999998</v>
      </c>
      <c r="O610" s="8">
        <v>9586.8057599999993</v>
      </c>
      <c r="P610" s="8">
        <f t="shared" si="57"/>
        <v>11504.166911999999</v>
      </c>
      <c r="Q610" s="8">
        <v>5762.16</v>
      </c>
      <c r="R610" s="8">
        <f t="shared" si="58"/>
        <v>7951.7807999999986</v>
      </c>
      <c r="S610" s="8">
        <v>3824.6457599999994</v>
      </c>
      <c r="T610" s="8">
        <f t="shared" si="59"/>
        <v>3552.3861120000001</v>
      </c>
    </row>
    <row r="611" spans="1:20" ht="16.5" x14ac:dyDescent="0.3">
      <c r="A611" s="4" t="s">
        <v>571</v>
      </c>
      <c r="B611" s="6">
        <v>45791</v>
      </c>
      <c r="C611" s="14">
        <v>45791</v>
      </c>
      <c r="D611" s="4" t="s">
        <v>1289</v>
      </c>
      <c r="E611" s="8">
        <v>883.5</v>
      </c>
      <c r="F611" s="8">
        <f t="shared" si="54"/>
        <v>1016.025</v>
      </c>
      <c r="G611" s="8">
        <v>1978.91</v>
      </c>
      <c r="H611" s="8">
        <v>1978.91</v>
      </c>
      <c r="I611" s="8" t="s">
        <v>1470</v>
      </c>
      <c r="J611" s="10">
        <v>5.3999999999999999E-2</v>
      </c>
      <c r="K611" s="10">
        <v>5.3999999999999999E-2</v>
      </c>
      <c r="L611" s="10">
        <f t="shared" si="55"/>
        <v>5.3999999999999999E-2</v>
      </c>
      <c r="M611" s="12">
        <v>27</v>
      </c>
      <c r="N611" s="12">
        <f t="shared" si="56"/>
        <v>32.4</v>
      </c>
      <c r="O611" s="8">
        <v>50545.319219999998</v>
      </c>
      <c r="P611" s="8">
        <f t="shared" si="57"/>
        <v>60654.383064000001</v>
      </c>
      <c r="Q611" s="8">
        <v>23854.5</v>
      </c>
      <c r="R611" s="8">
        <f t="shared" si="58"/>
        <v>32919.21</v>
      </c>
      <c r="S611" s="8">
        <v>26690.819219999998</v>
      </c>
      <c r="T611" s="8">
        <f t="shared" si="59"/>
        <v>27735.173064000002</v>
      </c>
    </row>
    <row r="612" spans="1:20" ht="16.5" x14ac:dyDescent="0.3">
      <c r="A612" s="4" t="s">
        <v>421</v>
      </c>
      <c r="B612" s="6">
        <v>45709</v>
      </c>
      <c r="C612" s="14">
        <v>45709</v>
      </c>
      <c r="D612" s="4" t="s">
        <v>1140</v>
      </c>
      <c r="E612" s="8">
        <v>1437.39</v>
      </c>
      <c r="F612" s="8">
        <f t="shared" si="54"/>
        <v>1652.9984999999999</v>
      </c>
      <c r="G612" s="8">
        <v>1388.31</v>
      </c>
      <c r="H612" s="8">
        <v>1388.31</v>
      </c>
      <c r="I612" s="8" t="s">
        <v>1469</v>
      </c>
      <c r="J612" s="10">
        <v>0.13800000000000001</v>
      </c>
      <c r="K612" s="10">
        <v>0.13800000000000001</v>
      </c>
      <c r="L612" s="10">
        <f t="shared" si="55"/>
        <v>0.13800000000000001</v>
      </c>
      <c r="M612" s="12">
        <v>18</v>
      </c>
      <c r="N612" s="12">
        <f t="shared" si="56"/>
        <v>21.599999999999998</v>
      </c>
      <c r="O612" s="8">
        <v>21541.017959999997</v>
      </c>
      <c r="P612" s="8">
        <f t="shared" si="57"/>
        <v>25849.221551999995</v>
      </c>
      <c r="Q612" s="8">
        <v>25873.02</v>
      </c>
      <c r="R612" s="8">
        <f t="shared" si="58"/>
        <v>35704.767599999992</v>
      </c>
      <c r="S612" s="8">
        <v>-4332.002040000003</v>
      </c>
      <c r="T612" s="8">
        <f t="shared" si="59"/>
        <v>-9855.5460479999965</v>
      </c>
    </row>
    <row r="613" spans="1:20" ht="16.5" x14ac:dyDescent="0.3">
      <c r="A613" s="4" t="s">
        <v>279</v>
      </c>
      <c r="B613" s="6">
        <v>45902</v>
      </c>
      <c r="C613" s="14">
        <v>45902</v>
      </c>
      <c r="D613" s="4" t="s">
        <v>999</v>
      </c>
      <c r="E613" s="8">
        <v>1207.6300000000001</v>
      </c>
      <c r="F613" s="8">
        <f t="shared" si="54"/>
        <v>1388.7745</v>
      </c>
      <c r="G613" s="8">
        <v>921.68</v>
      </c>
      <c r="H613" s="8">
        <v>921.68</v>
      </c>
      <c r="I613" s="8" t="s">
        <v>1469</v>
      </c>
      <c r="J613" s="10">
        <v>0.19600000000000001</v>
      </c>
      <c r="K613" s="10">
        <v>0.19600000000000001</v>
      </c>
      <c r="L613" s="10">
        <f t="shared" si="55"/>
        <v>0.19600000000000001</v>
      </c>
      <c r="M613" s="12">
        <v>17</v>
      </c>
      <c r="N613" s="12">
        <f t="shared" si="56"/>
        <v>20.399999999999999</v>
      </c>
      <c r="O613" s="8">
        <v>12597.52224</v>
      </c>
      <c r="P613" s="8">
        <f t="shared" si="57"/>
        <v>15117.026687999998</v>
      </c>
      <c r="Q613" s="8">
        <v>20529.710000000003</v>
      </c>
      <c r="R613" s="8">
        <f t="shared" si="58"/>
        <v>28330.999799999998</v>
      </c>
      <c r="S613" s="8">
        <v>-7932.1877600000025</v>
      </c>
      <c r="T613" s="8">
        <f t="shared" si="59"/>
        <v>-13213.973112</v>
      </c>
    </row>
    <row r="614" spans="1:20" ht="16.5" x14ac:dyDescent="0.3">
      <c r="A614" s="4" t="s">
        <v>197</v>
      </c>
      <c r="B614" s="6">
        <v>45690</v>
      </c>
      <c r="C614" s="14">
        <v>45690</v>
      </c>
      <c r="D614" s="4" t="s">
        <v>916</v>
      </c>
      <c r="E614" s="8">
        <v>766.59</v>
      </c>
      <c r="F614" s="8">
        <f t="shared" si="54"/>
        <v>881.57849999999996</v>
      </c>
      <c r="G614" s="8">
        <v>1912.8</v>
      </c>
      <c r="H614" s="8">
        <v>1912.8</v>
      </c>
      <c r="I614" s="8" t="s">
        <v>1470</v>
      </c>
      <c r="J614" s="10">
        <v>0.19600000000000001</v>
      </c>
      <c r="K614" s="10">
        <v>0.19600000000000001</v>
      </c>
      <c r="L614" s="10">
        <f t="shared" si="55"/>
        <v>0.19600000000000001</v>
      </c>
      <c r="M614" s="12">
        <v>5</v>
      </c>
      <c r="N614" s="12">
        <f t="shared" si="56"/>
        <v>6</v>
      </c>
      <c r="O614" s="8">
        <v>7689.4560000000001</v>
      </c>
      <c r="P614" s="8">
        <f t="shared" si="57"/>
        <v>9227.3472000000002</v>
      </c>
      <c r="Q614" s="8">
        <v>3832.9500000000003</v>
      </c>
      <c r="R614" s="8">
        <f t="shared" si="58"/>
        <v>5289.4709999999995</v>
      </c>
      <c r="S614" s="8">
        <v>3856.5059999999999</v>
      </c>
      <c r="T614" s="8">
        <f t="shared" si="59"/>
        <v>3937.8762000000006</v>
      </c>
    </row>
    <row r="615" spans="1:20" ht="16.5" x14ac:dyDescent="0.3">
      <c r="A615" s="4" t="s">
        <v>635</v>
      </c>
      <c r="B615" s="6">
        <v>45764</v>
      </c>
      <c r="C615" s="14">
        <v>45764</v>
      </c>
      <c r="D615" s="4" t="s">
        <v>1353</v>
      </c>
      <c r="E615" s="8">
        <v>168.68</v>
      </c>
      <c r="F615" s="8">
        <f t="shared" si="54"/>
        <v>193.982</v>
      </c>
      <c r="G615" s="8">
        <v>413.34</v>
      </c>
      <c r="H615" s="8">
        <v>413.34</v>
      </c>
      <c r="I615" s="8" t="s">
        <v>1471</v>
      </c>
      <c r="J615" s="10">
        <v>0.186</v>
      </c>
      <c r="K615" s="10">
        <v>0.186</v>
      </c>
      <c r="L615" s="10">
        <f t="shared" si="55"/>
        <v>0.186</v>
      </c>
      <c r="M615" s="12">
        <v>7</v>
      </c>
      <c r="N615" s="12">
        <f t="shared" si="56"/>
        <v>8.4</v>
      </c>
      <c r="O615" s="8">
        <v>2355.2113199999999</v>
      </c>
      <c r="P615" s="8">
        <f t="shared" si="57"/>
        <v>2826.253584</v>
      </c>
      <c r="Q615" s="8">
        <v>1180.76</v>
      </c>
      <c r="R615" s="8">
        <f t="shared" si="58"/>
        <v>1629.4488000000001</v>
      </c>
      <c r="S615" s="8">
        <v>1174.4513199999999</v>
      </c>
      <c r="T615" s="8">
        <f t="shared" si="59"/>
        <v>1196.8047839999999</v>
      </c>
    </row>
    <row r="616" spans="1:20" ht="16.5" x14ac:dyDescent="0.3">
      <c r="A616" s="4" t="s">
        <v>277</v>
      </c>
      <c r="B616" s="6">
        <v>45829</v>
      </c>
      <c r="C616" s="14">
        <v>45829</v>
      </c>
      <c r="D616" s="4" t="s">
        <v>997</v>
      </c>
      <c r="E616" s="8">
        <v>93.91</v>
      </c>
      <c r="F616" s="8">
        <f t="shared" si="54"/>
        <v>107.99649999999998</v>
      </c>
      <c r="G616" s="8">
        <v>99.04</v>
      </c>
      <c r="H616" s="8">
        <v>99.04</v>
      </c>
      <c r="I616" s="8" t="s">
        <v>1471</v>
      </c>
      <c r="J616" s="10">
        <v>5.7000000000000002E-2</v>
      </c>
      <c r="K616" s="10">
        <v>5.7000000000000002E-2</v>
      </c>
      <c r="L616" s="10">
        <f t="shared" si="55"/>
        <v>5.7000000000000002E-2</v>
      </c>
      <c r="M616" s="12">
        <v>6</v>
      </c>
      <c r="N616" s="12">
        <f t="shared" si="56"/>
        <v>7.1999999999999993</v>
      </c>
      <c r="O616" s="8">
        <v>560.36831999999993</v>
      </c>
      <c r="P616" s="8">
        <f t="shared" si="57"/>
        <v>672.44198399999993</v>
      </c>
      <c r="Q616" s="8">
        <v>563.46</v>
      </c>
      <c r="R616" s="8">
        <f t="shared" si="58"/>
        <v>777.57479999999975</v>
      </c>
      <c r="S616" s="8">
        <v>-3.0916800000001103</v>
      </c>
      <c r="T616" s="8">
        <f t="shared" si="59"/>
        <v>-105.13281599999982</v>
      </c>
    </row>
    <row r="617" spans="1:20" ht="16.5" x14ac:dyDescent="0.3">
      <c r="A617" s="4" t="s">
        <v>418</v>
      </c>
      <c r="B617" s="6">
        <v>45677</v>
      </c>
      <c r="C617" s="14">
        <v>45677</v>
      </c>
      <c r="D617" s="4" t="s">
        <v>1137</v>
      </c>
      <c r="E617" s="8">
        <v>974.11</v>
      </c>
      <c r="F617" s="8">
        <f t="shared" si="54"/>
        <v>1120.2265</v>
      </c>
      <c r="G617" s="8">
        <v>880.99</v>
      </c>
      <c r="H617" s="8">
        <v>880.99</v>
      </c>
      <c r="I617" s="8" t="s">
        <v>1471</v>
      </c>
      <c r="J617" s="10">
        <v>0.111</v>
      </c>
      <c r="K617" s="10">
        <v>0.111</v>
      </c>
      <c r="L617" s="10">
        <f t="shared" si="55"/>
        <v>0.111</v>
      </c>
      <c r="M617" s="12">
        <v>10</v>
      </c>
      <c r="N617" s="12">
        <f t="shared" si="56"/>
        <v>12</v>
      </c>
      <c r="O617" s="8">
        <v>7832.0010999999995</v>
      </c>
      <c r="P617" s="8">
        <f t="shared" si="57"/>
        <v>9398.4013200000009</v>
      </c>
      <c r="Q617" s="8">
        <v>9741.1</v>
      </c>
      <c r="R617" s="8">
        <f t="shared" si="58"/>
        <v>13442.718000000001</v>
      </c>
      <c r="S617" s="8">
        <v>-1909.0989000000009</v>
      </c>
      <c r="T617" s="8">
        <f t="shared" si="59"/>
        <v>-4044.3166799999999</v>
      </c>
    </row>
    <row r="618" spans="1:20" ht="16.5" x14ac:dyDescent="0.3">
      <c r="A618" s="4" t="s">
        <v>393</v>
      </c>
      <c r="B618" s="6">
        <v>45694</v>
      </c>
      <c r="C618" s="14">
        <v>45694</v>
      </c>
      <c r="D618" s="4" t="s">
        <v>1113</v>
      </c>
      <c r="E618" s="8">
        <v>837.39</v>
      </c>
      <c r="F618" s="8">
        <f t="shared" si="54"/>
        <v>962.99849999999992</v>
      </c>
      <c r="G618" s="8">
        <v>1905.42</v>
      </c>
      <c r="H618" s="8">
        <v>1905.42</v>
      </c>
      <c r="I618" s="8" t="s">
        <v>1469</v>
      </c>
      <c r="J618" s="10">
        <v>3.2000000000000001E-2</v>
      </c>
      <c r="K618" s="10">
        <v>3.2000000000000001E-2</v>
      </c>
      <c r="L618" s="10">
        <f t="shared" si="55"/>
        <v>3.2000000000000001E-2</v>
      </c>
      <c r="M618" s="12">
        <v>18</v>
      </c>
      <c r="N618" s="12">
        <f t="shared" si="56"/>
        <v>21.599999999999998</v>
      </c>
      <c r="O618" s="8">
        <v>33200.038079999998</v>
      </c>
      <c r="P618" s="8">
        <f t="shared" si="57"/>
        <v>39840.045696000001</v>
      </c>
      <c r="Q618" s="8">
        <v>15073.02</v>
      </c>
      <c r="R618" s="8">
        <f t="shared" si="58"/>
        <v>20800.767599999996</v>
      </c>
      <c r="S618" s="8">
        <v>18127.018079999998</v>
      </c>
      <c r="T618" s="8">
        <f t="shared" si="59"/>
        <v>19039.278096000005</v>
      </c>
    </row>
    <row r="619" spans="1:20" ht="16.5" x14ac:dyDescent="0.3">
      <c r="A619" s="4" t="s">
        <v>304</v>
      </c>
      <c r="B619" s="6">
        <v>45897</v>
      </c>
      <c r="C619" s="14">
        <v>45897</v>
      </c>
      <c r="D619" s="4" t="s">
        <v>1024</v>
      </c>
      <c r="E619" s="8">
        <v>521.05999999999995</v>
      </c>
      <c r="F619" s="8">
        <f t="shared" si="54"/>
        <v>599.21899999999994</v>
      </c>
      <c r="G619" s="8">
        <v>1240.31</v>
      </c>
      <c r="H619" s="8">
        <v>1240.31</v>
      </c>
      <c r="I619" s="8" t="s">
        <v>1469</v>
      </c>
      <c r="J619" s="10">
        <v>0.14599999999999999</v>
      </c>
      <c r="K619" s="10">
        <v>0.14599999999999999</v>
      </c>
      <c r="L619" s="10">
        <f t="shared" si="55"/>
        <v>0.14599999999999999</v>
      </c>
      <c r="M619" s="12">
        <v>18</v>
      </c>
      <c r="N619" s="12">
        <f t="shared" si="56"/>
        <v>21.599999999999998</v>
      </c>
      <c r="O619" s="8">
        <v>19066.045319999997</v>
      </c>
      <c r="P619" s="8">
        <f t="shared" si="57"/>
        <v>22879.254383999996</v>
      </c>
      <c r="Q619" s="8">
        <v>9379.0799999999981</v>
      </c>
      <c r="R619" s="8">
        <f t="shared" si="58"/>
        <v>12943.130399999998</v>
      </c>
      <c r="S619" s="8">
        <v>9686.9653199999993</v>
      </c>
      <c r="T619" s="8">
        <f t="shared" si="59"/>
        <v>9936.123983999998</v>
      </c>
    </row>
    <row r="620" spans="1:20" ht="16.5" x14ac:dyDescent="0.3">
      <c r="A620" s="4" t="s">
        <v>545</v>
      </c>
      <c r="B620" s="6">
        <v>45727</v>
      </c>
      <c r="C620" s="14">
        <v>45727</v>
      </c>
      <c r="D620" s="4" t="s">
        <v>1264</v>
      </c>
      <c r="E620" s="8">
        <v>116.97</v>
      </c>
      <c r="F620" s="8">
        <f t="shared" si="54"/>
        <v>134.51549999999997</v>
      </c>
      <c r="G620" s="8">
        <v>140.82</v>
      </c>
      <c r="H620" s="8">
        <v>140.82</v>
      </c>
      <c r="I620" s="8" t="s">
        <v>1471</v>
      </c>
      <c r="J620" s="10">
        <v>0.122</v>
      </c>
      <c r="K620" s="10">
        <v>0.122</v>
      </c>
      <c r="L620" s="10">
        <f t="shared" si="55"/>
        <v>0.122</v>
      </c>
      <c r="M620" s="12">
        <v>5</v>
      </c>
      <c r="N620" s="12">
        <f t="shared" si="56"/>
        <v>6</v>
      </c>
      <c r="O620" s="8">
        <v>618.19979999999987</v>
      </c>
      <c r="P620" s="8">
        <f t="shared" si="57"/>
        <v>741.83975999999996</v>
      </c>
      <c r="Q620" s="8">
        <v>584.85</v>
      </c>
      <c r="R620" s="8">
        <f t="shared" si="58"/>
        <v>807.09299999999985</v>
      </c>
      <c r="S620" s="8">
        <v>33.349799999999846</v>
      </c>
      <c r="T620" s="8">
        <f t="shared" si="59"/>
        <v>-65.253239999999892</v>
      </c>
    </row>
    <row r="621" spans="1:20" ht="16.5" x14ac:dyDescent="0.3">
      <c r="A621" s="4" t="s">
        <v>581</v>
      </c>
      <c r="B621" s="6">
        <v>45834</v>
      </c>
      <c r="C621" s="14">
        <v>45834</v>
      </c>
      <c r="D621" s="4" t="s">
        <v>1299</v>
      </c>
      <c r="E621" s="8">
        <v>1170.1500000000001</v>
      </c>
      <c r="F621" s="8">
        <f t="shared" si="54"/>
        <v>1345.6724999999999</v>
      </c>
      <c r="G621" s="8">
        <v>2115.19</v>
      </c>
      <c r="H621" s="8">
        <v>2115.19</v>
      </c>
      <c r="I621" s="8" t="s">
        <v>1470</v>
      </c>
      <c r="J621" s="10">
        <v>9.1999999999999998E-2</v>
      </c>
      <c r="K621" s="10">
        <v>9.1999999999999998E-2</v>
      </c>
      <c r="L621" s="10">
        <f t="shared" si="55"/>
        <v>9.1999999999999998E-2</v>
      </c>
      <c r="M621" s="12">
        <v>23</v>
      </c>
      <c r="N621" s="12">
        <f t="shared" si="56"/>
        <v>27.599999999999998</v>
      </c>
      <c r="O621" s="8">
        <v>44173.627960000005</v>
      </c>
      <c r="P621" s="8">
        <f t="shared" si="57"/>
        <v>53008.353552</v>
      </c>
      <c r="Q621" s="8">
        <v>26913.45</v>
      </c>
      <c r="R621" s="8">
        <f t="shared" si="58"/>
        <v>37140.560999999994</v>
      </c>
      <c r="S621" s="8">
        <v>17260.177960000005</v>
      </c>
      <c r="T621" s="8">
        <f t="shared" si="59"/>
        <v>15867.792552000006</v>
      </c>
    </row>
    <row r="622" spans="1:20" ht="16.5" x14ac:dyDescent="0.3">
      <c r="A622" s="4" t="s">
        <v>71</v>
      </c>
      <c r="B622" s="6">
        <v>45697</v>
      </c>
      <c r="C622" s="14">
        <v>45697</v>
      </c>
      <c r="D622" s="4" t="s">
        <v>790</v>
      </c>
      <c r="E622" s="8">
        <v>1154.6400000000001</v>
      </c>
      <c r="F622" s="8">
        <f t="shared" si="54"/>
        <v>1327.836</v>
      </c>
      <c r="G622" s="8">
        <v>2794.13</v>
      </c>
      <c r="H622" s="8">
        <v>2794.13</v>
      </c>
      <c r="I622" s="8" t="s">
        <v>1470</v>
      </c>
      <c r="J622" s="10">
        <v>3.5000000000000003E-2</v>
      </c>
      <c r="K622" s="10">
        <v>3.5000000000000003E-2</v>
      </c>
      <c r="L622" s="10">
        <f t="shared" si="55"/>
        <v>3.5000000000000003E-2</v>
      </c>
      <c r="M622" s="12">
        <v>11</v>
      </c>
      <c r="N622" s="12">
        <f t="shared" si="56"/>
        <v>13.2</v>
      </c>
      <c r="O622" s="8">
        <v>29659.68995</v>
      </c>
      <c r="P622" s="8">
        <f t="shared" si="57"/>
        <v>35591.627939999998</v>
      </c>
      <c r="Q622" s="8">
        <v>12701.04</v>
      </c>
      <c r="R622" s="8">
        <f t="shared" si="58"/>
        <v>17527.4352</v>
      </c>
      <c r="S622" s="8">
        <v>16958.649949999999</v>
      </c>
      <c r="T622" s="8">
        <f t="shared" si="59"/>
        <v>18064.192739999999</v>
      </c>
    </row>
    <row r="623" spans="1:20" ht="16.5" x14ac:dyDescent="0.3">
      <c r="A623" s="4" t="s">
        <v>313</v>
      </c>
      <c r="B623" s="6">
        <v>45679</v>
      </c>
      <c r="C623" s="14">
        <v>45679</v>
      </c>
      <c r="D623" s="4" t="s">
        <v>1033</v>
      </c>
      <c r="E623" s="8">
        <v>591.72</v>
      </c>
      <c r="F623" s="8">
        <f t="shared" si="54"/>
        <v>680.47799999999995</v>
      </c>
      <c r="G623" s="8">
        <v>577.24</v>
      </c>
      <c r="H623" s="8">
        <v>577.24</v>
      </c>
      <c r="I623" s="8" t="s">
        <v>1471</v>
      </c>
      <c r="J623" s="10">
        <v>0</v>
      </c>
      <c r="K623" s="10">
        <v>0</v>
      </c>
      <c r="L623" s="10">
        <f t="shared" si="55"/>
        <v>0</v>
      </c>
      <c r="M623" s="12">
        <v>22</v>
      </c>
      <c r="N623" s="12">
        <f t="shared" si="56"/>
        <v>26.4</v>
      </c>
      <c r="O623" s="8">
        <v>12699.28</v>
      </c>
      <c r="P623" s="8">
        <f t="shared" si="57"/>
        <v>15239.135999999999</v>
      </c>
      <c r="Q623" s="8">
        <v>13017.84</v>
      </c>
      <c r="R623" s="8">
        <f t="shared" si="58"/>
        <v>17964.619199999997</v>
      </c>
      <c r="S623" s="8">
        <v>-318.55999999999949</v>
      </c>
      <c r="T623" s="8">
        <f t="shared" si="59"/>
        <v>-2725.4831999999988</v>
      </c>
    </row>
    <row r="624" spans="1:20" ht="16.5" x14ac:dyDescent="0.3">
      <c r="A624" s="4" t="s">
        <v>320</v>
      </c>
      <c r="B624" s="6">
        <v>45741</v>
      </c>
      <c r="C624" s="14">
        <v>45741</v>
      </c>
      <c r="D624" s="4" t="s">
        <v>1040</v>
      </c>
      <c r="E624" s="8">
        <v>1450.43</v>
      </c>
      <c r="F624" s="8">
        <f t="shared" si="54"/>
        <v>1667.9945</v>
      </c>
      <c r="G624" s="8">
        <v>1994.67</v>
      </c>
      <c r="H624" s="8">
        <v>1994.67</v>
      </c>
      <c r="I624" s="8" t="s">
        <v>1470</v>
      </c>
      <c r="J624" s="10">
        <v>0.1</v>
      </c>
      <c r="K624" s="10">
        <v>0.1</v>
      </c>
      <c r="L624" s="10">
        <f t="shared" si="55"/>
        <v>0.1</v>
      </c>
      <c r="M624" s="12">
        <v>24</v>
      </c>
      <c r="N624" s="12">
        <f t="shared" si="56"/>
        <v>28.799999999999997</v>
      </c>
      <c r="O624" s="8">
        <v>43084.872000000003</v>
      </c>
      <c r="P624" s="8">
        <f t="shared" si="57"/>
        <v>51701.846400000002</v>
      </c>
      <c r="Q624" s="8">
        <v>34810.32</v>
      </c>
      <c r="R624" s="8">
        <f t="shared" si="58"/>
        <v>48038.241599999994</v>
      </c>
      <c r="S624" s="8">
        <v>8274.5520000000033</v>
      </c>
      <c r="T624" s="8">
        <f t="shared" si="59"/>
        <v>3663.6048000000083</v>
      </c>
    </row>
    <row r="625" spans="1:20" ht="16.5" x14ac:dyDescent="0.3">
      <c r="A625" s="4" t="s">
        <v>261</v>
      </c>
      <c r="B625" s="6">
        <v>45769</v>
      </c>
      <c r="C625" s="14">
        <v>45769</v>
      </c>
      <c r="D625" s="4" t="s">
        <v>981</v>
      </c>
      <c r="E625" s="8">
        <v>20.149999999999999</v>
      </c>
      <c r="F625" s="8">
        <f t="shared" si="54"/>
        <v>23.172499999999996</v>
      </c>
      <c r="G625" s="8">
        <v>39.74</v>
      </c>
      <c r="H625" s="8">
        <v>39.74</v>
      </c>
      <c r="I625" s="8" t="s">
        <v>1471</v>
      </c>
      <c r="J625" s="10">
        <v>0.151</v>
      </c>
      <c r="K625" s="10">
        <v>0.151</v>
      </c>
      <c r="L625" s="10">
        <f t="shared" si="55"/>
        <v>0.151</v>
      </c>
      <c r="M625" s="12">
        <v>18</v>
      </c>
      <c r="N625" s="12">
        <f t="shared" si="56"/>
        <v>21.599999999999998</v>
      </c>
      <c r="O625" s="8">
        <v>607.30668000000003</v>
      </c>
      <c r="P625" s="8">
        <f t="shared" si="57"/>
        <v>728.76801599999999</v>
      </c>
      <c r="Q625" s="8">
        <v>362.7</v>
      </c>
      <c r="R625" s="8">
        <f t="shared" si="58"/>
        <v>500.52599999999984</v>
      </c>
      <c r="S625" s="8">
        <v>244.60668000000004</v>
      </c>
      <c r="T625" s="8">
        <f t="shared" si="59"/>
        <v>228.24201600000015</v>
      </c>
    </row>
    <row r="626" spans="1:20" ht="16.5" x14ac:dyDescent="0.3">
      <c r="A626" s="4" t="s">
        <v>483</v>
      </c>
      <c r="B626" s="6">
        <v>45739</v>
      </c>
      <c r="C626" s="14">
        <v>45739</v>
      </c>
      <c r="D626" s="4" t="s">
        <v>1202</v>
      </c>
      <c r="E626" s="8">
        <v>663.61</v>
      </c>
      <c r="F626" s="8">
        <f t="shared" si="54"/>
        <v>763.15149999999994</v>
      </c>
      <c r="G626" s="8">
        <v>1002.11</v>
      </c>
      <c r="H626" s="8">
        <v>1002.11</v>
      </c>
      <c r="I626" s="8" t="s">
        <v>1471</v>
      </c>
      <c r="J626" s="10">
        <v>4.5999999999999999E-2</v>
      </c>
      <c r="K626" s="10">
        <v>4.5999999999999999E-2</v>
      </c>
      <c r="L626" s="10">
        <f t="shared" si="55"/>
        <v>4.5999999999999999E-2</v>
      </c>
      <c r="M626" s="12">
        <v>17</v>
      </c>
      <c r="N626" s="12">
        <f t="shared" si="56"/>
        <v>20.399999999999999</v>
      </c>
      <c r="O626" s="8">
        <v>16252.219979999998</v>
      </c>
      <c r="P626" s="8">
        <f t="shared" si="57"/>
        <v>19502.663975999996</v>
      </c>
      <c r="Q626" s="8">
        <v>11281.37</v>
      </c>
      <c r="R626" s="8">
        <f t="shared" si="58"/>
        <v>15568.290599999998</v>
      </c>
      <c r="S626" s="8">
        <v>4970.8499799999972</v>
      </c>
      <c r="T626" s="8">
        <f t="shared" si="59"/>
        <v>3934.3733759999977</v>
      </c>
    </row>
    <row r="627" spans="1:20" ht="16.5" x14ac:dyDescent="0.3">
      <c r="A627" s="4" t="s">
        <v>370</v>
      </c>
      <c r="B627" s="6">
        <v>45883</v>
      </c>
      <c r="C627" s="14">
        <v>45883</v>
      </c>
      <c r="D627" s="4" t="s">
        <v>1090</v>
      </c>
      <c r="E627" s="8">
        <v>1203.02</v>
      </c>
      <c r="F627" s="8">
        <f t="shared" si="54"/>
        <v>1383.473</v>
      </c>
      <c r="G627" s="8">
        <v>2439.33</v>
      </c>
      <c r="H627" s="8">
        <v>2439.33</v>
      </c>
      <c r="I627" s="8" t="s">
        <v>1470</v>
      </c>
      <c r="J627" s="10">
        <v>0</v>
      </c>
      <c r="K627" s="10">
        <v>0</v>
      </c>
      <c r="L627" s="10">
        <f t="shared" si="55"/>
        <v>0</v>
      </c>
      <c r="M627" s="12">
        <v>18</v>
      </c>
      <c r="N627" s="12">
        <f t="shared" si="56"/>
        <v>21.599999999999998</v>
      </c>
      <c r="O627" s="8">
        <v>43907.94</v>
      </c>
      <c r="P627" s="8">
        <f t="shared" si="57"/>
        <v>52689.527999999991</v>
      </c>
      <c r="Q627" s="8">
        <v>21654.36</v>
      </c>
      <c r="R627" s="8">
        <f t="shared" si="58"/>
        <v>29883.016799999998</v>
      </c>
      <c r="S627" s="8">
        <v>22253.58</v>
      </c>
      <c r="T627" s="8">
        <f t="shared" si="59"/>
        <v>22806.511199999994</v>
      </c>
    </row>
    <row r="628" spans="1:20" ht="16.5" x14ac:dyDescent="0.3">
      <c r="A628" s="4" t="s">
        <v>134</v>
      </c>
      <c r="B628" s="6">
        <v>45847</v>
      </c>
      <c r="C628" s="14">
        <v>45847</v>
      </c>
      <c r="D628" s="4" t="s">
        <v>853</v>
      </c>
      <c r="E628" s="8">
        <v>57.96</v>
      </c>
      <c r="F628" s="8">
        <f t="shared" si="54"/>
        <v>66.653999999999996</v>
      </c>
      <c r="G628" s="8">
        <v>88.51</v>
      </c>
      <c r="H628" s="8">
        <v>88.51</v>
      </c>
      <c r="I628" s="8" t="s">
        <v>1471</v>
      </c>
      <c r="J628" s="10">
        <v>4.2999999999999997E-2</v>
      </c>
      <c r="K628" s="10">
        <v>4.2999999999999997E-2</v>
      </c>
      <c r="L628" s="10">
        <f t="shared" si="55"/>
        <v>4.2999999999999997E-2</v>
      </c>
      <c r="M628" s="12">
        <v>7</v>
      </c>
      <c r="N628" s="12">
        <f t="shared" si="56"/>
        <v>8.4</v>
      </c>
      <c r="O628" s="8">
        <v>592.92849000000001</v>
      </c>
      <c r="P628" s="8">
        <f t="shared" si="57"/>
        <v>711.51418799999999</v>
      </c>
      <c r="Q628" s="8">
        <v>405.72</v>
      </c>
      <c r="R628" s="8">
        <f t="shared" si="58"/>
        <v>559.89359999999999</v>
      </c>
      <c r="S628" s="8">
        <v>187.20848999999998</v>
      </c>
      <c r="T628" s="8">
        <f t="shared" si="59"/>
        <v>151.620588</v>
      </c>
    </row>
    <row r="629" spans="1:20" ht="16.5" x14ac:dyDescent="0.3">
      <c r="A629" s="4" t="s">
        <v>559</v>
      </c>
      <c r="B629" s="6">
        <v>45889</v>
      </c>
      <c r="C629" s="14">
        <v>45889</v>
      </c>
      <c r="D629" s="4" t="s">
        <v>1277</v>
      </c>
      <c r="E629" s="8">
        <v>1304.95</v>
      </c>
      <c r="F629" s="8">
        <f t="shared" si="54"/>
        <v>1500.6924999999999</v>
      </c>
      <c r="G629" s="8">
        <v>1712.03</v>
      </c>
      <c r="H629" s="8">
        <v>1712.03</v>
      </c>
      <c r="I629" s="8" t="s">
        <v>1469</v>
      </c>
      <c r="J629" s="10">
        <v>0.21199999999999999</v>
      </c>
      <c r="K629" s="10">
        <v>0.21199999999999999</v>
      </c>
      <c r="L629" s="10">
        <f t="shared" si="55"/>
        <v>0.21199999999999999</v>
      </c>
      <c r="M629" s="12">
        <v>8</v>
      </c>
      <c r="N629" s="12">
        <f t="shared" si="56"/>
        <v>9.6</v>
      </c>
      <c r="O629" s="8">
        <v>10792.637119999999</v>
      </c>
      <c r="P629" s="8">
        <f t="shared" si="57"/>
        <v>12951.164543999999</v>
      </c>
      <c r="Q629" s="8">
        <v>10439.6</v>
      </c>
      <c r="R629" s="8">
        <f t="shared" si="58"/>
        <v>14406.647999999999</v>
      </c>
      <c r="S629" s="8">
        <v>353.03711999999905</v>
      </c>
      <c r="T629" s="8">
        <f t="shared" si="59"/>
        <v>-1455.4834559999999</v>
      </c>
    </row>
    <row r="630" spans="1:20" ht="16.5" x14ac:dyDescent="0.3">
      <c r="A630" s="4" t="s">
        <v>218</v>
      </c>
      <c r="B630" s="6">
        <v>45692</v>
      </c>
      <c r="C630" s="14">
        <v>45692</v>
      </c>
      <c r="D630" s="4" t="s">
        <v>938</v>
      </c>
      <c r="E630" s="8">
        <v>1016.32</v>
      </c>
      <c r="F630" s="8">
        <f t="shared" si="54"/>
        <v>1168.768</v>
      </c>
      <c r="G630" s="8">
        <v>2253.42</v>
      </c>
      <c r="H630" s="8">
        <v>2253.42</v>
      </c>
      <c r="I630" s="8" t="s">
        <v>1470</v>
      </c>
      <c r="J630" s="10">
        <v>5.5E-2</v>
      </c>
      <c r="K630" s="10">
        <v>5.5E-2</v>
      </c>
      <c r="L630" s="10">
        <f t="shared" si="55"/>
        <v>5.5E-2</v>
      </c>
      <c r="M630" s="12">
        <v>12</v>
      </c>
      <c r="N630" s="12">
        <f t="shared" si="56"/>
        <v>14.399999999999999</v>
      </c>
      <c r="O630" s="8">
        <v>25553.782800000001</v>
      </c>
      <c r="P630" s="8">
        <f t="shared" si="57"/>
        <v>30664.539359999999</v>
      </c>
      <c r="Q630" s="8">
        <v>12195.84</v>
      </c>
      <c r="R630" s="8">
        <f t="shared" si="58"/>
        <v>16830.2592</v>
      </c>
      <c r="S630" s="8">
        <v>13357.942800000001</v>
      </c>
      <c r="T630" s="8">
        <f t="shared" si="59"/>
        <v>13834.280159999998</v>
      </c>
    </row>
    <row r="631" spans="1:20" ht="16.5" x14ac:dyDescent="0.3">
      <c r="A631" s="4" t="s">
        <v>297</v>
      </c>
      <c r="B631" s="6">
        <v>45794</v>
      </c>
      <c r="C631" s="14">
        <v>45794</v>
      </c>
      <c r="D631" s="4" t="s">
        <v>1017</v>
      </c>
      <c r="E631" s="8">
        <v>623.4</v>
      </c>
      <c r="F631" s="8">
        <f t="shared" si="54"/>
        <v>716.91</v>
      </c>
      <c r="G631" s="8">
        <v>1100.0899999999999</v>
      </c>
      <c r="H631" s="8">
        <v>1100.0899999999999</v>
      </c>
      <c r="I631" s="8" t="s">
        <v>1469</v>
      </c>
      <c r="J631" s="10">
        <v>0.114</v>
      </c>
      <c r="K631" s="10">
        <v>0.114</v>
      </c>
      <c r="L631" s="10">
        <f t="shared" si="55"/>
        <v>0.114</v>
      </c>
      <c r="M631" s="12">
        <v>12</v>
      </c>
      <c r="N631" s="12">
        <f t="shared" si="56"/>
        <v>14.399999999999999</v>
      </c>
      <c r="O631" s="8">
        <v>11696.156879999999</v>
      </c>
      <c r="P631" s="8">
        <f t="shared" si="57"/>
        <v>14035.388255999997</v>
      </c>
      <c r="Q631" s="8">
        <v>7480.7999999999993</v>
      </c>
      <c r="R631" s="8">
        <f t="shared" si="58"/>
        <v>10323.503999999999</v>
      </c>
      <c r="S631" s="8">
        <v>4215.3568799999994</v>
      </c>
      <c r="T631" s="8">
        <f t="shared" si="59"/>
        <v>3711.8842559999975</v>
      </c>
    </row>
    <row r="632" spans="1:20" ht="16.5" x14ac:dyDescent="0.3">
      <c r="A632" s="4" t="s">
        <v>605</v>
      </c>
      <c r="B632" s="6">
        <v>45899</v>
      </c>
      <c r="C632" s="14">
        <v>45899</v>
      </c>
      <c r="D632" s="4" t="s">
        <v>1323</v>
      </c>
      <c r="E632" s="8">
        <v>663.9</v>
      </c>
      <c r="F632" s="8">
        <f t="shared" si="54"/>
        <v>763.4849999999999</v>
      </c>
      <c r="G632" s="8">
        <v>947.77</v>
      </c>
      <c r="H632" s="8">
        <v>947.77</v>
      </c>
      <c r="I632" s="8" t="s">
        <v>1471</v>
      </c>
      <c r="J632" s="10">
        <v>0.17399999999999999</v>
      </c>
      <c r="K632" s="10">
        <v>0.17399999999999999</v>
      </c>
      <c r="L632" s="10">
        <f t="shared" si="55"/>
        <v>0.17399999999999999</v>
      </c>
      <c r="M632" s="12">
        <v>15</v>
      </c>
      <c r="N632" s="12">
        <f t="shared" si="56"/>
        <v>18</v>
      </c>
      <c r="O632" s="8">
        <v>11742.8703</v>
      </c>
      <c r="P632" s="8">
        <f t="shared" si="57"/>
        <v>14091.444360000001</v>
      </c>
      <c r="Q632" s="8">
        <v>9958.5</v>
      </c>
      <c r="R632" s="8">
        <f t="shared" si="58"/>
        <v>13742.729999999998</v>
      </c>
      <c r="S632" s="8">
        <v>1784.3703000000005</v>
      </c>
      <c r="T632" s="8">
        <f t="shared" si="59"/>
        <v>348.71436000000358</v>
      </c>
    </row>
    <row r="633" spans="1:20" ht="16.5" x14ac:dyDescent="0.3">
      <c r="A633" s="4" t="s">
        <v>24</v>
      </c>
      <c r="B633" s="6">
        <v>45798</v>
      </c>
      <c r="C633" s="14">
        <v>45798</v>
      </c>
      <c r="D633" s="4" t="s">
        <v>743</v>
      </c>
      <c r="E633" s="8">
        <v>1331.38</v>
      </c>
      <c r="F633" s="8">
        <f t="shared" si="54"/>
        <v>1531.087</v>
      </c>
      <c r="G633" s="8">
        <v>2309.56</v>
      </c>
      <c r="H633" s="8">
        <v>2309.56</v>
      </c>
      <c r="I633" s="8" t="s">
        <v>1471</v>
      </c>
      <c r="J633" s="10">
        <v>0.14899999999999999</v>
      </c>
      <c r="K633" s="10">
        <v>0.14899999999999999</v>
      </c>
      <c r="L633" s="10">
        <f t="shared" si="55"/>
        <v>0.14899999999999999</v>
      </c>
      <c r="M633" s="12">
        <v>31</v>
      </c>
      <c r="N633" s="12">
        <f t="shared" si="56"/>
        <v>37.199999999999996</v>
      </c>
      <c r="O633" s="8">
        <v>60928.502359999999</v>
      </c>
      <c r="P633" s="8">
        <f t="shared" si="57"/>
        <v>73114.202831999981</v>
      </c>
      <c r="Q633" s="8">
        <v>41272.780000000006</v>
      </c>
      <c r="R633" s="8">
        <f t="shared" si="58"/>
        <v>56956.436399999991</v>
      </c>
      <c r="S633" s="8">
        <v>19655.722359999992</v>
      </c>
      <c r="T633" s="8">
        <f t="shared" si="59"/>
        <v>16157.766431999989</v>
      </c>
    </row>
  </sheetData>
  <mergeCells count="1">
    <mergeCell ref="W1:X1"/>
  </mergeCells>
  <conditionalFormatting sqref="A1:A633">
    <cfRule type="duplicateValues" dxfId="14" priority="4"/>
  </conditionalFormatting>
  <conditionalFormatting sqref="J2:L633">
    <cfRule type="cellIs" dxfId="12" priority="2" operator="greaterThan">
      <formula>0.3</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3" operator="containsText" id="{39A39C1A-28C1-467B-A271-4FDB5EFF9831}">
            <xm:f>NOT(ISERROR(SEARCH("-",G2)))</xm:f>
            <xm:f>"-"</xm:f>
            <x14:dxf>
              <font>
                <color rgb="FF9C0006"/>
              </font>
              <fill>
                <patternFill>
                  <bgColor rgb="FFFFC7CE"/>
                </patternFill>
              </fill>
            </x14:dxf>
          </x14:cfRule>
          <xm:sqref>G2:I633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0AA06-23E5-4E77-A949-CDBFB9B8B1AE}">
  <dimension ref="A1:AE634"/>
  <sheetViews>
    <sheetView workbookViewId="0">
      <pane ySplit="1" topLeftCell="A611" activePane="bottomLeft" state="frozen"/>
      <selection pane="bottomLeft" activeCell="H634" sqref="H634"/>
    </sheetView>
  </sheetViews>
  <sheetFormatPr defaultRowHeight="16.5" x14ac:dyDescent="0.3"/>
  <cols>
    <col min="1" max="1" width="16.375" style="4" customWidth="1"/>
    <col min="2" max="2" width="12" style="6" customWidth="1"/>
    <col min="3" max="4" width="22.25" style="6" customWidth="1"/>
    <col min="5" max="5" width="13.5" style="6" customWidth="1"/>
    <col min="6" max="6" width="26.875" style="6" customWidth="1"/>
    <col min="7" max="8" width="18.375" style="6" customWidth="1"/>
    <col min="9" max="9" width="9" style="4"/>
    <col min="10" max="10" width="15.375" style="4" customWidth="1"/>
    <col min="11" max="11" width="13.5" style="4" customWidth="1"/>
    <col min="12" max="12" width="35" style="4" customWidth="1"/>
    <col min="13" max="13" width="17.625" style="4" customWidth="1"/>
    <col min="14" max="14" width="11.875" style="4" customWidth="1"/>
    <col min="15" max="15" width="11.625" style="4" customWidth="1"/>
    <col min="16" max="16" width="15.75" style="4" customWidth="1"/>
    <col min="17" max="17" width="10.25" style="4" customWidth="1"/>
    <col min="18" max="19" width="11.25" style="8" customWidth="1"/>
    <col min="20" max="21" width="17.25" style="8" customWidth="1"/>
    <col min="22" max="22" width="15.875" style="10" customWidth="1"/>
    <col min="23" max="23" width="22.25" style="10" customWidth="1"/>
    <col min="24" max="24" width="8.625" style="12" customWidth="1"/>
    <col min="25" max="25" width="15.875" customWidth="1"/>
    <col min="26" max="26" width="12.5" customWidth="1"/>
    <col min="27" max="27" width="14.875" customWidth="1"/>
    <col min="28" max="28" width="10.75" customWidth="1"/>
    <col min="29" max="29" width="14.625" customWidth="1"/>
    <col min="30" max="30" width="11.875" customWidth="1"/>
    <col min="31" max="31" width="11.25" customWidth="1"/>
  </cols>
  <sheetData>
    <row r="1" spans="1:31" x14ac:dyDescent="0.3">
      <c r="A1" s="3" t="s">
        <v>0</v>
      </c>
      <c r="B1" s="5" t="s">
        <v>1</v>
      </c>
      <c r="C1" s="5" t="s">
        <v>1433</v>
      </c>
      <c r="D1" s="5" t="s">
        <v>1434</v>
      </c>
      <c r="E1" s="5" t="s">
        <v>2</v>
      </c>
      <c r="F1" s="5" t="s">
        <v>1427</v>
      </c>
      <c r="G1" s="5" t="s">
        <v>1428</v>
      </c>
      <c r="H1" s="5" t="s">
        <v>1428</v>
      </c>
      <c r="I1" s="3" t="s">
        <v>3</v>
      </c>
      <c r="J1" s="3" t="s">
        <v>4</v>
      </c>
      <c r="K1" s="3" t="s">
        <v>5</v>
      </c>
      <c r="L1" s="3" t="s">
        <v>1435</v>
      </c>
      <c r="M1" s="3" t="s">
        <v>6</v>
      </c>
      <c r="N1" s="3" t="s">
        <v>7</v>
      </c>
      <c r="O1" s="3" t="s">
        <v>8</v>
      </c>
      <c r="P1" s="3" t="s">
        <v>9</v>
      </c>
      <c r="Q1" s="3" t="s">
        <v>10</v>
      </c>
      <c r="R1" s="7" t="s">
        <v>11</v>
      </c>
      <c r="S1" s="7" t="s">
        <v>12</v>
      </c>
      <c r="T1" s="7" t="s">
        <v>1426</v>
      </c>
      <c r="U1" s="7" t="s">
        <v>1436</v>
      </c>
      <c r="V1" s="9" t="s">
        <v>13</v>
      </c>
      <c r="W1" s="9" t="s">
        <v>1425</v>
      </c>
      <c r="X1" s="11" t="s">
        <v>14</v>
      </c>
      <c r="Y1" s="13" t="s">
        <v>1429</v>
      </c>
      <c r="Z1" s="13" t="s">
        <v>1430</v>
      </c>
      <c r="AA1" s="13" t="s">
        <v>1431</v>
      </c>
      <c r="AB1" s="13" t="s">
        <v>1432</v>
      </c>
      <c r="AC1" s="13" t="s">
        <v>1457</v>
      </c>
      <c r="AD1" s="13" t="s">
        <v>1455</v>
      </c>
      <c r="AE1" s="13" t="s">
        <v>1491</v>
      </c>
    </row>
    <row r="2" spans="1:31" x14ac:dyDescent="0.3">
      <c r="A2" s="4" t="s">
        <v>620</v>
      </c>
      <c r="B2" s="6">
        <v>45038</v>
      </c>
      <c r="C2" s="14">
        <v>45038</v>
      </c>
      <c r="D2" s="14" t="str">
        <f>IF(MONTH(C2) &lt;=3, "Q1", IF(MONTH(C2)&lt;=6, "Q2", IF(MONTH(C2)&lt;=9, "Q3", "Q4")))&amp; " -" &amp; YEAR(C2)</f>
        <v>Q2 -2023</v>
      </c>
      <c r="E2" s="6">
        <v>45060</v>
      </c>
      <c r="F2" s="6">
        <f>IF(E2&lt;B2, E2 + 7, E2)</f>
        <v>45060</v>
      </c>
      <c r="G2" s="12">
        <f>DATEDIF(B2, F2,"D")</f>
        <v>22</v>
      </c>
      <c r="H2" s="12">
        <f>IF(G2&lt;=7,1,0)</f>
        <v>0</v>
      </c>
      <c r="I2" s="4" t="s">
        <v>647</v>
      </c>
      <c r="J2" s="4" t="s">
        <v>652</v>
      </c>
      <c r="K2" s="4" t="s">
        <v>694</v>
      </c>
      <c r="L2" t="str">
        <f>I2&amp;"&gt;"&amp;J2 &amp;"&gt;"&amp;K2</f>
        <v>Asia&gt;Japan&gt;Nagoya</v>
      </c>
      <c r="M2" s="4" t="s">
        <v>706</v>
      </c>
      <c r="N2" s="4" t="s">
        <v>707</v>
      </c>
      <c r="O2" s="4" t="s">
        <v>720</v>
      </c>
      <c r="P2" s="4" t="s">
        <v>733</v>
      </c>
      <c r="Q2" s="4" t="s">
        <v>1338</v>
      </c>
      <c r="R2" s="8">
        <v>1209.22</v>
      </c>
      <c r="S2" s="8">
        <v>1404.33</v>
      </c>
      <c r="T2" s="8">
        <v>1404.33</v>
      </c>
      <c r="U2" s="8" t="str">
        <f>IF(T2&lt;=_xlfn.PERCENTILE.INC($T2:$T$633,0.33), "Low", IF(T2&lt;=_xlfn.PERCENTILE.INC($T2:$T$633,0.66), "Medium", "High"))</f>
        <v>Medium</v>
      </c>
      <c r="V2" s="10">
        <v>0.10299999999999999</v>
      </c>
      <c r="W2" s="10">
        <f>IF(V2&gt;0.3,0.3,V2)</f>
        <v>0.10299999999999999</v>
      </c>
      <c r="X2" s="12">
        <v>11</v>
      </c>
      <c r="Y2" s="8">
        <f t="shared" ref="Y2:Y65" si="0">(T2*X2*(1-W2))</f>
        <v>13856.52411</v>
      </c>
      <c r="Z2" s="8">
        <f t="shared" ref="Z2:Z65" si="1">R2*X2</f>
        <v>13301.42</v>
      </c>
      <c r="AA2" s="8">
        <f>Y2-Z2</f>
        <v>555.10411000000022</v>
      </c>
      <c r="AB2" s="10">
        <f>IF(Y2 = 0, 0, AA2/Y2)</f>
        <v>4.0060848275751328E-2</v>
      </c>
      <c r="AC2" s="14">
        <f>_xlfn.MINIFS($C$2:$C$633, $J$2:$J$633, J2)</f>
        <v>44988</v>
      </c>
      <c r="AD2">
        <f>DATEDIF(AC2, C2, "m")</f>
        <v>1</v>
      </c>
      <c r="AE2" s="8">
        <f>(Y2/X2)</f>
        <v>1259.6840099999999</v>
      </c>
    </row>
    <row r="3" spans="1:31" x14ac:dyDescent="0.3">
      <c r="A3" s="4" t="s">
        <v>464</v>
      </c>
      <c r="B3" s="6">
        <v>45129</v>
      </c>
      <c r="C3" s="14">
        <v>45129</v>
      </c>
      <c r="D3" s="14" t="str">
        <f t="shared" ref="D3:D66" si="2">IF(MONTH(C3) &lt;=3, "Q1", IF(MONTH(C3)&lt;=6, "Q2", IF(MONTH(C3)&lt;=9, "Q3", "Q4")))&amp; " -" &amp; YEAR(C3)</f>
        <v>Q3 -2023</v>
      </c>
      <c r="E3" s="6">
        <v>45128</v>
      </c>
      <c r="F3" s="6">
        <f t="shared" ref="F3:F66" si="3">IF(E3&lt;B3, E3 + 7, E3)</f>
        <v>45135</v>
      </c>
      <c r="G3" s="12">
        <f t="shared" ref="G3:G66" si="4">DATEDIF(B3, F3,"D")</f>
        <v>6</v>
      </c>
      <c r="H3" s="12">
        <f t="shared" ref="H3:H66" si="5">IF(G3&lt;=7,1,0)</f>
        <v>1</v>
      </c>
      <c r="I3" s="4" t="s">
        <v>647</v>
      </c>
      <c r="J3" s="4" t="s">
        <v>654</v>
      </c>
      <c r="K3" s="4" t="s">
        <v>680</v>
      </c>
      <c r="L3" t="str">
        <f t="shared" ref="L3:L66" si="6">I3&amp;"&gt;"&amp;J3 &amp;"&gt;"&amp;K3</f>
        <v>Asia&gt;India&gt;Delhi</v>
      </c>
      <c r="M3" s="4" t="s">
        <v>705</v>
      </c>
      <c r="N3" s="4" t="s">
        <v>710</v>
      </c>
      <c r="O3" s="4" t="s">
        <v>718</v>
      </c>
      <c r="P3" s="4" t="s">
        <v>728</v>
      </c>
      <c r="Q3" s="4" t="s">
        <v>1183</v>
      </c>
      <c r="R3" s="8">
        <v>946.99</v>
      </c>
      <c r="S3" s="8">
        <v>2132.19</v>
      </c>
      <c r="T3" s="8">
        <v>2132.19</v>
      </c>
      <c r="U3" s="8" t="str">
        <f>IF(T3&lt;=_xlfn.PERCENTILE.INC($T3:$T$633,0.33), "Low", IF(T3&lt;=_xlfn.PERCENTILE.INC($T3:$T$633,0.66), "Medium", "High"))</f>
        <v>High</v>
      </c>
      <c r="V3" s="10">
        <v>0.16500000000000001</v>
      </c>
      <c r="W3" s="10">
        <f t="shared" ref="W3:W66" si="7">IF(V3&gt;0.3,0.3,V3)</f>
        <v>0.16500000000000001</v>
      </c>
      <c r="X3" s="12">
        <v>7</v>
      </c>
      <c r="Y3" s="8">
        <f t="shared" si="0"/>
        <v>12462.65055</v>
      </c>
      <c r="Z3" s="8">
        <f t="shared" si="1"/>
        <v>6628.93</v>
      </c>
      <c r="AA3" s="8">
        <f t="shared" ref="AA3:AA66" si="8">Y3-Z3</f>
        <v>5833.72055</v>
      </c>
      <c r="AB3" s="10">
        <f t="shared" ref="AB3:AB66" si="9">IF(Y3 = 0, 0, AA3/Y3)</f>
        <v>0.46809629513362228</v>
      </c>
      <c r="AC3" s="14">
        <f>_xlfn.MINIFS($C$2:$C$633, $J$2:$J$633, J3)</f>
        <v>44955</v>
      </c>
      <c r="AD3">
        <f>DATEDIF(AC3, C3, "m")</f>
        <v>5</v>
      </c>
      <c r="AE3" s="8">
        <f t="shared" ref="AE3:AE66" si="10">(Y3/X3)</f>
        <v>1780.3786500000001</v>
      </c>
    </row>
    <row r="4" spans="1:31" x14ac:dyDescent="0.3">
      <c r="A4" s="4" t="s">
        <v>22</v>
      </c>
      <c r="B4" s="6">
        <v>44941</v>
      </c>
      <c r="C4" s="14">
        <v>44941</v>
      </c>
      <c r="D4" s="14" t="str">
        <f t="shared" si="2"/>
        <v>Q1 -2023</v>
      </c>
      <c r="E4" s="6">
        <v>44939</v>
      </c>
      <c r="F4" s="6">
        <f t="shared" si="3"/>
        <v>44946</v>
      </c>
      <c r="G4" s="12">
        <f t="shared" si="4"/>
        <v>5</v>
      </c>
      <c r="H4" s="12">
        <f t="shared" si="5"/>
        <v>1</v>
      </c>
      <c r="I4" s="4" t="s">
        <v>646</v>
      </c>
      <c r="J4" s="4" t="s">
        <v>651</v>
      </c>
      <c r="K4" s="4" t="s">
        <v>669</v>
      </c>
      <c r="L4" t="str">
        <f t="shared" si="6"/>
        <v>Africa&gt;Nigeria&gt;Abuja</v>
      </c>
      <c r="M4" s="4" t="s">
        <v>702</v>
      </c>
      <c r="N4" s="4" t="s">
        <v>708</v>
      </c>
      <c r="O4" s="4" t="s">
        <v>719</v>
      </c>
      <c r="P4" s="4" t="s">
        <v>728</v>
      </c>
      <c r="Q4" s="4" t="s">
        <v>741</v>
      </c>
      <c r="R4" s="8">
        <v>28.38</v>
      </c>
      <c r="S4" s="8">
        <v>47.22</v>
      </c>
      <c r="T4" s="8">
        <v>47.22</v>
      </c>
      <c r="U4" s="8" t="str">
        <f>IF(T4&lt;=_xlfn.PERCENTILE.INC($T4:$T$633,0.33), "Low", IF(T4&lt;=_xlfn.PERCENTILE.INC($T4:$T$633,0.66), "Medium", "High"))</f>
        <v>Low</v>
      </c>
      <c r="V4" s="10">
        <v>0.19400000000000001</v>
      </c>
      <c r="W4" s="10">
        <f t="shared" si="7"/>
        <v>0.19400000000000001</v>
      </c>
      <c r="X4" s="12">
        <v>18</v>
      </c>
      <c r="Y4" s="8">
        <f t="shared" si="0"/>
        <v>685.06776000000002</v>
      </c>
      <c r="Z4" s="8">
        <f t="shared" si="1"/>
        <v>510.84</v>
      </c>
      <c r="AA4" s="8">
        <f t="shared" si="8"/>
        <v>174.22776000000005</v>
      </c>
      <c r="AB4" s="10">
        <f t="shared" si="9"/>
        <v>0.25432193743871417</v>
      </c>
      <c r="AC4" s="14">
        <f>_xlfn.MINIFS($C$2:$C$633, $J$2:$J$633, J4)</f>
        <v>44941</v>
      </c>
      <c r="AD4">
        <f>DATEDIF(AC4, C4, "m")</f>
        <v>0</v>
      </c>
      <c r="AE4" s="8">
        <f t="shared" si="10"/>
        <v>38.05932</v>
      </c>
    </row>
    <row r="5" spans="1:31" x14ac:dyDescent="0.3">
      <c r="A5" s="4" t="s">
        <v>533</v>
      </c>
      <c r="B5" s="6">
        <v>45047</v>
      </c>
      <c r="C5" s="14">
        <v>45047</v>
      </c>
      <c r="D5" s="14" t="str">
        <f t="shared" si="2"/>
        <v>Q2 -2023</v>
      </c>
      <c r="E5" s="6">
        <v>45064</v>
      </c>
      <c r="F5" s="6">
        <f t="shared" si="3"/>
        <v>45064</v>
      </c>
      <c r="G5" s="12">
        <f t="shared" si="4"/>
        <v>17</v>
      </c>
      <c r="H5" s="12">
        <f t="shared" si="5"/>
        <v>0</v>
      </c>
      <c r="I5" s="4" t="s">
        <v>646</v>
      </c>
      <c r="J5" s="4" t="s">
        <v>651</v>
      </c>
      <c r="K5" s="4" t="s">
        <v>663</v>
      </c>
      <c r="L5" t="str">
        <f t="shared" si="6"/>
        <v>Africa&gt;Nigeria&gt;Port Harcourt</v>
      </c>
      <c r="M5" s="4" t="s">
        <v>701</v>
      </c>
      <c r="N5" s="4" t="s">
        <v>711</v>
      </c>
      <c r="O5" s="4" t="s">
        <v>721</v>
      </c>
      <c r="P5" s="4" t="s">
        <v>727</v>
      </c>
      <c r="Q5" s="4" t="s">
        <v>1252</v>
      </c>
      <c r="R5" s="8">
        <v>327.97</v>
      </c>
      <c r="S5" s="8">
        <v>299.94</v>
      </c>
      <c r="T5" s="8">
        <v>299.94</v>
      </c>
      <c r="U5" s="8" t="str">
        <f>IF(T5&lt;=_xlfn.PERCENTILE.INC($T5:$T$633,0.33), "Low", IF(T5&lt;=_xlfn.PERCENTILE.INC($T5:$T$633,0.66), "Medium", "High"))</f>
        <v>Low</v>
      </c>
      <c r="V5" s="10">
        <v>4.9000000000000002E-2</v>
      </c>
      <c r="W5" s="10">
        <f t="shared" si="7"/>
        <v>4.9000000000000002E-2</v>
      </c>
      <c r="X5" s="12">
        <v>3</v>
      </c>
      <c r="Y5" s="8">
        <f t="shared" si="0"/>
        <v>855.72881999999993</v>
      </c>
      <c r="Z5" s="8">
        <f t="shared" si="1"/>
        <v>983.91000000000008</v>
      </c>
      <c r="AA5" s="8">
        <f t="shared" si="8"/>
        <v>-128.18118000000015</v>
      </c>
      <c r="AB5" s="10">
        <f t="shared" si="9"/>
        <v>-0.14979182306843442</v>
      </c>
      <c r="AC5" s="14">
        <f>_xlfn.MINIFS($C$2:$C$633, $J$2:$J$633, J5)</f>
        <v>44941</v>
      </c>
      <c r="AD5">
        <f>DATEDIF(AC5, C5, "m")</f>
        <v>3</v>
      </c>
      <c r="AE5" s="8">
        <f t="shared" si="10"/>
        <v>285.24293999999998</v>
      </c>
    </row>
    <row r="6" spans="1:31" x14ac:dyDescent="0.3">
      <c r="A6" s="4" t="s">
        <v>588</v>
      </c>
      <c r="B6" s="6">
        <v>45279</v>
      </c>
      <c r="C6" s="14">
        <v>45279</v>
      </c>
      <c r="D6" s="14" t="str">
        <f t="shared" si="2"/>
        <v>Q4 -2023</v>
      </c>
      <c r="E6" s="6">
        <v>45292</v>
      </c>
      <c r="F6" s="6">
        <f t="shared" si="3"/>
        <v>45292</v>
      </c>
      <c r="G6" s="12">
        <f t="shared" si="4"/>
        <v>13</v>
      </c>
      <c r="H6" s="12">
        <f t="shared" si="5"/>
        <v>0</v>
      </c>
      <c r="I6" s="4" t="s">
        <v>648</v>
      </c>
      <c r="J6" s="4" t="s">
        <v>653</v>
      </c>
      <c r="K6" s="4" t="s">
        <v>667</v>
      </c>
      <c r="L6" t="str">
        <f t="shared" si="6"/>
        <v>Americas&gt;Canada&gt;Toronto</v>
      </c>
      <c r="M6" s="4" t="s">
        <v>706</v>
      </c>
      <c r="N6" s="4" t="s">
        <v>707</v>
      </c>
      <c r="O6" s="4" t="s">
        <v>723</v>
      </c>
      <c r="P6" s="4" t="s">
        <v>732</v>
      </c>
      <c r="Q6" s="4" t="s">
        <v>1306</v>
      </c>
      <c r="R6" s="8">
        <v>856.1</v>
      </c>
      <c r="S6" s="8">
        <v>901.48</v>
      </c>
      <c r="T6" s="8">
        <v>901.48</v>
      </c>
      <c r="U6" s="8" t="str">
        <f>IF(T6&lt;=_xlfn.PERCENTILE.INC($T6:$T$633,0.33), "Low", IF(T6&lt;=_xlfn.PERCENTILE.INC($T6:$T$633,0.66), "Medium", "High"))</f>
        <v>Medium</v>
      </c>
      <c r="V6" s="10">
        <v>5.6000000000000001E-2</v>
      </c>
      <c r="W6" s="10">
        <f t="shared" si="7"/>
        <v>5.6000000000000001E-2</v>
      </c>
      <c r="X6" s="12">
        <v>17</v>
      </c>
      <c r="Y6" s="8">
        <f t="shared" si="0"/>
        <v>14466.95104</v>
      </c>
      <c r="Z6" s="8">
        <f t="shared" si="1"/>
        <v>14553.7</v>
      </c>
      <c r="AA6" s="8">
        <f t="shared" si="8"/>
        <v>-86.748960000000807</v>
      </c>
      <c r="AB6" s="10">
        <f t="shared" si="9"/>
        <v>-5.9963540182134192E-3</v>
      </c>
      <c r="AC6" s="14">
        <f>_xlfn.MINIFS($C$2:$C$633, $J$2:$J$633, J6)</f>
        <v>44928</v>
      </c>
      <c r="AD6">
        <f>DATEDIF(AC6, C6, "m")</f>
        <v>11</v>
      </c>
      <c r="AE6" s="8">
        <f t="shared" si="10"/>
        <v>850.99712</v>
      </c>
    </row>
    <row r="7" spans="1:31" x14ac:dyDescent="0.3">
      <c r="A7" s="4" t="s">
        <v>61</v>
      </c>
      <c r="B7" s="6">
        <v>45100</v>
      </c>
      <c r="C7" s="14">
        <v>45100</v>
      </c>
      <c r="D7" s="14" t="str">
        <f t="shared" si="2"/>
        <v>Q2 -2023</v>
      </c>
      <c r="E7" s="6">
        <v>45110</v>
      </c>
      <c r="F7" s="6">
        <f t="shared" si="3"/>
        <v>45110</v>
      </c>
      <c r="G7" s="12">
        <f t="shared" si="4"/>
        <v>10</v>
      </c>
      <c r="H7" s="12">
        <f t="shared" si="5"/>
        <v>0</v>
      </c>
      <c r="I7" s="4" t="s">
        <v>646</v>
      </c>
      <c r="J7" s="4" t="s">
        <v>651</v>
      </c>
      <c r="K7" s="4" t="s">
        <v>669</v>
      </c>
      <c r="L7" t="str">
        <f t="shared" si="6"/>
        <v>Africa&gt;Nigeria&gt;Abuja</v>
      </c>
      <c r="M7" s="4" t="s">
        <v>704</v>
      </c>
      <c r="N7" s="4" t="s">
        <v>708</v>
      </c>
      <c r="O7" s="4" t="s">
        <v>713</v>
      </c>
      <c r="P7" s="4" t="s">
        <v>728</v>
      </c>
      <c r="Q7" s="4" t="s">
        <v>780</v>
      </c>
      <c r="R7" s="8">
        <v>337.75</v>
      </c>
      <c r="S7" s="8">
        <v>548.89</v>
      </c>
      <c r="T7" s="8">
        <v>548.89</v>
      </c>
      <c r="U7" s="8" t="str">
        <f>IF(T7&lt;=_xlfn.PERCENTILE.INC($T7:$T$633,0.33), "Low", IF(T7&lt;=_xlfn.PERCENTILE.INC($T7:$T$633,0.66), "Medium", "High"))</f>
        <v>Low</v>
      </c>
      <c r="V7" s="10">
        <v>0</v>
      </c>
      <c r="W7" s="10">
        <f t="shared" si="7"/>
        <v>0</v>
      </c>
      <c r="X7" s="12">
        <v>13</v>
      </c>
      <c r="Y7" s="8">
        <f t="shared" si="0"/>
        <v>7135.57</v>
      </c>
      <c r="Z7" s="8">
        <f t="shared" si="1"/>
        <v>4390.75</v>
      </c>
      <c r="AA7" s="8">
        <f t="shared" si="8"/>
        <v>2744.8199999999997</v>
      </c>
      <c r="AB7" s="10">
        <f t="shared" si="9"/>
        <v>0.38466723751571352</v>
      </c>
      <c r="AC7" s="14">
        <f>_xlfn.MINIFS($C$2:$C$633, $J$2:$J$633, J7)</f>
        <v>44941</v>
      </c>
      <c r="AD7">
        <f>DATEDIF(AC7, C7, "m")</f>
        <v>5</v>
      </c>
      <c r="AE7" s="8">
        <f t="shared" si="10"/>
        <v>548.89</v>
      </c>
    </row>
    <row r="8" spans="1:31" x14ac:dyDescent="0.3">
      <c r="A8" s="4" t="s">
        <v>382</v>
      </c>
      <c r="B8" s="6">
        <v>45194</v>
      </c>
      <c r="C8" s="14">
        <v>45194</v>
      </c>
      <c r="D8" s="14" t="str">
        <f t="shared" si="2"/>
        <v>Q3 -2023</v>
      </c>
      <c r="E8" s="6">
        <v>45208</v>
      </c>
      <c r="F8" s="6">
        <f t="shared" si="3"/>
        <v>45208</v>
      </c>
      <c r="G8" s="12">
        <f t="shared" si="4"/>
        <v>14</v>
      </c>
      <c r="H8" s="12">
        <f t="shared" si="5"/>
        <v>0</v>
      </c>
      <c r="I8" s="4" t="s">
        <v>648</v>
      </c>
      <c r="J8" s="4" t="s">
        <v>660</v>
      </c>
      <c r="K8" s="4" t="s">
        <v>700</v>
      </c>
      <c r="L8" t="str">
        <f t="shared" si="6"/>
        <v>Americas&gt;USA&gt;New York</v>
      </c>
      <c r="M8" s="4" t="s">
        <v>705</v>
      </c>
      <c r="N8" s="4" t="s">
        <v>709</v>
      </c>
      <c r="O8" s="4" t="s">
        <v>713</v>
      </c>
      <c r="P8" s="4" t="s">
        <v>731</v>
      </c>
      <c r="Q8" s="4" t="s">
        <v>1102</v>
      </c>
      <c r="R8" s="8">
        <v>1279.56</v>
      </c>
      <c r="S8" s="8">
        <v>3083.8</v>
      </c>
      <c r="T8" s="8">
        <v>3083.8</v>
      </c>
      <c r="U8" s="8" t="str">
        <f>IF(T8&lt;=_xlfn.PERCENTILE.INC($T8:$T$633,0.33), "Low", IF(T8&lt;=_xlfn.PERCENTILE.INC($T8:$T$633,0.66), "Medium", "High"))</f>
        <v>High</v>
      </c>
      <c r="V8" s="10">
        <v>0.106</v>
      </c>
      <c r="W8" s="10">
        <f t="shared" si="7"/>
        <v>0.106</v>
      </c>
      <c r="X8" s="12">
        <v>5</v>
      </c>
      <c r="Y8" s="8">
        <f t="shared" si="0"/>
        <v>13784.586000000001</v>
      </c>
      <c r="Z8" s="8">
        <f t="shared" si="1"/>
        <v>6397.7999999999993</v>
      </c>
      <c r="AA8" s="8">
        <f t="shared" si="8"/>
        <v>7386.7860000000019</v>
      </c>
      <c r="AB8" s="10">
        <f t="shared" si="9"/>
        <v>0.53587289455047848</v>
      </c>
      <c r="AC8" s="14">
        <f>_xlfn.MINIFS($C$2:$C$633, $J$2:$J$633, J8)</f>
        <v>44939</v>
      </c>
      <c r="AD8">
        <f>DATEDIF(AC8, C8, "m")</f>
        <v>8</v>
      </c>
      <c r="AE8" s="8">
        <f t="shared" si="10"/>
        <v>2756.9172000000003</v>
      </c>
    </row>
    <row r="9" spans="1:31" x14ac:dyDescent="0.3">
      <c r="A9" s="4" t="s">
        <v>216</v>
      </c>
      <c r="B9" s="6">
        <v>45153</v>
      </c>
      <c r="C9" s="14">
        <v>45153</v>
      </c>
      <c r="D9" s="14" t="str">
        <f t="shared" si="2"/>
        <v>Q3 -2023</v>
      </c>
      <c r="E9" s="6">
        <v>45176</v>
      </c>
      <c r="F9" s="6">
        <f t="shared" si="3"/>
        <v>45176</v>
      </c>
      <c r="G9" s="12">
        <f t="shared" si="4"/>
        <v>23</v>
      </c>
      <c r="H9" s="12">
        <f t="shared" si="5"/>
        <v>0</v>
      </c>
      <c r="I9" s="4" t="s">
        <v>648</v>
      </c>
      <c r="J9" s="4" t="s">
        <v>660</v>
      </c>
      <c r="K9" s="4" t="s">
        <v>700</v>
      </c>
      <c r="L9" t="str">
        <f t="shared" si="6"/>
        <v>Americas&gt;USA&gt;New York</v>
      </c>
      <c r="M9" s="4" t="s">
        <v>706</v>
      </c>
      <c r="N9" s="4" t="s">
        <v>708</v>
      </c>
      <c r="O9" s="4" t="s">
        <v>723</v>
      </c>
      <c r="P9" s="4" t="s">
        <v>730</v>
      </c>
      <c r="Q9" s="4" t="s">
        <v>936</v>
      </c>
      <c r="R9" s="8">
        <v>590.33000000000004</v>
      </c>
      <c r="S9" s="8">
        <v>973.04</v>
      </c>
      <c r="T9" s="8">
        <v>973.04</v>
      </c>
      <c r="U9" s="8" t="str">
        <f>IF(T9&lt;=_xlfn.PERCENTILE.INC($T9:$T$633,0.33), "Low", IF(T9&lt;=_xlfn.PERCENTILE.INC($T9:$T$633,0.66), "Medium", "High"))</f>
        <v>Medium</v>
      </c>
      <c r="V9" s="10">
        <v>0</v>
      </c>
      <c r="W9" s="10">
        <f t="shared" si="7"/>
        <v>0</v>
      </c>
      <c r="X9" s="12">
        <v>26</v>
      </c>
      <c r="Y9" s="8">
        <f t="shared" si="0"/>
        <v>25299.040000000001</v>
      </c>
      <c r="Z9" s="8">
        <f t="shared" si="1"/>
        <v>15348.580000000002</v>
      </c>
      <c r="AA9" s="8">
        <f t="shared" si="8"/>
        <v>9950.4599999999991</v>
      </c>
      <c r="AB9" s="10">
        <f t="shared" si="9"/>
        <v>0.39331373838691108</v>
      </c>
      <c r="AC9" s="14">
        <f>_xlfn.MINIFS($C$2:$C$633, $J$2:$J$633, J9)</f>
        <v>44939</v>
      </c>
      <c r="AD9">
        <f>DATEDIF(AC9, C9, "m")</f>
        <v>7</v>
      </c>
      <c r="AE9" s="8">
        <f t="shared" si="10"/>
        <v>973.04000000000008</v>
      </c>
    </row>
    <row r="10" spans="1:31" x14ac:dyDescent="0.3">
      <c r="A10" s="4" t="s">
        <v>566</v>
      </c>
      <c r="B10" s="6">
        <v>44988</v>
      </c>
      <c r="C10" s="14">
        <v>44988</v>
      </c>
      <c r="D10" s="14" t="str">
        <f t="shared" si="2"/>
        <v>Q1 -2023</v>
      </c>
      <c r="E10" s="6">
        <v>45005</v>
      </c>
      <c r="F10" s="6">
        <f t="shared" si="3"/>
        <v>45005</v>
      </c>
      <c r="G10" s="12">
        <f t="shared" si="4"/>
        <v>17</v>
      </c>
      <c r="H10" s="12">
        <f t="shared" si="5"/>
        <v>0</v>
      </c>
      <c r="I10" s="4" t="s">
        <v>647</v>
      </c>
      <c r="J10" s="4" t="s">
        <v>652</v>
      </c>
      <c r="K10" s="4" t="s">
        <v>694</v>
      </c>
      <c r="L10" t="str">
        <f t="shared" si="6"/>
        <v>Asia&gt;Japan&gt;Nagoya</v>
      </c>
      <c r="M10" s="4" t="s">
        <v>705</v>
      </c>
      <c r="N10" s="4" t="s">
        <v>708</v>
      </c>
      <c r="O10" s="4" t="s">
        <v>726</v>
      </c>
      <c r="P10" s="4" t="s">
        <v>729</v>
      </c>
      <c r="Q10" s="4" t="s">
        <v>1284</v>
      </c>
      <c r="R10" s="8">
        <v>1171.17</v>
      </c>
      <c r="S10" s="8">
        <v>2030.64</v>
      </c>
      <c r="T10" s="8">
        <v>2030.64</v>
      </c>
      <c r="U10" s="8" t="str">
        <f>IF(T10&lt;=_xlfn.PERCENTILE.INC($T10:$T$633,0.33), "Low", IF(T10&lt;=_xlfn.PERCENTILE.INC($T10:$T$633,0.66), "Medium", "High"))</f>
        <v>High</v>
      </c>
      <c r="V10" s="10">
        <v>0.157</v>
      </c>
      <c r="W10" s="10">
        <f t="shared" si="7"/>
        <v>0.157</v>
      </c>
      <c r="X10" s="12">
        <v>11</v>
      </c>
      <c r="Y10" s="8">
        <f t="shared" si="0"/>
        <v>18830.12472</v>
      </c>
      <c r="Z10" s="8">
        <f t="shared" si="1"/>
        <v>12882.87</v>
      </c>
      <c r="AA10" s="8">
        <f t="shared" si="8"/>
        <v>5947.254719999999</v>
      </c>
      <c r="AB10" s="10">
        <f t="shared" si="9"/>
        <v>0.31583724528830415</v>
      </c>
      <c r="AC10" s="14">
        <f>_xlfn.MINIFS($C$2:$C$633, $J$2:$J$633, J10)</f>
        <v>44988</v>
      </c>
      <c r="AD10">
        <f>DATEDIF(AC10, C10, "m")</f>
        <v>0</v>
      </c>
      <c r="AE10" s="8">
        <f t="shared" si="10"/>
        <v>1711.82952</v>
      </c>
    </row>
    <row r="11" spans="1:31" x14ac:dyDescent="0.3">
      <c r="A11" s="4" t="s">
        <v>339</v>
      </c>
      <c r="B11" s="6">
        <v>45053</v>
      </c>
      <c r="C11" s="14">
        <v>45053</v>
      </c>
      <c r="D11" s="14" t="str">
        <f t="shared" si="2"/>
        <v>Q2 -2023</v>
      </c>
      <c r="E11" s="6">
        <v>45075</v>
      </c>
      <c r="F11" s="6">
        <f t="shared" si="3"/>
        <v>45075</v>
      </c>
      <c r="G11" s="12">
        <f t="shared" si="4"/>
        <v>22</v>
      </c>
      <c r="H11" s="12">
        <f t="shared" si="5"/>
        <v>0</v>
      </c>
      <c r="I11" s="4" t="s">
        <v>646</v>
      </c>
      <c r="J11" s="4" t="s">
        <v>661</v>
      </c>
      <c r="K11" s="4" t="s">
        <v>687</v>
      </c>
      <c r="L11" t="str">
        <f t="shared" si="6"/>
        <v>Africa&gt;South Africa&gt;Durban</v>
      </c>
      <c r="M11" s="4" t="s">
        <v>702</v>
      </c>
      <c r="N11" s="4" t="s">
        <v>710</v>
      </c>
      <c r="O11" s="4" t="s">
        <v>723</v>
      </c>
      <c r="P11" s="4" t="s">
        <v>733</v>
      </c>
      <c r="Q11" s="4" t="s">
        <v>1059</v>
      </c>
      <c r="R11" s="8">
        <v>653.86</v>
      </c>
      <c r="S11" s="8">
        <v>931.84</v>
      </c>
      <c r="T11" s="8">
        <v>931.84</v>
      </c>
      <c r="U11" s="8" t="str">
        <f>IF(T11&lt;=_xlfn.PERCENTILE.INC($T11:$T$633,0.33), "Low", IF(T11&lt;=_xlfn.PERCENTILE.INC($T11:$T$633,0.66), "Medium", "High"))</f>
        <v>Medium</v>
      </c>
      <c r="V11" s="10">
        <v>0.121</v>
      </c>
      <c r="W11" s="10">
        <f t="shared" si="7"/>
        <v>0.121</v>
      </c>
      <c r="X11" s="12">
        <v>12</v>
      </c>
      <c r="Y11" s="8">
        <f t="shared" si="0"/>
        <v>9829.0483199999999</v>
      </c>
      <c r="Z11" s="8">
        <f t="shared" si="1"/>
        <v>7846.32</v>
      </c>
      <c r="AA11" s="8">
        <f t="shared" si="8"/>
        <v>1982.7283200000002</v>
      </c>
      <c r="AB11" s="10">
        <f t="shared" si="9"/>
        <v>0.20172129136506273</v>
      </c>
      <c r="AC11" s="14">
        <f>_xlfn.MINIFS($C$2:$C$633, $J$2:$J$633, J11)</f>
        <v>44933</v>
      </c>
      <c r="AD11">
        <f>DATEDIF(AC11, C11, "m")</f>
        <v>4</v>
      </c>
      <c r="AE11" s="8">
        <f t="shared" si="10"/>
        <v>819.08735999999999</v>
      </c>
    </row>
    <row r="12" spans="1:31" x14ac:dyDescent="0.3">
      <c r="A12" s="4" t="s">
        <v>453</v>
      </c>
      <c r="B12" s="6">
        <v>44978</v>
      </c>
      <c r="C12" s="14">
        <v>44978</v>
      </c>
      <c r="D12" s="14" t="str">
        <f t="shared" si="2"/>
        <v>Q1 -2023</v>
      </c>
      <c r="E12" s="6">
        <v>44997</v>
      </c>
      <c r="F12" s="6">
        <f t="shared" si="3"/>
        <v>44997</v>
      </c>
      <c r="G12" s="12">
        <f t="shared" si="4"/>
        <v>19</v>
      </c>
      <c r="H12" s="12">
        <f t="shared" si="5"/>
        <v>0</v>
      </c>
      <c r="I12" s="4" t="s">
        <v>646</v>
      </c>
      <c r="J12" s="4" t="s">
        <v>650</v>
      </c>
      <c r="K12" s="4" t="s">
        <v>678</v>
      </c>
      <c r="L12" t="str">
        <f t="shared" si="6"/>
        <v>Africa&gt;Kenya&gt;Nakuru</v>
      </c>
      <c r="M12" s="4" t="s">
        <v>701</v>
      </c>
      <c r="N12" s="4" t="s">
        <v>708</v>
      </c>
      <c r="O12" s="4" t="s">
        <v>721</v>
      </c>
      <c r="P12" s="4" t="s">
        <v>729</v>
      </c>
      <c r="Q12" s="4" t="s">
        <v>1172</v>
      </c>
      <c r="R12" s="8">
        <v>352.65</v>
      </c>
      <c r="S12" s="8">
        <v>485.86</v>
      </c>
      <c r="T12" s="8">
        <v>485.86</v>
      </c>
      <c r="U12" s="8" t="str">
        <f>IF(T12&lt;=_xlfn.PERCENTILE.INC($T12:$T$633,0.33), "Low", IF(T12&lt;=_xlfn.PERCENTILE.INC($T12:$T$633,0.66), "Medium", "High"))</f>
        <v>Low</v>
      </c>
      <c r="V12" s="10">
        <v>4.1000000000000002E-2</v>
      </c>
      <c r="W12" s="10">
        <f t="shared" si="7"/>
        <v>4.1000000000000002E-2</v>
      </c>
      <c r="X12" s="12">
        <v>6</v>
      </c>
      <c r="Y12" s="8">
        <f t="shared" si="0"/>
        <v>2795.6384399999997</v>
      </c>
      <c r="Z12" s="8">
        <f t="shared" si="1"/>
        <v>2115.8999999999996</v>
      </c>
      <c r="AA12" s="8">
        <f t="shared" si="8"/>
        <v>679.73844000000008</v>
      </c>
      <c r="AB12" s="10">
        <f t="shared" si="9"/>
        <v>0.24314247159943908</v>
      </c>
      <c r="AC12" s="14">
        <f>_xlfn.MINIFS($C$2:$C$633, $J$2:$J$633, J12)</f>
        <v>44946</v>
      </c>
      <c r="AD12">
        <f>DATEDIF(AC12, C12, "m")</f>
        <v>1</v>
      </c>
      <c r="AE12" s="8">
        <f t="shared" si="10"/>
        <v>465.93973999999997</v>
      </c>
    </row>
    <row r="13" spans="1:31" x14ac:dyDescent="0.3">
      <c r="A13" s="4" t="s">
        <v>181</v>
      </c>
      <c r="B13" s="6">
        <v>45034</v>
      </c>
      <c r="C13" s="14">
        <v>45034</v>
      </c>
      <c r="D13" s="14" t="str">
        <f t="shared" si="2"/>
        <v>Q2 -2023</v>
      </c>
      <c r="E13" s="6">
        <v>45064</v>
      </c>
      <c r="F13" s="6">
        <f t="shared" si="3"/>
        <v>45064</v>
      </c>
      <c r="G13" s="12">
        <f t="shared" si="4"/>
        <v>30</v>
      </c>
      <c r="H13" s="12">
        <f t="shared" si="5"/>
        <v>0</v>
      </c>
      <c r="I13" s="4" t="s">
        <v>647</v>
      </c>
      <c r="J13" s="4" t="s">
        <v>659</v>
      </c>
      <c r="K13" s="4" t="s">
        <v>676</v>
      </c>
      <c r="L13" t="str">
        <f t="shared" si="6"/>
        <v>Asia&gt;China&gt;Shenzhen</v>
      </c>
      <c r="M13" s="4" t="s">
        <v>703</v>
      </c>
      <c r="N13" s="4" t="s">
        <v>707</v>
      </c>
      <c r="O13" s="4" t="s">
        <v>722</v>
      </c>
      <c r="P13" s="4" t="s">
        <v>731</v>
      </c>
      <c r="Q13" s="4" t="s">
        <v>900</v>
      </c>
      <c r="R13" s="8">
        <v>329.03</v>
      </c>
      <c r="S13" s="8">
        <v>391.15</v>
      </c>
      <c r="T13" s="8">
        <v>391.15</v>
      </c>
      <c r="U13" s="8" t="str">
        <f>IF(T13&lt;=_xlfn.PERCENTILE.INC($T13:$T$633,0.33), "Low", IF(T13&lt;=_xlfn.PERCENTILE.INC($T13:$T$633,0.66), "Medium", "High"))</f>
        <v>Low</v>
      </c>
      <c r="V13" s="10">
        <v>0.19700000000000001</v>
      </c>
      <c r="W13" s="10">
        <f t="shared" si="7"/>
        <v>0.19700000000000001</v>
      </c>
      <c r="X13" s="12">
        <v>46</v>
      </c>
      <c r="Y13" s="8">
        <f t="shared" si="0"/>
        <v>14448.298699999998</v>
      </c>
      <c r="Z13" s="8">
        <f t="shared" si="1"/>
        <v>15135.38</v>
      </c>
      <c r="AA13" s="8">
        <f t="shared" si="8"/>
        <v>-687.08130000000165</v>
      </c>
      <c r="AB13" s="10">
        <f t="shared" si="9"/>
        <v>-4.7554477815440081E-2</v>
      </c>
      <c r="AC13" s="14">
        <f>_xlfn.MINIFS($C$2:$C$633, $J$2:$J$633, J13)</f>
        <v>44938</v>
      </c>
      <c r="AD13">
        <f>DATEDIF(AC13, C13, "m")</f>
        <v>3</v>
      </c>
      <c r="AE13" s="8">
        <f t="shared" si="10"/>
        <v>314.09344999999996</v>
      </c>
    </row>
    <row r="14" spans="1:31" x14ac:dyDescent="0.3">
      <c r="A14" s="4" t="s">
        <v>95</v>
      </c>
      <c r="B14" s="6">
        <v>44965</v>
      </c>
      <c r="C14" s="14">
        <v>44965</v>
      </c>
      <c r="D14" s="14" t="str">
        <f t="shared" si="2"/>
        <v>Q1 -2023</v>
      </c>
      <c r="E14" s="6">
        <v>44968</v>
      </c>
      <c r="F14" s="6">
        <f t="shared" si="3"/>
        <v>44968</v>
      </c>
      <c r="G14" s="12">
        <f t="shared" si="4"/>
        <v>3</v>
      </c>
      <c r="H14" s="12">
        <f t="shared" si="5"/>
        <v>1</v>
      </c>
      <c r="I14" s="4" t="s">
        <v>646</v>
      </c>
      <c r="J14" s="4" t="s">
        <v>661</v>
      </c>
      <c r="K14" s="4" t="s">
        <v>695</v>
      </c>
      <c r="L14" t="str">
        <f t="shared" si="6"/>
        <v>Africa&gt;South Africa&gt;Cape Town</v>
      </c>
      <c r="M14" s="4" t="s">
        <v>701</v>
      </c>
      <c r="N14" s="4" t="s">
        <v>711</v>
      </c>
      <c r="O14" s="4" t="s">
        <v>724</v>
      </c>
      <c r="P14" s="4" t="s">
        <v>729</v>
      </c>
      <c r="Q14" s="4" t="s">
        <v>814</v>
      </c>
      <c r="R14" s="8">
        <v>1410.05</v>
      </c>
      <c r="S14" s="8">
        <v>2763.95</v>
      </c>
      <c r="T14" s="8">
        <v>2763.95</v>
      </c>
      <c r="U14" s="8" t="str">
        <f>IF(T14&lt;=_xlfn.PERCENTILE.INC($T14:$T$633,0.33), "Low", IF(T14&lt;=_xlfn.PERCENTILE.INC($T14:$T$633,0.66), "Medium", "High"))</f>
        <v>High</v>
      </c>
      <c r="V14" s="10">
        <v>0.161</v>
      </c>
      <c r="W14" s="10">
        <f t="shared" si="7"/>
        <v>0.161</v>
      </c>
      <c r="X14" s="12">
        <v>26</v>
      </c>
      <c r="Y14" s="8">
        <f t="shared" si="0"/>
        <v>60292.805299999993</v>
      </c>
      <c r="Z14" s="8">
        <f t="shared" si="1"/>
        <v>36661.299999999996</v>
      </c>
      <c r="AA14" s="8">
        <f t="shared" si="8"/>
        <v>23631.505299999997</v>
      </c>
      <c r="AB14" s="10">
        <f t="shared" si="9"/>
        <v>0.39194569206750779</v>
      </c>
      <c r="AC14" s="14">
        <f>_xlfn.MINIFS($C$2:$C$633, $J$2:$J$633, J14)</f>
        <v>44933</v>
      </c>
      <c r="AD14">
        <f>DATEDIF(AC14, C14, "m")</f>
        <v>1</v>
      </c>
      <c r="AE14" s="8">
        <f t="shared" si="10"/>
        <v>2318.9540499999998</v>
      </c>
    </row>
    <row r="15" spans="1:31" x14ac:dyDescent="0.3">
      <c r="A15" s="4" t="s">
        <v>376</v>
      </c>
      <c r="B15" s="6">
        <v>45108</v>
      </c>
      <c r="C15" s="14">
        <v>45108</v>
      </c>
      <c r="D15" s="14" t="str">
        <f t="shared" si="2"/>
        <v>Q3 -2023</v>
      </c>
      <c r="E15" s="6">
        <v>45115</v>
      </c>
      <c r="F15" s="6">
        <f t="shared" si="3"/>
        <v>45115</v>
      </c>
      <c r="G15" s="12">
        <f t="shared" si="4"/>
        <v>7</v>
      </c>
      <c r="H15" s="12">
        <f t="shared" si="5"/>
        <v>1</v>
      </c>
      <c r="I15" s="4" t="s">
        <v>646</v>
      </c>
      <c r="J15" s="4" t="s">
        <v>651</v>
      </c>
      <c r="K15" s="4" t="s">
        <v>663</v>
      </c>
      <c r="L15" t="str">
        <f t="shared" si="6"/>
        <v>Africa&gt;Nigeria&gt;Port Harcourt</v>
      </c>
      <c r="M15" s="4" t="s">
        <v>701</v>
      </c>
      <c r="N15" s="4" t="s">
        <v>707</v>
      </c>
      <c r="O15" s="4" t="s">
        <v>720</v>
      </c>
      <c r="P15" s="4" t="s">
        <v>731</v>
      </c>
      <c r="Q15" s="4" t="s">
        <v>1096</v>
      </c>
      <c r="R15" s="8">
        <v>834.26</v>
      </c>
      <c r="S15" s="8">
        <v>1780.56</v>
      </c>
      <c r="T15" s="8">
        <v>1780.56</v>
      </c>
      <c r="U15" s="8" t="str">
        <f>IF(T15&lt;=_xlfn.PERCENTILE.INC($T15:$T$633,0.33), "Low", IF(T15&lt;=_xlfn.PERCENTILE.INC($T15:$T$633,0.66), "Medium", "High"))</f>
        <v>High</v>
      </c>
      <c r="V15" s="10">
        <v>1.4E-2</v>
      </c>
      <c r="W15" s="10">
        <f t="shared" si="7"/>
        <v>1.4E-2</v>
      </c>
      <c r="X15" s="12">
        <v>47</v>
      </c>
      <c r="Y15" s="8">
        <f t="shared" si="0"/>
        <v>82514.711519999997</v>
      </c>
      <c r="Z15" s="8">
        <f t="shared" si="1"/>
        <v>39210.22</v>
      </c>
      <c r="AA15" s="8">
        <f t="shared" si="8"/>
        <v>43304.491519999996</v>
      </c>
      <c r="AB15" s="10">
        <f t="shared" si="9"/>
        <v>0.5248093427497933</v>
      </c>
      <c r="AC15" s="14">
        <f>_xlfn.MINIFS($C$2:$C$633, $J$2:$J$633, J15)</f>
        <v>44941</v>
      </c>
      <c r="AD15">
        <f>DATEDIF(AC15, C15, "m")</f>
        <v>5</v>
      </c>
      <c r="AE15" s="8">
        <f t="shared" si="10"/>
        <v>1755.6321599999999</v>
      </c>
    </row>
    <row r="16" spans="1:31" x14ac:dyDescent="0.3">
      <c r="A16" s="4" t="s">
        <v>343</v>
      </c>
      <c r="B16" s="6">
        <v>45221</v>
      </c>
      <c r="C16" s="14">
        <v>45221</v>
      </c>
      <c r="D16" s="14" t="str">
        <f t="shared" si="2"/>
        <v>Q4 -2023</v>
      </c>
      <c r="E16" s="6">
        <v>45246</v>
      </c>
      <c r="F16" s="6">
        <f t="shared" si="3"/>
        <v>45246</v>
      </c>
      <c r="G16" s="12">
        <f t="shared" si="4"/>
        <v>25</v>
      </c>
      <c r="H16" s="12">
        <f t="shared" si="5"/>
        <v>0</v>
      </c>
      <c r="I16" s="4" t="s">
        <v>648</v>
      </c>
      <c r="J16" s="4" t="s">
        <v>653</v>
      </c>
      <c r="K16" s="4" t="s">
        <v>667</v>
      </c>
      <c r="L16" t="str">
        <f t="shared" si="6"/>
        <v>Americas&gt;Canada&gt;Toronto</v>
      </c>
      <c r="M16" s="4" t="s">
        <v>705</v>
      </c>
      <c r="N16" s="4" t="s">
        <v>709</v>
      </c>
      <c r="O16" s="4" t="s">
        <v>714</v>
      </c>
      <c r="P16" s="4" t="s">
        <v>731</v>
      </c>
      <c r="Q16" s="4" t="s">
        <v>1063</v>
      </c>
      <c r="R16" s="8">
        <v>1373.31</v>
      </c>
      <c r="S16" s="8">
        <v>3154.14</v>
      </c>
      <c r="T16" s="8">
        <v>3154.14</v>
      </c>
      <c r="U16" s="8" t="str">
        <f>IF(T16&lt;=_xlfn.PERCENTILE.INC($T16:$T$633,0.33), "Low", IF(T16&lt;=_xlfn.PERCENTILE.INC($T16:$T$633,0.66), "Medium", "High"))</f>
        <v>High</v>
      </c>
      <c r="V16" s="10">
        <v>0.2</v>
      </c>
      <c r="W16" s="10">
        <f t="shared" si="7"/>
        <v>0.2</v>
      </c>
      <c r="X16" s="12">
        <v>11</v>
      </c>
      <c r="Y16" s="8">
        <f t="shared" si="0"/>
        <v>27756.432000000001</v>
      </c>
      <c r="Z16" s="8">
        <f t="shared" si="1"/>
        <v>15106.41</v>
      </c>
      <c r="AA16" s="8">
        <f t="shared" si="8"/>
        <v>12650.022000000001</v>
      </c>
      <c r="AB16" s="10">
        <f t="shared" si="9"/>
        <v>0.45575101295440279</v>
      </c>
      <c r="AC16" s="14">
        <f>_xlfn.MINIFS($C$2:$C$633, $J$2:$J$633, J16)</f>
        <v>44928</v>
      </c>
      <c r="AD16">
        <f>DATEDIF(AC16, C16, "m")</f>
        <v>9</v>
      </c>
      <c r="AE16" s="8">
        <f t="shared" si="10"/>
        <v>2523.3119999999999</v>
      </c>
    </row>
    <row r="17" spans="1:31" x14ac:dyDescent="0.3">
      <c r="A17" s="4" t="s">
        <v>315</v>
      </c>
      <c r="B17" s="6">
        <v>45204</v>
      </c>
      <c r="C17" s="14">
        <v>45204</v>
      </c>
      <c r="D17" s="14" t="str">
        <f t="shared" si="2"/>
        <v>Q4 -2023</v>
      </c>
      <c r="E17" s="6">
        <v>45230</v>
      </c>
      <c r="F17" s="6">
        <f t="shared" si="3"/>
        <v>45230</v>
      </c>
      <c r="G17" s="12">
        <f t="shared" si="4"/>
        <v>26</v>
      </c>
      <c r="H17" s="12">
        <f t="shared" si="5"/>
        <v>0</v>
      </c>
      <c r="I17" s="4" t="s">
        <v>647</v>
      </c>
      <c r="J17" s="4" t="s">
        <v>659</v>
      </c>
      <c r="K17" s="4" t="s">
        <v>685</v>
      </c>
      <c r="L17" t="str">
        <f t="shared" si="6"/>
        <v>Asia&gt;China&gt;Shanghai</v>
      </c>
      <c r="M17" s="4" t="s">
        <v>704</v>
      </c>
      <c r="N17" s="4" t="s">
        <v>1423</v>
      </c>
      <c r="O17" s="4" t="s">
        <v>713</v>
      </c>
      <c r="P17" s="4" t="s">
        <v>728</v>
      </c>
      <c r="Q17" s="4" t="s">
        <v>1035</v>
      </c>
      <c r="R17" s="8">
        <v>649.91</v>
      </c>
      <c r="S17" s="8">
        <v>1360.12</v>
      </c>
      <c r="T17" s="8">
        <v>1360.12</v>
      </c>
      <c r="U17" s="8" t="str">
        <f>IF(T17&lt;=_xlfn.PERCENTILE.INC($T17:$T$633,0.33), "Low", IF(T17&lt;=_xlfn.PERCENTILE.INC($T17:$T$633,0.66), "Medium", "High"))</f>
        <v>Medium</v>
      </c>
      <c r="V17" s="10">
        <v>0.19400000000000001</v>
      </c>
      <c r="W17" s="10">
        <f t="shared" si="7"/>
        <v>0.19400000000000001</v>
      </c>
      <c r="X17" s="12">
        <v>9</v>
      </c>
      <c r="Y17" s="8">
        <f t="shared" si="0"/>
        <v>9866.3104799999983</v>
      </c>
      <c r="Z17" s="8">
        <f t="shared" si="1"/>
        <v>5849.19</v>
      </c>
      <c r="AA17" s="8">
        <f t="shared" si="8"/>
        <v>4017.1204799999987</v>
      </c>
      <c r="AB17" s="10">
        <f t="shared" si="9"/>
        <v>0.40715528749506769</v>
      </c>
      <c r="AC17" s="14">
        <f>_xlfn.MINIFS($C$2:$C$633, $J$2:$J$633, J17)</f>
        <v>44938</v>
      </c>
      <c r="AD17">
        <f>DATEDIF(AC17, C17, "m")</f>
        <v>8</v>
      </c>
      <c r="AE17" s="8">
        <f t="shared" si="10"/>
        <v>1096.2567199999999</v>
      </c>
    </row>
    <row r="18" spans="1:31" x14ac:dyDescent="0.3">
      <c r="A18" s="4" t="s">
        <v>468</v>
      </c>
      <c r="B18" s="6">
        <v>45070</v>
      </c>
      <c r="C18" s="14">
        <v>45070</v>
      </c>
      <c r="D18" s="14" t="str">
        <f t="shared" si="2"/>
        <v>Q2 -2023</v>
      </c>
      <c r="E18" s="6">
        <v>45098</v>
      </c>
      <c r="F18" s="6">
        <f t="shared" si="3"/>
        <v>45098</v>
      </c>
      <c r="G18" s="12">
        <f t="shared" si="4"/>
        <v>28</v>
      </c>
      <c r="H18" s="12">
        <f t="shared" si="5"/>
        <v>0</v>
      </c>
      <c r="I18" s="4" t="s">
        <v>648</v>
      </c>
      <c r="J18" s="4" t="s">
        <v>660</v>
      </c>
      <c r="K18" s="4" t="s">
        <v>697</v>
      </c>
      <c r="L18" t="str">
        <f t="shared" si="6"/>
        <v>Americas&gt;USA&gt;Austin</v>
      </c>
      <c r="M18" s="4" t="s">
        <v>705</v>
      </c>
      <c r="N18" s="4" t="s">
        <v>709</v>
      </c>
      <c r="O18" s="4" t="s">
        <v>715</v>
      </c>
      <c r="P18" s="4" t="s">
        <v>732</v>
      </c>
      <c r="Q18" s="4" t="s">
        <v>1187</v>
      </c>
      <c r="R18" s="8">
        <v>813.97</v>
      </c>
      <c r="S18" s="8">
        <v>1568.83</v>
      </c>
      <c r="T18" s="8">
        <v>1568.83</v>
      </c>
      <c r="U18" s="8" t="str">
        <f>IF(T18&lt;=_xlfn.PERCENTILE.INC($T18:$T$633,0.33), "Low", IF(T18&lt;=_xlfn.PERCENTILE.INC($T18:$T$633,0.66), "Medium", "High"))</f>
        <v>Medium</v>
      </c>
      <c r="V18" s="10">
        <v>1.7000000000000001E-2</v>
      </c>
      <c r="W18" s="10">
        <f t="shared" si="7"/>
        <v>1.7000000000000001E-2</v>
      </c>
      <c r="X18" s="12">
        <v>15</v>
      </c>
      <c r="Y18" s="8">
        <f t="shared" si="0"/>
        <v>23132.398349999996</v>
      </c>
      <c r="Z18" s="8">
        <f t="shared" si="1"/>
        <v>12209.550000000001</v>
      </c>
      <c r="AA18" s="8">
        <f t="shared" si="8"/>
        <v>10922.848349999995</v>
      </c>
      <c r="AB18" s="10">
        <f t="shared" si="9"/>
        <v>0.4721883215364911</v>
      </c>
      <c r="AC18" s="14">
        <f>_xlfn.MINIFS($C$2:$C$633, $J$2:$J$633, J18)</f>
        <v>44939</v>
      </c>
      <c r="AD18">
        <f>DATEDIF(AC18, C18, "m")</f>
        <v>4</v>
      </c>
      <c r="AE18" s="8">
        <f t="shared" si="10"/>
        <v>1542.1598899999997</v>
      </c>
    </row>
    <row r="19" spans="1:31" x14ac:dyDescent="0.3">
      <c r="A19" s="4" t="s">
        <v>592</v>
      </c>
      <c r="B19" s="6">
        <v>45092</v>
      </c>
      <c r="C19" s="14">
        <v>45092</v>
      </c>
      <c r="D19" s="14" t="str">
        <f t="shared" si="2"/>
        <v>Q2 -2023</v>
      </c>
      <c r="E19" s="6">
        <v>45119</v>
      </c>
      <c r="F19" s="6">
        <f t="shared" si="3"/>
        <v>45119</v>
      </c>
      <c r="G19" s="12">
        <f t="shared" si="4"/>
        <v>27</v>
      </c>
      <c r="H19" s="12">
        <f t="shared" si="5"/>
        <v>0</v>
      </c>
      <c r="I19" s="4" t="s">
        <v>649</v>
      </c>
      <c r="J19" s="4" t="s">
        <v>658</v>
      </c>
      <c r="K19" s="4" t="s">
        <v>693</v>
      </c>
      <c r="L19" t="str">
        <f t="shared" si="6"/>
        <v>Europe&gt;United Kingdom&gt;Manchester</v>
      </c>
      <c r="M19" s="4" t="s">
        <v>704</v>
      </c>
      <c r="N19" s="4" t="s">
        <v>711</v>
      </c>
      <c r="O19" s="4" t="s">
        <v>714</v>
      </c>
      <c r="P19" s="4" t="s">
        <v>733</v>
      </c>
      <c r="Q19" s="4" t="s">
        <v>1310</v>
      </c>
      <c r="R19" s="8">
        <v>751.28</v>
      </c>
      <c r="S19" s="8">
        <v>1111.8800000000001</v>
      </c>
      <c r="T19" s="8">
        <v>1111.8800000000001</v>
      </c>
      <c r="U19" s="8" t="str">
        <f>IF(T19&lt;=_xlfn.PERCENTILE.INC($T19:$T$633,0.33), "Low", IF(T19&lt;=_xlfn.PERCENTILE.INC($T19:$T$633,0.66), "Medium", "High"))</f>
        <v>Medium</v>
      </c>
      <c r="V19" s="10">
        <v>0.13500000000000001</v>
      </c>
      <c r="W19" s="10">
        <f t="shared" si="7"/>
        <v>0.13500000000000001</v>
      </c>
      <c r="X19" s="12">
        <v>7</v>
      </c>
      <c r="Y19" s="8">
        <f t="shared" si="0"/>
        <v>6732.4334000000008</v>
      </c>
      <c r="Z19" s="8">
        <f t="shared" si="1"/>
        <v>5258.96</v>
      </c>
      <c r="AA19" s="8">
        <f t="shared" si="8"/>
        <v>1473.4734000000008</v>
      </c>
      <c r="AB19" s="10">
        <f t="shared" si="9"/>
        <v>0.21886193482433863</v>
      </c>
      <c r="AC19" s="14">
        <f>_xlfn.MINIFS($C$2:$C$633, $J$2:$J$633, J19)</f>
        <v>44945</v>
      </c>
      <c r="AD19">
        <f>DATEDIF(AC19, C19, "m")</f>
        <v>4</v>
      </c>
      <c r="AE19" s="8">
        <f t="shared" si="10"/>
        <v>961.77620000000013</v>
      </c>
    </row>
    <row r="20" spans="1:31" x14ac:dyDescent="0.3">
      <c r="A20" s="4" t="s">
        <v>208</v>
      </c>
      <c r="B20" s="6">
        <v>45050</v>
      </c>
      <c r="C20" s="14">
        <v>45050</v>
      </c>
      <c r="D20" s="14" t="str">
        <f t="shared" si="2"/>
        <v>Q2 -2023</v>
      </c>
      <c r="E20" s="6">
        <v>45072</v>
      </c>
      <c r="F20" s="6">
        <f t="shared" si="3"/>
        <v>45072</v>
      </c>
      <c r="G20" s="12">
        <f t="shared" si="4"/>
        <v>22</v>
      </c>
      <c r="H20" s="12">
        <f t="shared" si="5"/>
        <v>0</v>
      </c>
      <c r="I20" s="4" t="s">
        <v>648</v>
      </c>
      <c r="J20" s="4" t="s">
        <v>660</v>
      </c>
      <c r="K20" s="4" t="s">
        <v>686</v>
      </c>
      <c r="L20" t="str">
        <f t="shared" si="6"/>
        <v>Americas&gt;USA&gt;San Francisco</v>
      </c>
      <c r="M20" s="4" t="s">
        <v>706</v>
      </c>
      <c r="N20" s="4" t="s">
        <v>708</v>
      </c>
      <c r="O20" s="4" t="s">
        <v>713</v>
      </c>
      <c r="P20" s="4" t="s">
        <v>729</v>
      </c>
      <c r="Q20" s="4" t="s">
        <v>928</v>
      </c>
      <c r="R20" s="8">
        <v>249.71</v>
      </c>
      <c r="S20" s="8">
        <v>361.33</v>
      </c>
      <c r="T20" s="8">
        <v>361.33</v>
      </c>
      <c r="U20" s="8" t="str">
        <f>IF(T20&lt;=_xlfn.PERCENTILE.INC($T20:$T$633,0.33), "Low", IF(T20&lt;=_xlfn.PERCENTILE.INC($T20:$T$633,0.66), "Medium", "High"))</f>
        <v>Low</v>
      </c>
      <c r="V20" s="10">
        <v>9.4E-2</v>
      </c>
      <c r="W20" s="10">
        <f t="shared" si="7"/>
        <v>9.4E-2</v>
      </c>
      <c r="X20" s="12">
        <v>12</v>
      </c>
      <c r="Y20" s="8">
        <f t="shared" si="0"/>
        <v>3928.3797600000003</v>
      </c>
      <c r="Z20" s="8">
        <f t="shared" si="1"/>
        <v>2996.52</v>
      </c>
      <c r="AA20" s="8">
        <f t="shared" si="8"/>
        <v>931.85976000000028</v>
      </c>
      <c r="AB20" s="10">
        <f t="shared" si="9"/>
        <v>0.23721223937881206</v>
      </c>
      <c r="AC20" s="14">
        <f>_xlfn.MINIFS($C$2:$C$633, $J$2:$J$633, J20)</f>
        <v>44939</v>
      </c>
      <c r="AD20">
        <f>DATEDIF(AC20, C20, "m")</f>
        <v>3</v>
      </c>
      <c r="AE20" s="8">
        <f t="shared" si="10"/>
        <v>327.36498</v>
      </c>
    </row>
    <row r="21" spans="1:31" x14ac:dyDescent="0.3">
      <c r="A21" s="4" t="s">
        <v>137</v>
      </c>
      <c r="B21" s="6">
        <v>45289</v>
      </c>
      <c r="C21" s="14">
        <v>45289</v>
      </c>
      <c r="D21" s="14" t="str">
        <f t="shared" si="2"/>
        <v>Q4 -2023</v>
      </c>
      <c r="E21" s="6">
        <v>45311</v>
      </c>
      <c r="F21" s="6">
        <f t="shared" si="3"/>
        <v>45311</v>
      </c>
      <c r="G21" s="12">
        <f t="shared" si="4"/>
        <v>22</v>
      </c>
      <c r="H21" s="12">
        <f t="shared" si="5"/>
        <v>0</v>
      </c>
      <c r="I21" s="4" t="s">
        <v>646</v>
      </c>
      <c r="J21" s="4" t="s">
        <v>650</v>
      </c>
      <c r="K21" s="4" t="s">
        <v>662</v>
      </c>
      <c r="L21" t="str">
        <f t="shared" si="6"/>
        <v>Africa&gt;Kenya&gt;Kisumu</v>
      </c>
      <c r="M21" s="4" t="s">
        <v>701</v>
      </c>
      <c r="N21" s="4" t="s">
        <v>711</v>
      </c>
      <c r="O21" s="4" t="s">
        <v>716</v>
      </c>
      <c r="P21" s="4" t="s">
        <v>730</v>
      </c>
      <c r="Q21" s="4" t="s">
        <v>856</v>
      </c>
      <c r="R21" s="8">
        <v>1395.49</v>
      </c>
      <c r="S21" s="8">
        <v>1679.42</v>
      </c>
      <c r="T21" s="8">
        <v>1679.42</v>
      </c>
      <c r="U21" s="8" t="str">
        <f>IF(T21&lt;=_xlfn.PERCENTILE.INC($T21:$T$633,0.33), "Low", IF(T21&lt;=_xlfn.PERCENTILE.INC($T21:$T$633,0.66), "Medium", "High"))</f>
        <v>High</v>
      </c>
      <c r="V21" s="10">
        <v>0.20300000000000001</v>
      </c>
      <c r="W21" s="10">
        <f t="shared" si="7"/>
        <v>0.20300000000000001</v>
      </c>
      <c r="X21" s="12">
        <v>12</v>
      </c>
      <c r="Y21" s="8">
        <f t="shared" si="0"/>
        <v>16061.972879999999</v>
      </c>
      <c r="Z21" s="8">
        <f t="shared" si="1"/>
        <v>16745.88</v>
      </c>
      <c r="AA21" s="8">
        <f t="shared" si="8"/>
        <v>-683.90712000000167</v>
      </c>
      <c r="AB21" s="10">
        <f t="shared" si="9"/>
        <v>-4.2579272490964493E-2</v>
      </c>
      <c r="AC21" s="14">
        <f>_xlfn.MINIFS($C$2:$C$633, $J$2:$J$633, J21)</f>
        <v>44946</v>
      </c>
      <c r="AD21">
        <f>DATEDIF(AC21, C21, "m")</f>
        <v>11</v>
      </c>
      <c r="AE21" s="8">
        <f t="shared" si="10"/>
        <v>1338.49774</v>
      </c>
    </row>
    <row r="22" spans="1:31" x14ac:dyDescent="0.3">
      <c r="A22" s="4" t="s">
        <v>347</v>
      </c>
      <c r="B22" s="6">
        <v>45245</v>
      </c>
      <c r="C22" s="14">
        <v>45245</v>
      </c>
      <c r="D22" s="14" t="str">
        <f t="shared" si="2"/>
        <v>Q4 -2023</v>
      </c>
      <c r="E22" s="6">
        <v>45266</v>
      </c>
      <c r="F22" s="6">
        <f t="shared" si="3"/>
        <v>45266</v>
      </c>
      <c r="G22" s="12">
        <f t="shared" si="4"/>
        <v>21</v>
      </c>
      <c r="H22" s="12">
        <f t="shared" si="5"/>
        <v>0</v>
      </c>
      <c r="I22" s="4" t="s">
        <v>649</v>
      </c>
      <c r="J22" s="4" t="s">
        <v>658</v>
      </c>
      <c r="K22" s="4" t="s">
        <v>693</v>
      </c>
      <c r="L22" t="str">
        <f t="shared" si="6"/>
        <v>Europe&gt;United Kingdom&gt;Manchester</v>
      </c>
      <c r="M22" s="4" t="s">
        <v>702</v>
      </c>
      <c r="N22" s="4" t="s">
        <v>711</v>
      </c>
      <c r="O22" s="4" t="s">
        <v>722</v>
      </c>
      <c r="P22" s="4" t="s">
        <v>733</v>
      </c>
      <c r="Q22" s="4" t="s">
        <v>1067</v>
      </c>
      <c r="R22" s="8">
        <v>1184.99</v>
      </c>
      <c r="S22" s="8">
        <v>1154.3399999999999</v>
      </c>
      <c r="T22" s="8">
        <v>1154.3399999999999</v>
      </c>
      <c r="U22" s="8" t="str">
        <f>IF(T22&lt;=_xlfn.PERCENTILE.INC($T22:$T$633,0.33), "Low", IF(T22&lt;=_xlfn.PERCENTILE.INC($T22:$T$633,0.66), "Medium", "High"))</f>
        <v>Medium</v>
      </c>
      <c r="V22" s="10">
        <v>2.8000000000000001E-2</v>
      </c>
      <c r="W22" s="10">
        <f t="shared" si="7"/>
        <v>2.8000000000000001E-2</v>
      </c>
      <c r="X22" s="12">
        <v>5</v>
      </c>
      <c r="Y22" s="8">
        <f t="shared" si="0"/>
        <v>5610.0923999999995</v>
      </c>
      <c r="Z22" s="8">
        <f t="shared" si="1"/>
        <v>5924.95</v>
      </c>
      <c r="AA22" s="8">
        <f t="shared" si="8"/>
        <v>-314.85760000000028</v>
      </c>
      <c r="AB22" s="10">
        <f t="shared" si="9"/>
        <v>-5.6123424990290764E-2</v>
      </c>
      <c r="AC22" s="14">
        <f>_xlfn.MINIFS($C$2:$C$633, $J$2:$J$633, J22)</f>
        <v>44945</v>
      </c>
      <c r="AD22">
        <f>DATEDIF(AC22, C22, "m")</f>
        <v>9</v>
      </c>
      <c r="AE22" s="8">
        <f t="shared" si="10"/>
        <v>1122.01848</v>
      </c>
    </row>
    <row r="23" spans="1:31" x14ac:dyDescent="0.3">
      <c r="A23" s="4" t="s">
        <v>454</v>
      </c>
      <c r="B23" s="6">
        <v>45063</v>
      </c>
      <c r="C23" s="14">
        <v>45063</v>
      </c>
      <c r="D23" s="14" t="str">
        <f t="shared" si="2"/>
        <v>Q2 -2023</v>
      </c>
      <c r="E23" s="6">
        <v>45080</v>
      </c>
      <c r="F23" s="6">
        <f t="shared" si="3"/>
        <v>45080</v>
      </c>
      <c r="G23" s="12">
        <f t="shared" si="4"/>
        <v>17</v>
      </c>
      <c r="H23" s="12">
        <f t="shared" si="5"/>
        <v>0</v>
      </c>
      <c r="I23" s="4" t="s">
        <v>647</v>
      </c>
      <c r="J23" s="4" t="s">
        <v>659</v>
      </c>
      <c r="K23" s="4" t="s">
        <v>699</v>
      </c>
      <c r="L23" t="str">
        <f t="shared" si="6"/>
        <v>Asia&gt;China&gt;Beijing</v>
      </c>
      <c r="M23" s="4" t="s">
        <v>703</v>
      </c>
      <c r="N23" s="4" t="s">
        <v>710</v>
      </c>
      <c r="O23" s="4" t="s">
        <v>724</v>
      </c>
      <c r="P23" s="4" t="s">
        <v>728</v>
      </c>
      <c r="Q23" s="4" t="s">
        <v>1173</v>
      </c>
      <c r="R23" s="8">
        <v>979.59</v>
      </c>
      <c r="S23" s="8">
        <v>2210.94</v>
      </c>
      <c r="T23" s="8">
        <v>2210.94</v>
      </c>
      <c r="U23" s="8" t="str">
        <f>IF(T23&lt;=_xlfn.PERCENTILE.INC($T23:$T$633,0.33), "Low", IF(T23&lt;=_xlfn.PERCENTILE.INC($T23:$T$633,0.66), "Medium", "High"))</f>
        <v>High</v>
      </c>
      <c r="V23" s="10">
        <v>0.15</v>
      </c>
      <c r="W23" s="10">
        <f t="shared" si="7"/>
        <v>0.15</v>
      </c>
      <c r="X23" s="12">
        <v>11</v>
      </c>
      <c r="Y23" s="8">
        <f t="shared" si="0"/>
        <v>20672.289000000001</v>
      </c>
      <c r="Z23" s="8">
        <f t="shared" si="1"/>
        <v>10775.49</v>
      </c>
      <c r="AA23" s="8">
        <f t="shared" si="8"/>
        <v>9896.7990000000009</v>
      </c>
      <c r="AB23" s="10">
        <f t="shared" si="9"/>
        <v>0.47874712858358359</v>
      </c>
      <c r="AC23" s="14">
        <f>_xlfn.MINIFS($C$2:$C$633, $J$2:$J$633, J23)</f>
        <v>44938</v>
      </c>
      <c r="AD23">
        <f>DATEDIF(AC23, C23, "m")</f>
        <v>4</v>
      </c>
      <c r="AE23" s="8">
        <f t="shared" si="10"/>
        <v>1879.299</v>
      </c>
    </row>
    <row r="24" spans="1:31" x14ac:dyDescent="0.3">
      <c r="A24" s="4" t="s">
        <v>472</v>
      </c>
      <c r="B24" s="6">
        <v>45260</v>
      </c>
      <c r="C24" s="14">
        <v>45260</v>
      </c>
      <c r="D24" s="14" t="str">
        <f t="shared" si="2"/>
        <v>Q4 -2023</v>
      </c>
      <c r="E24" s="6">
        <v>45270</v>
      </c>
      <c r="F24" s="6">
        <f t="shared" si="3"/>
        <v>45270</v>
      </c>
      <c r="G24" s="12">
        <f t="shared" si="4"/>
        <v>10</v>
      </c>
      <c r="H24" s="12">
        <f t="shared" si="5"/>
        <v>0</v>
      </c>
      <c r="I24" s="4" t="s">
        <v>649</v>
      </c>
      <c r="J24" s="4" t="s">
        <v>656</v>
      </c>
      <c r="K24" s="4" t="s">
        <v>684</v>
      </c>
      <c r="L24" t="str">
        <f t="shared" si="6"/>
        <v>Europe&gt;Germany&gt;Munich</v>
      </c>
      <c r="M24" s="4" t="s">
        <v>705</v>
      </c>
      <c r="N24" s="4" t="s">
        <v>711</v>
      </c>
      <c r="O24" s="4" t="s">
        <v>721</v>
      </c>
      <c r="P24" s="4" t="s">
        <v>731</v>
      </c>
      <c r="Q24" s="4" t="s">
        <v>1191</v>
      </c>
      <c r="R24" s="8">
        <v>174.74</v>
      </c>
      <c r="S24" s="8">
        <v>415.96</v>
      </c>
      <c r="T24" s="8">
        <v>415.96</v>
      </c>
      <c r="U24" s="8" t="str">
        <f>IF(T24&lt;=_xlfn.PERCENTILE.INC($T24:$T$633,0.33), "Low", IF(T24&lt;=_xlfn.PERCENTILE.INC($T24:$T$633,0.66), "Medium", "High"))</f>
        <v>Low</v>
      </c>
      <c r="V24" s="10">
        <v>0.125</v>
      </c>
      <c r="W24" s="10">
        <f t="shared" si="7"/>
        <v>0.125</v>
      </c>
      <c r="X24" s="12">
        <v>21</v>
      </c>
      <c r="Y24" s="8">
        <f t="shared" si="0"/>
        <v>7643.2649999999994</v>
      </c>
      <c r="Z24" s="8">
        <f t="shared" si="1"/>
        <v>3669.54</v>
      </c>
      <c r="AA24" s="8">
        <f t="shared" si="8"/>
        <v>3973.7249999999995</v>
      </c>
      <c r="AB24" s="10">
        <f t="shared" si="9"/>
        <v>0.51989889137691803</v>
      </c>
      <c r="AC24" s="14">
        <f>_xlfn.MINIFS($C$2:$C$633, $J$2:$J$633, J24)</f>
        <v>44948</v>
      </c>
      <c r="AD24">
        <f>DATEDIF(AC24, C24, "m")</f>
        <v>10</v>
      </c>
      <c r="AE24" s="8">
        <f t="shared" si="10"/>
        <v>363.96499999999997</v>
      </c>
    </row>
    <row r="25" spans="1:31" x14ac:dyDescent="0.3">
      <c r="A25" s="4" t="s">
        <v>163</v>
      </c>
      <c r="B25" s="6">
        <v>45183</v>
      </c>
      <c r="C25" s="14">
        <v>45183</v>
      </c>
      <c r="D25" s="14" t="str">
        <f t="shared" si="2"/>
        <v>Q3 -2023</v>
      </c>
      <c r="E25" s="6">
        <v>45185</v>
      </c>
      <c r="F25" s="6">
        <f t="shared" si="3"/>
        <v>45185</v>
      </c>
      <c r="G25" s="12">
        <f t="shared" si="4"/>
        <v>2</v>
      </c>
      <c r="H25" s="12">
        <f t="shared" si="5"/>
        <v>1</v>
      </c>
      <c r="I25" s="4" t="s">
        <v>649</v>
      </c>
      <c r="J25" s="4" t="s">
        <v>657</v>
      </c>
      <c r="K25" s="4" t="s">
        <v>679</v>
      </c>
      <c r="L25" t="str">
        <f t="shared" si="6"/>
        <v>Europe&gt;France&gt;Lyon</v>
      </c>
      <c r="M25" s="4" t="s">
        <v>703</v>
      </c>
      <c r="N25" s="4" t="s">
        <v>711</v>
      </c>
      <c r="O25" s="4" t="s">
        <v>717</v>
      </c>
      <c r="P25" s="4" t="s">
        <v>728</v>
      </c>
      <c r="Q25" s="4" t="s">
        <v>882</v>
      </c>
      <c r="R25" s="8">
        <v>376.83</v>
      </c>
      <c r="S25" s="8">
        <v>732.88</v>
      </c>
      <c r="T25" s="8">
        <v>732.88</v>
      </c>
      <c r="U25" s="8" t="str">
        <f>IF(T25&lt;=_xlfn.PERCENTILE.INC($T25:$T$633,0.33), "Low", IF(T25&lt;=_xlfn.PERCENTILE.INC($T25:$T$633,0.66), "Medium", "High"))</f>
        <v>Low</v>
      </c>
      <c r="V25" s="10">
        <v>0.188</v>
      </c>
      <c r="W25" s="10">
        <f t="shared" si="7"/>
        <v>0.188</v>
      </c>
      <c r="X25" s="12">
        <v>25</v>
      </c>
      <c r="Y25" s="8">
        <f t="shared" si="0"/>
        <v>14877.464000000002</v>
      </c>
      <c r="Z25" s="8">
        <f t="shared" si="1"/>
        <v>9420.75</v>
      </c>
      <c r="AA25" s="8">
        <f t="shared" si="8"/>
        <v>5456.7140000000018</v>
      </c>
      <c r="AB25" s="10">
        <f t="shared" si="9"/>
        <v>0.36677716040852132</v>
      </c>
      <c r="AC25" s="14">
        <f>_xlfn.MINIFS($C$2:$C$633, $J$2:$J$633, J25)</f>
        <v>44936</v>
      </c>
      <c r="AD25">
        <f>DATEDIF(AC25, C25, "m")</f>
        <v>8</v>
      </c>
      <c r="AE25" s="8">
        <f t="shared" si="10"/>
        <v>595.09856000000002</v>
      </c>
    </row>
    <row r="26" spans="1:31" x14ac:dyDescent="0.3">
      <c r="A26" s="4" t="s">
        <v>239</v>
      </c>
      <c r="B26" s="6">
        <v>45279</v>
      </c>
      <c r="C26" s="14">
        <v>45279</v>
      </c>
      <c r="D26" s="14" t="str">
        <f t="shared" si="2"/>
        <v>Q4 -2023</v>
      </c>
      <c r="E26" s="6">
        <v>45280</v>
      </c>
      <c r="F26" s="6">
        <f t="shared" si="3"/>
        <v>45280</v>
      </c>
      <c r="G26" s="12">
        <f t="shared" si="4"/>
        <v>1</v>
      </c>
      <c r="H26" s="12">
        <f t="shared" si="5"/>
        <v>1</v>
      </c>
      <c r="I26" s="4" t="s">
        <v>648</v>
      </c>
      <c r="J26" s="4" t="s">
        <v>655</v>
      </c>
      <c r="K26" s="4" t="s">
        <v>692</v>
      </c>
      <c r="L26" t="str">
        <f t="shared" si="6"/>
        <v>Americas&gt;Brazil&gt;Rio de Janeiro</v>
      </c>
      <c r="M26" s="4" t="s">
        <v>704</v>
      </c>
      <c r="N26" s="4" t="s">
        <v>710</v>
      </c>
      <c r="O26" s="4" t="s">
        <v>713</v>
      </c>
      <c r="P26" s="4" t="s">
        <v>730</v>
      </c>
      <c r="Q26" s="4" t="s">
        <v>959</v>
      </c>
      <c r="R26" s="8">
        <v>1080.43</v>
      </c>
      <c r="S26" s="8">
        <v>2529.15</v>
      </c>
      <c r="T26" s="8">
        <v>2529.15</v>
      </c>
      <c r="U26" s="8" t="str">
        <f>IF(T26&lt;=_xlfn.PERCENTILE.INC($T26:$T$633,0.33), "Low", IF(T26&lt;=_xlfn.PERCENTILE.INC($T26:$T$633,0.66), "Medium", "High"))</f>
        <v>High</v>
      </c>
      <c r="V26" s="10">
        <v>0.14699999999999999</v>
      </c>
      <c r="W26" s="10">
        <f t="shared" si="7"/>
        <v>0.14699999999999999</v>
      </c>
      <c r="X26" s="12">
        <v>10</v>
      </c>
      <c r="Y26" s="8">
        <f t="shared" si="0"/>
        <v>21573.6495</v>
      </c>
      <c r="Z26" s="8">
        <f t="shared" si="1"/>
        <v>10804.300000000001</v>
      </c>
      <c r="AA26" s="8">
        <f t="shared" si="8"/>
        <v>10769.349499999998</v>
      </c>
      <c r="AB26" s="10">
        <f t="shared" si="9"/>
        <v>0.49918997247081437</v>
      </c>
      <c r="AC26" s="14">
        <f>_xlfn.MINIFS($C$2:$C$633, $J$2:$J$633, J26)</f>
        <v>44955</v>
      </c>
      <c r="AD26">
        <f>DATEDIF(AC26, C26, "m")</f>
        <v>10</v>
      </c>
      <c r="AE26" s="8">
        <f t="shared" si="10"/>
        <v>2157.3649500000001</v>
      </c>
    </row>
    <row r="27" spans="1:31" x14ac:dyDescent="0.3">
      <c r="A27" s="4" t="s">
        <v>205</v>
      </c>
      <c r="B27" s="6">
        <v>45146</v>
      </c>
      <c r="C27" s="14">
        <v>45146</v>
      </c>
      <c r="D27" s="14" t="str">
        <f t="shared" si="2"/>
        <v>Q3 -2023</v>
      </c>
      <c r="E27" s="6">
        <v>45160</v>
      </c>
      <c r="F27" s="6">
        <f t="shared" si="3"/>
        <v>45160</v>
      </c>
      <c r="G27" s="12">
        <f t="shared" si="4"/>
        <v>14</v>
      </c>
      <c r="H27" s="12">
        <f t="shared" si="5"/>
        <v>0</v>
      </c>
      <c r="I27" s="4" t="s">
        <v>649</v>
      </c>
      <c r="J27" s="4" t="s">
        <v>658</v>
      </c>
      <c r="K27" s="4" t="s">
        <v>674</v>
      </c>
      <c r="L27" t="str">
        <f t="shared" si="6"/>
        <v>Europe&gt;United Kingdom&gt;Birmingham</v>
      </c>
      <c r="M27" s="4" t="s">
        <v>703</v>
      </c>
      <c r="N27" s="4" t="s">
        <v>711</v>
      </c>
      <c r="O27" s="4" t="s">
        <v>725</v>
      </c>
      <c r="P27" s="4" t="s">
        <v>732</v>
      </c>
      <c r="Q27" s="4" t="s">
        <v>925</v>
      </c>
      <c r="R27" s="8">
        <v>446.69</v>
      </c>
      <c r="S27" s="8">
        <v>967.25</v>
      </c>
      <c r="T27" s="8">
        <v>967.25</v>
      </c>
      <c r="U27" s="8" t="str">
        <f>IF(T27&lt;=_xlfn.PERCENTILE.INC($T27:$T$633,0.33), "Low", IF(T27&lt;=_xlfn.PERCENTILE.INC($T27:$T$633,0.66), "Medium", "High"))</f>
        <v>Medium</v>
      </c>
      <c r="V27" s="10">
        <v>9.4E-2</v>
      </c>
      <c r="W27" s="10">
        <f t="shared" si="7"/>
        <v>9.4E-2</v>
      </c>
      <c r="X27" s="12">
        <v>10</v>
      </c>
      <c r="Y27" s="8">
        <f t="shared" si="0"/>
        <v>8763.2849999999999</v>
      </c>
      <c r="Z27" s="8">
        <f t="shared" si="1"/>
        <v>4466.8999999999996</v>
      </c>
      <c r="AA27" s="8">
        <f t="shared" si="8"/>
        <v>4296.3850000000002</v>
      </c>
      <c r="AB27" s="10">
        <f t="shared" si="9"/>
        <v>0.49027105702941309</v>
      </c>
      <c r="AC27" s="14">
        <f>_xlfn.MINIFS($C$2:$C$633, $J$2:$J$633, J27)</f>
        <v>44945</v>
      </c>
      <c r="AD27">
        <f>DATEDIF(AC27, C27, "m")</f>
        <v>6</v>
      </c>
      <c r="AE27" s="8">
        <f t="shared" si="10"/>
        <v>876.32849999999996</v>
      </c>
    </row>
    <row r="28" spans="1:31" x14ac:dyDescent="0.3">
      <c r="A28" s="4" t="s">
        <v>362</v>
      </c>
      <c r="B28" s="6">
        <v>45281</v>
      </c>
      <c r="C28" s="14">
        <v>45281</v>
      </c>
      <c r="D28" s="14" t="str">
        <f t="shared" si="2"/>
        <v>Q4 -2023</v>
      </c>
      <c r="E28" s="6">
        <v>45297</v>
      </c>
      <c r="F28" s="6">
        <f t="shared" si="3"/>
        <v>45297</v>
      </c>
      <c r="G28" s="12">
        <f t="shared" si="4"/>
        <v>16</v>
      </c>
      <c r="H28" s="12">
        <f t="shared" si="5"/>
        <v>0</v>
      </c>
      <c r="I28" s="4" t="s">
        <v>646</v>
      </c>
      <c r="J28" s="4" t="s">
        <v>651</v>
      </c>
      <c r="K28" s="4" t="s">
        <v>1422</v>
      </c>
      <c r="L28" t="str">
        <f t="shared" si="6"/>
        <v>Africa&gt;Nigeria&gt;Unknown</v>
      </c>
      <c r="M28" s="4" t="s">
        <v>701</v>
      </c>
      <c r="N28" s="4" t="s">
        <v>709</v>
      </c>
      <c r="O28" s="4" t="s">
        <v>723</v>
      </c>
      <c r="P28" s="4" t="s">
        <v>727</v>
      </c>
      <c r="Q28" s="4" t="s">
        <v>1082</v>
      </c>
      <c r="R28" s="8">
        <v>932.61</v>
      </c>
      <c r="S28" s="8">
        <v>1982.98</v>
      </c>
      <c r="T28" s="8">
        <v>1982.98</v>
      </c>
      <c r="U28" s="8" t="str">
        <f>IF(T28&lt;=_xlfn.PERCENTILE.INC($T28:$T$633,0.33), "Low", IF(T28&lt;=_xlfn.PERCENTILE.INC($T28:$T$633,0.66), "Medium", "High"))</f>
        <v>High</v>
      </c>
      <c r="V28" s="10">
        <v>0.14399999999999999</v>
      </c>
      <c r="W28" s="10">
        <f t="shared" si="7"/>
        <v>0.14399999999999999</v>
      </c>
      <c r="X28" s="12">
        <v>16</v>
      </c>
      <c r="Y28" s="8">
        <f t="shared" si="0"/>
        <v>27158.894079999998</v>
      </c>
      <c r="Z28" s="8">
        <f t="shared" si="1"/>
        <v>14921.76</v>
      </c>
      <c r="AA28" s="8">
        <f t="shared" si="8"/>
        <v>12237.134079999998</v>
      </c>
      <c r="AB28" s="10">
        <f t="shared" si="9"/>
        <v>0.45057556629345635</v>
      </c>
      <c r="AC28" s="14">
        <f>_xlfn.MINIFS($C$2:$C$633, $J$2:$J$633, J28)</f>
        <v>44941</v>
      </c>
      <c r="AD28">
        <f>DATEDIF(AC28, C28, "m")</f>
        <v>11</v>
      </c>
      <c r="AE28" s="8">
        <f t="shared" si="10"/>
        <v>1697.4308799999999</v>
      </c>
    </row>
    <row r="29" spans="1:31" x14ac:dyDescent="0.3">
      <c r="A29" s="4" t="s">
        <v>293</v>
      </c>
      <c r="B29" s="6">
        <v>45229</v>
      </c>
      <c r="C29" s="14">
        <v>45229</v>
      </c>
      <c r="D29" s="14" t="str">
        <f t="shared" si="2"/>
        <v>Q4 -2023</v>
      </c>
      <c r="E29" s="6">
        <v>45244</v>
      </c>
      <c r="F29" s="6">
        <f t="shared" si="3"/>
        <v>45244</v>
      </c>
      <c r="G29" s="12">
        <f t="shared" si="4"/>
        <v>15</v>
      </c>
      <c r="H29" s="12">
        <f t="shared" si="5"/>
        <v>0</v>
      </c>
      <c r="I29" s="4" t="s">
        <v>647</v>
      </c>
      <c r="J29" s="4" t="s">
        <v>654</v>
      </c>
      <c r="K29" s="4" t="s">
        <v>668</v>
      </c>
      <c r="L29" t="str">
        <f t="shared" si="6"/>
        <v>Asia&gt;India&gt;Bengaluru</v>
      </c>
      <c r="M29" s="4" t="s">
        <v>701</v>
      </c>
      <c r="N29" s="4" t="s">
        <v>708</v>
      </c>
      <c r="O29" s="4" t="s">
        <v>721</v>
      </c>
      <c r="P29" s="4" t="s">
        <v>731</v>
      </c>
      <c r="Q29" s="4" t="s">
        <v>1013</v>
      </c>
      <c r="R29" s="8">
        <v>953.46</v>
      </c>
      <c r="S29" s="8">
        <v>2066.75</v>
      </c>
      <c r="T29" s="8">
        <v>2066.75</v>
      </c>
      <c r="U29" s="8" t="str">
        <f>IF(T29&lt;=_xlfn.PERCENTILE.INC($T29:$T$633,0.33), "Low", IF(T29&lt;=_xlfn.PERCENTILE.INC($T29:$T$633,0.66), "Medium", "High"))</f>
        <v>High</v>
      </c>
      <c r="V29" s="10">
        <v>0.13800000000000001</v>
      </c>
      <c r="W29" s="10">
        <f t="shared" si="7"/>
        <v>0.13800000000000001</v>
      </c>
      <c r="X29" s="12">
        <v>5</v>
      </c>
      <c r="Y29" s="8">
        <f t="shared" si="0"/>
        <v>8907.6924999999992</v>
      </c>
      <c r="Z29" s="8">
        <f t="shared" si="1"/>
        <v>4767.3</v>
      </c>
      <c r="AA29" s="8">
        <f t="shared" si="8"/>
        <v>4140.392499999999</v>
      </c>
      <c r="AB29" s="10">
        <f t="shared" si="9"/>
        <v>0.46481089238318446</v>
      </c>
      <c r="AC29" s="14">
        <f>_xlfn.MINIFS($C$2:$C$633, $J$2:$J$633, J29)</f>
        <v>44955</v>
      </c>
      <c r="AD29">
        <f>DATEDIF(AC29, C29, "m")</f>
        <v>9</v>
      </c>
      <c r="AE29" s="8">
        <f t="shared" si="10"/>
        <v>1781.5384999999999</v>
      </c>
    </row>
    <row r="30" spans="1:31" x14ac:dyDescent="0.3">
      <c r="A30" s="4" t="s">
        <v>365</v>
      </c>
      <c r="B30" s="6">
        <v>45262</v>
      </c>
      <c r="C30" s="14">
        <v>45262</v>
      </c>
      <c r="D30" s="14" t="str">
        <f t="shared" si="2"/>
        <v>Q4 -2023</v>
      </c>
      <c r="E30" s="6">
        <v>45276</v>
      </c>
      <c r="F30" s="6">
        <f t="shared" si="3"/>
        <v>45276</v>
      </c>
      <c r="G30" s="12">
        <f t="shared" si="4"/>
        <v>14</v>
      </c>
      <c r="H30" s="12">
        <f t="shared" si="5"/>
        <v>0</v>
      </c>
      <c r="I30" s="4" t="s">
        <v>649</v>
      </c>
      <c r="J30" s="4" t="s">
        <v>656</v>
      </c>
      <c r="K30" s="4" t="s">
        <v>698</v>
      </c>
      <c r="L30" t="str">
        <f t="shared" si="6"/>
        <v>Europe&gt;Germany&gt;Frankfurt</v>
      </c>
      <c r="M30" s="4" t="s">
        <v>702</v>
      </c>
      <c r="N30" s="4" t="s">
        <v>711</v>
      </c>
      <c r="O30" s="4" t="s">
        <v>725</v>
      </c>
      <c r="P30" s="4" t="s">
        <v>732</v>
      </c>
      <c r="Q30" s="4" t="s">
        <v>1085</v>
      </c>
      <c r="R30" s="8">
        <v>879.08</v>
      </c>
      <c r="S30" s="8">
        <v>1093.3900000000001</v>
      </c>
      <c r="T30" s="8">
        <v>1093.3900000000001</v>
      </c>
      <c r="U30" s="8" t="str">
        <f>IF(T30&lt;=_xlfn.PERCENTILE.INC($T30:$T$633,0.33), "Low", IF(T30&lt;=_xlfn.PERCENTILE.INC($T30:$T$633,0.66), "Medium", "High"))</f>
        <v>Medium</v>
      </c>
      <c r="V30" s="10">
        <v>0.113</v>
      </c>
      <c r="W30" s="10">
        <f t="shared" si="7"/>
        <v>0.113</v>
      </c>
      <c r="X30" s="12">
        <v>17</v>
      </c>
      <c r="Y30" s="8">
        <f t="shared" si="0"/>
        <v>16487.22781</v>
      </c>
      <c r="Z30" s="8">
        <f t="shared" si="1"/>
        <v>14944.36</v>
      </c>
      <c r="AA30" s="8">
        <f t="shared" si="8"/>
        <v>1542.8678099999997</v>
      </c>
      <c r="AB30" s="10">
        <f t="shared" si="9"/>
        <v>9.3579577341935186E-2</v>
      </c>
      <c r="AC30" s="14">
        <f>_xlfn.MINIFS($C$2:$C$633, $J$2:$J$633, J30)</f>
        <v>44948</v>
      </c>
      <c r="AD30">
        <f>DATEDIF(AC30, C30, "m")</f>
        <v>10</v>
      </c>
      <c r="AE30" s="8">
        <f t="shared" si="10"/>
        <v>969.83693000000005</v>
      </c>
    </row>
    <row r="31" spans="1:31" x14ac:dyDescent="0.3">
      <c r="A31" s="4" t="s">
        <v>550</v>
      </c>
      <c r="B31" s="6">
        <v>45108</v>
      </c>
      <c r="C31" s="14">
        <v>45108</v>
      </c>
      <c r="D31" s="14" t="str">
        <f t="shared" si="2"/>
        <v>Q3 -2023</v>
      </c>
      <c r="E31" s="6">
        <v>45118</v>
      </c>
      <c r="F31" s="6">
        <f t="shared" si="3"/>
        <v>45118</v>
      </c>
      <c r="G31" s="12">
        <f t="shared" si="4"/>
        <v>10</v>
      </c>
      <c r="H31" s="12">
        <f t="shared" si="5"/>
        <v>0</v>
      </c>
      <c r="I31" s="4" t="s">
        <v>649</v>
      </c>
      <c r="J31" s="4" t="s">
        <v>657</v>
      </c>
      <c r="K31" s="4" t="s">
        <v>690</v>
      </c>
      <c r="L31" t="str">
        <f t="shared" si="6"/>
        <v>Europe&gt;France&gt;Paris</v>
      </c>
      <c r="M31" s="4" t="s">
        <v>701</v>
      </c>
      <c r="N31" s="4" t="s">
        <v>711</v>
      </c>
      <c r="O31" s="4" t="s">
        <v>721</v>
      </c>
      <c r="P31" s="4" t="s">
        <v>729</v>
      </c>
      <c r="Q31" s="4" t="s">
        <v>1269</v>
      </c>
      <c r="R31" s="8">
        <v>479.5</v>
      </c>
      <c r="S31" s="8">
        <v>656.66</v>
      </c>
      <c r="T31" s="8">
        <v>656.66</v>
      </c>
      <c r="U31" s="8" t="str">
        <f>IF(T31&lt;=_xlfn.PERCENTILE.INC($T31:$T$633,0.33), "Low", IF(T31&lt;=_xlfn.PERCENTILE.INC($T31:$T$633,0.66), "Medium", "High"))</f>
        <v>Low</v>
      </c>
      <c r="V31" s="10">
        <v>0.14899999999999999</v>
      </c>
      <c r="W31" s="10">
        <f t="shared" si="7"/>
        <v>0.14899999999999999</v>
      </c>
      <c r="X31" s="12">
        <v>14</v>
      </c>
      <c r="Y31" s="8">
        <f t="shared" si="0"/>
        <v>7823.4472399999995</v>
      </c>
      <c r="Z31" s="8">
        <f t="shared" si="1"/>
        <v>6713</v>
      </c>
      <c r="AA31" s="8">
        <f t="shared" si="8"/>
        <v>1110.4472399999995</v>
      </c>
      <c r="AB31" s="10">
        <f t="shared" si="9"/>
        <v>0.14193835606412289</v>
      </c>
      <c r="AC31" s="14">
        <f>_xlfn.MINIFS($C$2:$C$633, $J$2:$J$633, J31)</f>
        <v>44936</v>
      </c>
      <c r="AD31">
        <f>DATEDIF(AC31, C31, "m")</f>
        <v>5</v>
      </c>
      <c r="AE31" s="8">
        <f t="shared" si="10"/>
        <v>558.81765999999993</v>
      </c>
    </row>
    <row r="32" spans="1:31" x14ac:dyDescent="0.3">
      <c r="A32" s="4" t="s">
        <v>69</v>
      </c>
      <c r="B32" s="6">
        <v>45168</v>
      </c>
      <c r="C32" s="14">
        <v>45168</v>
      </c>
      <c r="D32" s="14" t="str">
        <f t="shared" si="2"/>
        <v>Q3 -2023</v>
      </c>
      <c r="E32" s="6">
        <v>45170</v>
      </c>
      <c r="F32" s="6">
        <f t="shared" si="3"/>
        <v>45170</v>
      </c>
      <c r="G32" s="12">
        <f t="shared" si="4"/>
        <v>2</v>
      </c>
      <c r="H32" s="12">
        <f t="shared" si="5"/>
        <v>1</v>
      </c>
      <c r="I32" s="4" t="s">
        <v>649</v>
      </c>
      <c r="J32" s="4" t="s">
        <v>656</v>
      </c>
      <c r="K32" s="4" t="s">
        <v>684</v>
      </c>
      <c r="L32" t="str">
        <f t="shared" si="6"/>
        <v>Europe&gt;Germany&gt;Munich</v>
      </c>
      <c r="M32" s="4" t="s">
        <v>701</v>
      </c>
      <c r="N32" s="4" t="s">
        <v>711</v>
      </c>
      <c r="O32" s="4" t="s">
        <v>725</v>
      </c>
      <c r="P32" s="4" t="s">
        <v>729</v>
      </c>
      <c r="Q32" s="4" t="s">
        <v>788</v>
      </c>
      <c r="R32" s="8">
        <v>44.42</v>
      </c>
      <c r="S32" s="8">
        <v>41.9</v>
      </c>
      <c r="T32" s="8">
        <v>41.9</v>
      </c>
      <c r="U32" s="8" t="str">
        <f>IF(T32&lt;=_xlfn.PERCENTILE.INC($T32:$T$633,0.33), "Low", IF(T32&lt;=_xlfn.PERCENTILE.INC($T32:$T$633,0.66), "Medium", "High"))</f>
        <v>Low</v>
      </c>
      <c r="V32" s="10">
        <v>0.14399999999999999</v>
      </c>
      <c r="W32" s="10">
        <f t="shared" si="7"/>
        <v>0.14399999999999999</v>
      </c>
      <c r="X32" s="12">
        <v>6</v>
      </c>
      <c r="Y32" s="8">
        <f t="shared" si="0"/>
        <v>215.19839999999996</v>
      </c>
      <c r="Z32" s="8">
        <f t="shared" si="1"/>
        <v>266.52</v>
      </c>
      <c r="AA32" s="8">
        <f t="shared" si="8"/>
        <v>-51.321600000000018</v>
      </c>
      <c r="AB32" s="10">
        <f t="shared" si="9"/>
        <v>-0.23848504449847224</v>
      </c>
      <c r="AC32" s="14">
        <f>_xlfn.MINIFS($C$2:$C$633, $J$2:$J$633, J32)</f>
        <v>44948</v>
      </c>
      <c r="AD32">
        <f>DATEDIF(AC32, C32, "m")</f>
        <v>7</v>
      </c>
      <c r="AE32" s="8">
        <f t="shared" si="10"/>
        <v>35.866399999999992</v>
      </c>
    </row>
    <row r="33" spans="1:31" x14ac:dyDescent="0.3">
      <c r="A33" s="4" t="s">
        <v>80</v>
      </c>
      <c r="B33" s="6">
        <v>45263</v>
      </c>
      <c r="C33" s="14">
        <v>45263</v>
      </c>
      <c r="D33" s="14" t="str">
        <f t="shared" si="2"/>
        <v>Q4 -2023</v>
      </c>
      <c r="E33" s="6">
        <v>45286</v>
      </c>
      <c r="F33" s="6">
        <f t="shared" si="3"/>
        <v>45286</v>
      </c>
      <c r="G33" s="12">
        <f t="shared" si="4"/>
        <v>23</v>
      </c>
      <c r="H33" s="12">
        <f t="shared" si="5"/>
        <v>0</v>
      </c>
      <c r="I33" s="4" t="s">
        <v>648</v>
      </c>
      <c r="J33" s="4" t="s">
        <v>655</v>
      </c>
      <c r="K33" s="4" t="s">
        <v>692</v>
      </c>
      <c r="L33" t="str">
        <f t="shared" si="6"/>
        <v>Americas&gt;Brazil&gt;Rio de Janeiro</v>
      </c>
      <c r="M33" s="4" t="s">
        <v>702</v>
      </c>
      <c r="N33" s="4" t="s">
        <v>707</v>
      </c>
      <c r="O33" s="4" t="s">
        <v>719</v>
      </c>
      <c r="P33" s="4" t="s">
        <v>730</v>
      </c>
      <c r="Q33" s="4" t="s">
        <v>799</v>
      </c>
      <c r="R33" s="8">
        <v>1303.1099999999999</v>
      </c>
      <c r="S33" s="8">
        <v>1145.67</v>
      </c>
      <c r="T33" s="8">
        <v>1145.67</v>
      </c>
      <c r="U33" s="8" t="str">
        <f>IF(T33&lt;=_xlfn.PERCENTILE.INC($T33:$T$633,0.33), "Low", IF(T33&lt;=_xlfn.PERCENTILE.INC($T33:$T$633,0.66), "Medium", "High"))</f>
        <v>Medium</v>
      </c>
      <c r="V33" s="10">
        <v>0.184</v>
      </c>
      <c r="W33" s="10">
        <f t="shared" si="7"/>
        <v>0.184</v>
      </c>
      <c r="X33" s="12">
        <v>13</v>
      </c>
      <c r="Y33" s="8">
        <f t="shared" si="0"/>
        <v>12153.267360000002</v>
      </c>
      <c r="Z33" s="8">
        <f t="shared" si="1"/>
        <v>16940.43</v>
      </c>
      <c r="AA33" s="8">
        <f t="shared" si="8"/>
        <v>-4787.1626399999986</v>
      </c>
      <c r="AB33" s="10">
        <f t="shared" si="9"/>
        <v>-0.39389922875851208</v>
      </c>
      <c r="AC33" s="14">
        <f>_xlfn.MINIFS($C$2:$C$633, $J$2:$J$633, J33)</f>
        <v>44955</v>
      </c>
      <c r="AD33">
        <f>DATEDIF(AC33, C33, "m")</f>
        <v>10</v>
      </c>
      <c r="AE33" s="8">
        <f t="shared" si="10"/>
        <v>934.8667200000001</v>
      </c>
    </row>
    <row r="34" spans="1:31" x14ac:dyDescent="0.3">
      <c r="A34" s="4" t="s">
        <v>178</v>
      </c>
      <c r="B34" s="6">
        <v>45010</v>
      </c>
      <c r="C34" s="14">
        <v>45010</v>
      </c>
      <c r="D34" s="14" t="str">
        <f t="shared" si="2"/>
        <v>Q1 -2023</v>
      </c>
      <c r="E34" s="6">
        <v>45011</v>
      </c>
      <c r="F34" s="6">
        <f t="shared" si="3"/>
        <v>45011</v>
      </c>
      <c r="G34" s="12">
        <f t="shared" si="4"/>
        <v>1</v>
      </c>
      <c r="H34" s="12">
        <f t="shared" si="5"/>
        <v>1</v>
      </c>
      <c r="I34" s="4" t="s">
        <v>647</v>
      </c>
      <c r="J34" s="4" t="s">
        <v>652</v>
      </c>
      <c r="K34" s="4" t="s">
        <v>666</v>
      </c>
      <c r="L34" t="str">
        <f t="shared" si="6"/>
        <v>Asia&gt;Japan&gt;Osaka</v>
      </c>
      <c r="M34" s="4" t="s">
        <v>705</v>
      </c>
      <c r="N34" s="4" t="s">
        <v>710</v>
      </c>
      <c r="O34" s="4" t="s">
        <v>714</v>
      </c>
      <c r="P34" s="4" t="s">
        <v>732</v>
      </c>
      <c r="Q34" s="4" t="s">
        <v>897</v>
      </c>
      <c r="R34" s="8">
        <v>135.12</v>
      </c>
      <c r="S34" s="8">
        <v>301.7</v>
      </c>
      <c r="T34" s="8">
        <v>301.7</v>
      </c>
      <c r="U34" s="8" t="str">
        <f>IF(T34&lt;=_xlfn.PERCENTILE.INC($T34:$T$633,0.33), "Low", IF(T34&lt;=_xlfn.PERCENTILE.INC($T34:$T$633,0.66), "Medium", "High"))</f>
        <v>Low</v>
      </c>
      <c r="V34" s="10">
        <v>0.14000000000000001</v>
      </c>
      <c r="W34" s="10">
        <f t="shared" si="7"/>
        <v>0.14000000000000001</v>
      </c>
      <c r="X34" s="12">
        <v>47</v>
      </c>
      <c r="Y34" s="8">
        <f t="shared" si="0"/>
        <v>12194.714</v>
      </c>
      <c r="Z34" s="8">
        <f t="shared" si="1"/>
        <v>6350.64</v>
      </c>
      <c r="AA34" s="8">
        <f t="shared" si="8"/>
        <v>5844.0739999999996</v>
      </c>
      <c r="AB34" s="10">
        <f t="shared" si="9"/>
        <v>0.47923009920527859</v>
      </c>
      <c r="AC34" s="14">
        <f>_xlfn.MINIFS($C$2:$C$633, $J$2:$J$633, J34)</f>
        <v>44988</v>
      </c>
      <c r="AD34">
        <f>DATEDIF(AC34, C34, "m")</f>
        <v>0</v>
      </c>
      <c r="AE34" s="8">
        <f t="shared" si="10"/>
        <v>259.46199999999999</v>
      </c>
    </row>
    <row r="35" spans="1:31" x14ac:dyDescent="0.3">
      <c r="A35" s="4" t="s">
        <v>485</v>
      </c>
      <c r="B35" s="6">
        <v>45167</v>
      </c>
      <c r="C35" s="14">
        <v>45167</v>
      </c>
      <c r="D35" s="14" t="str">
        <f t="shared" si="2"/>
        <v>Q3 -2023</v>
      </c>
      <c r="E35" s="6">
        <v>45188</v>
      </c>
      <c r="F35" s="6">
        <f t="shared" si="3"/>
        <v>45188</v>
      </c>
      <c r="G35" s="12">
        <f t="shared" si="4"/>
        <v>21</v>
      </c>
      <c r="H35" s="12">
        <f t="shared" si="5"/>
        <v>0</v>
      </c>
      <c r="I35" s="4" t="s">
        <v>649</v>
      </c>
      <c r="J35" s="4" t="s">
        <v>657</v>
      </c>
      <c r="K35" s="4" t="s">
        <v>679</v>
      </c>
      <c r="L35" t="str">
        <f t="shared" si="6"/>
        <v>Europe&gt;France&gt;Lyon</v>
      </c>
      <c r="M35" s="4" t="s">
        <v>705</v>
      </c>
      <c r="N35" s="4" t="s">
        <v>711</v>
      </c>
      <c r="O35" s="4" t="s">
        <v>717</v>
      </c>
      <c r="P35" s="4" t="s">
        <v>728</v>
      </c>
      <c r="Q35" s="4" t="s">
        <v>1204</v>
      </c>
      <c r="R35" s="8">
        <v>784.46</v>
      </c>
      <c r="S35" s="8">
        <v>1843.51</v>
      </c>
      <c r="T35" s="8">
        <v>1843.51</v>
      </c>
      <c r="U35" s="8" t="str">
        <f>IF(T35&lt;=_xlfn.PERCENTILE.INC($T35:$T$633,0.33), "Low", IF(T35&lt;=_xlfn.PERCENTILE.INC($T35:$T$633,0.66), "Medium", "High"))</f>
        <v>High</v>
      </c>
      <c r="V35" s="10">
        <v>0.13800000000000001</v>
      </c>
      <c r="W35" s="10">
        <f t="shared" si="7"/>
        <v>0.13800000000000001</v>
      </c>
      <c r="X35" s="12">
        <v>23</v>
      </c>
      <c r="Y35" s="8">
        <f t="shared" si="0"/>
        <v>36549.429260000004</v>
      </c>
      <c r="Z35" s="8">
        <f t="shared" si="1"/>
        <v>18042.580000000002</v>
      </c>
      <c r="AA35" s="8">
        <f t="shared" si="8"/>
        <v>18506.849260000003</v>
      </c>
      <c r="AB35" s="10">
        <f t="shared" si="9"/>
        <v>0.50635125184441798</v>
      </c>
      <c r="AC35" s="14">
        <f>_xlfn.MINIFS($C$2:$C$633, $J$2:$J$633, J35)</f>
        <v>44936</v>
      </c>
      <c r="AD35">
        <f>DATEDIF(AC35, C35, "m")</f>
        <v>7</v>
      </c>
      <c r="AE35" s="8">
        <f t="shared" si="10"/>
        <v>1589.1056200000003</v>
      </c>
    </row>
    <row r="36" spans="1:31" x14ac:dyDescent="0.3">
      <c r="A36" s="4" t="s">
        <v>595</v>
      </c>
      <c r="B36" s="6">
        <v>45080</v>
      </c>
      <c r="C36" s="14">
        <v>45080</v>
      </c>
      <c r="D36" s="14" t="str">
        <f t="shared" si="2"/>
        <v>Q2 -2023</v>
      </c>
      <c r="E36" s="6">
        <v>45108</v>
      </c>
      <c r="F36" s="6">
        <f t="shared" si="3"/>
        <v>45108</v>
      </c>
      <c r="G36" s="12">
        <f t="shared" si="4"/>
        <v>28</v>
      </c>
      <c r="H36" s="12">
        <f t="shared" si="5"/>
        <v>0</v>
      </c>
      <c r="I36" s="4" t="s">
        <v>648</v>
      </c>
      <c r="J36" s="4" t="s">
        <v>655</v>
      </c>
      <c r="K36" s="4" t="s">
        <v>672</v>
      </c>
      <c r="L36" t="str">
        <f t="shared" si="6"/>
        <v>Americas&gt;Brazil&gt;Brasília</v>
      </c>
      <c r="M36" s="4" t="s">
        <v>705</v>
      </c>
      <c r="N36" s="4" t="s">
        <v>709</v>
      </c>
      <c r="O36" s="4" t="s">
        <v>720</v>
      </c>
      <c r="P36" s="4" t="s">
        <v>727</v>
      </c>
      <c r="Q36" s="4" t="s">
        <v>1313</v>
      </c>
      <c r="R36" s="8">
        <v>860.4</v>
      </c>
      <c r="S36" s="8">
        <v>2066.6</v>
      </c>
      <c r="T36" s="8">
        <v>2066.6</v>
      </c>
      <c r="U36" s="8" t="str">
        <f>IF(T36&lt;=_xlfn.PERCENTILE.INC($T36:$T$633,0.33), "Low", IF(T36&lt;=_xlfn.PERCENTILE.INC($T36:$T$633,0.66), "Medium", "High"))</f>
        <v>High</v>
      </c>
      <c r="V36" s="10">
        <v>0.01</v>
      </c>
      <c r="W36" s="10">
        <f t="shared" si="7"/>
        <v>0.01</v>
      </c>
      <c r="X36" s="12">
        <v>3</v>
      </c>
      <c r="Y36" s="8">
        <f t="shared" si="0"/>
        <v>6137.8019999999988</v>
      </c>
      <c r="Z36" s="8">
        <f t="shared" si="1"/>
        <v>2581.1999999999998</v>
      </c>
      <c r="AA36" s="8">
        <f t="shared" si="8"/>
        <v>3556.601999999999</v>
      </c>
      <c r="AB36" s="10">
        <f t="shared" si="9"/>
        <v>0.57945857491004105</v>
      </c>
      <c r="AC36" s="14">
        <f>_xlfn.MINIFS($C$2:$C$633, $J$2:$J$633, J36)</f>
        <v>44955</v>
      </c>
      <c r="AD36">
        <f>DATEDIF(AC36, C36, "m")</f>
        <v>4</v>
      </c>
      <c r="AE36" s="8">
        <f t="shared" si="10"/>
        <v>2045.9339999999995</v>
      </c>
    </row>
    <row r="37" spans="1:31" x14ac:dyDescent="0.3">
      <c r="A37" s="4" t="s">
        <v>640</v>
      </c>
      <c r="B37" s="6">
        <v>45282</v>
      </c>
      <c r="C37" s="14">
        <v>45282</v>
      </c>
      <c r="D37" s="14" t="str">
        <f t="shared" si="2"/>
        <v>Q4 -2023</v>
      </c>
      <c r="E37" s="6">
        <v>45307</v>
      </c>
      <c r="F37" s="6">
        <f t="shared" si="3"/>
        <v>45307</v>
      </c>
      <c r="G37" s="12">
        <f t="shared" si="4"/>
        <v>25</v>
      </c>
      <c r="H37" s="12">
        <f t="shared" si="5"/>
        <v>0</v>
      </c>
      <c r="I37" s="4" t="s">
        <v>647</v>
      </c>
      <c r="J37" s="4" t="s">
        <v>654</v>
      </c>
      <c r="K37" s="4" t="s">
        <v>696</v>
      </c>
      <c r="L37" t="str">
        <f t="shared" si="6"/>
        <v>Asia&gt;India&gt;Hyderabad</v>
      </c>
      <c r="M37" s="4" t="s">
        <v>705</v>
      </c>
      <c r="N37" s="4" t="s">
        <v>707</v>
      </c>
      <c r="O37" s="4" t="s">
        <v>720</v>
      </c>
      <c r="P37" s="4" t="s">
        <v>727</v>
      </c>
      <c r="Q37" s="4" t="s">
        <v>1358</v>
      </c>
      <c r="R37" s="8">
        <v>1346.81</v>
      </c>
      <c r="S37" s="8">
        <v>978.09</v>
      </c>
      <c r="T37" s="8">
        <v>978.09</v>
      </c>
      <c r="U37" s="8" t="str">
        <f>IF(T37&lt;=_xlfn.PERCENTILE.INC($T37:$T$633,0.33), "Low", IF(T37&lt;=_xlfn.PERCENTILE.INC($T37:$T$633,0.66), "Medium", "High"))</f>
        <v>Medium</v>
      </c>
      <c r="V37" s="10">
        <v>0.159</v>
      </c>
      <c r="W37" s="10">
        <f t="shared" si="7"/>
        <v>0.159</v>
      </c>
      <c r="X37" s="12">
        <v>17</v>
      </c>
      <c r="Y37" s="8">
        <f t="shared" si="0"/>
        <v>13983.752729999998</v>
      </c>
      <c r="Z37" s="8">
        <f t="shared" si="1"/>
        <v>22895.77</v>
      </c>
      <c r="AA37" s="8">
        <f t="shared" si="8"/>
        <v>-8912.0172700000021</v>
      </c>
      <c r="AB37" s="10">
        <f t="shared" si="9"/>
        <v>-0.6373122753293996</v>
      </c>
      <c r="AC37" s="14">
        <f>_xlfn.MINIFS($C$2:$C$633, $J$2:$J$633, J37)</f>
        <v>44955</v>
      </c>
      <c r="AD37">
        <f>DATEDIF(AC37, C37, "m")</f>
        <v>10</v>
      </c>
      <c r="AE37" s="8">
        <f t="shared" si="10"/>
        <v>822.57368999999994</v>
      </c>
    </row>
    <row r="38" spans="1:31" x14ac:dyDescent="0.3">
      <c r="A38" s="4" t="s">
        <v>121</v>
      </c>
      <c r="B38" s="6">
        <v>45057</v>
      </c>
      <c r="C38" s="14">
        <v>45057</v>
      </c>
      <c r="D38" s="14" t="str">
        <f t="shared" si="2"/>
        <v>Q2 -2023</v>
      </c>
      <c r="E38" s="6">
        <v>45084</v>
      </c>
      <c r="F38" s="6">
        <f t="shared" si="3"/>
        <v>45084</v>
      </c>
      <c r="G38" s="12">
        <f t="shared" si="4"/>
        <v>27</v>
      </c>
      <c r="H38" s="12">
        <f t="shared" si="5"/>
        <v>0</v>
      </c>
      <c r="I38" s="4" t="s">
        <v>646</v>
      </c>
      <c r="J38" s="4" t="s">
        <v>650</v>
      </c>
      <c r="K38" s="4" t="s">
        <v>675</v>
      </c>
      <c r="L38" t="str">
        <f t="shared" si="6"/>
        <v>Africa&gt;Kenya&gt;Mombasa</v>
      </c>
      <c r="M38" s="4" t="s">
        <v>701</v>
      </c>
      <c r="N38" s="4" t="s">
        <v>708</v>
      </c>
      <c r="O38" s="4" t="s">
        <v>713</v>
      </c>
      <c r="P38" s="4" t="s">
        <v>730</v>
      </c>
      <c r="Q38" s="4" t="s">
        <v>840</v>
      </c>
      <c r="R38" s="8">
        <v>12.85</v>
      </c>
      <c r="S38" s="8">
        <v>15.41</v>
      </c>
      <c r="T38" s="8">
        <v>15.41</v>
      </c>
      <c r="U38" s="8" t="str">
        <f>IF(T38&lt;=_xlfn.PERCENTILE.INC($T38:$T$633,0.33), "Low", IF(T38&lt;=_xlfn.PERCENTILE.INC($T38:$T$633,0.66), "Medium", "High"))</f>
        <v>Low</v>
      </c>
      <c r="V38" s="10">
        <v>0.13700000000000001</v>
      </c>
      <c r="W38" s="10">
        <f t="shared" si="7"/>
        <v>0.13700000000000001</v>
      </c>
      <c r="X38" s="12">
        <v>39</v>
      </c>
      <c r="Y38" s="8">
        <f t="shared" si="0"/>
        <v>518.65436999999997</v>
      </c>
      <c r="Z38" s="8">
        <f t="shared" si="1"/>
        <v>501.15</v>
      </c>
      <c r="AA38" s="8">
        <f t="shared" si="8"/>
        <v>17.504369999999994</v>
      </c>
      <c r="AB38" s="10">
        <f t="shared" si="9"/>
        <v>3.3749585489851353E-2</v>
      </c>
      <c r="AC38" s="14">
        <f>_xlfn.MINIFS($C$2:$C$633, $J$2:$J$633, J38)</f>
        <v>44946</v>
      </c>
      <c r="AD38">
        <f>DATEDIF(AC38, C38, "m")</f>
        <v>3</v>
      </c>
      <c r="AE38" s="8">
        <f t="shared" si="10"/>
        <v>13.298829999999999</v>
      </c>
    </row>
    <row r="39" spans="1:31" x14ac:dyDescent="0.3">
      <c r="A39" s="4" t="s">
        <v>284</v>
      </c>
      <c r="B39" s="6">
        <v>45141</v>
      </c>
      <c r="C39" s="14">
        <v>45141</v>
      </c>
      <c r="D39" s="14" t="str">
        <f t="shared" si="2"/>
        <v>Q3 -2023</v>
      </c>
      <c r="E39" s="6">
        <v>45152</v>
      </c>
      <c r="F39" s="6">
        <f t="shared" si="3"/>
        <v>45152</v>
      </c>
      <c r="G39" s="12">
        <f t="shared" si="4"/>
        <v>11</v>
      </c>
      <c r="H39" s="12">
        <f t="shared" si="5"/>
        <v>0</v>
      </c>
      <c r="I39" s="4" t="s">
        <v>648</v>
      </c>
      <c r="J39" s="4" t="s">
        <v>655</v>
      </c>
      <c r="K39" s="4" t="s">
        <v>672</v>
      </c>
      <c r="L39" t="str">
        <f t="shared" si="6"/>
        <v>Americas&gt;Brazil&gt;Brasília</v>
      </c>
      <c r="M39" s="4" t="s">
        <v>701</v>
      </c>
      <c r="N39" s="4" t="s">
        <v>711</v>
      </c>
      <c r="O39" s="4" t="s">
        <v>713</v>
      </c>
      <c r="P39" s="4" t="s">
        <v>733</v>
      </c>
      <c r="Q39" s="4" t="s">
        <v>1004</v>
      </c>
      <c r="R39" s="8">
        <v>232.73</v>
      </c>
      <c r="S39" s="8">
        <v>334.19</v>
      </c>
      <c r="T39" s="8">
        <v>334.19</v>
      </c>
      <c r="U39" s="8" t="str">
        <f>IF(T39&lt;=_xlfn.PERCENTILE.INC($T39:$T$633,0.33), "Low", IF(T39&lt;=_xlfn.PERCENTILE.INC($T39:$T$633,0.66), "Medium", "High"))</f>
        <v>Low</v>
      </c>
      <c r="V39" s="10">
        <v>0.13400000000000001</v>
      </c>
      <c r="W39" s="10">
        <f t="shared" si="7"/>
        <v>0.13400000000000001</v>
      </c>
      <c r="X39" s="12">
        <v>25</v>
      </c>
      <c r="Y39" s="8">
        <f t="shared" si="0"/>
        <v>7235.2134999999998</v>
      </c>
      <c r="Z39" s="8">
        <f t="shared" si="1"/>
        <v>5818.25</v>
      </c>
      <c r="AA39" s="8">
        <f t="shared" si="8"/>
        <v>1416.9634999999998</v>
      </c>
      <c r="AB39" s="10">
        <f t="shared" si="9"/>
        <v>0.1958426658729559</v>
      </c>
      <c r="AC39" s="14">
        <f>_xlfn.MINIFS($C$2:$C$633, $J$2:$J$633, J39)</f>
        <v>44955</v>
      </c>
      <c r="AD39">
        <f>DATEDIF(AC39, C39, "m")</f>
        <v>6</v>
      </c>
      <c r="AE39" s="8">
        <f t="shared" si="10"/>
        <v>289.40854000000002</v>
      </c>
    </row>
    <row r="40" spans="1:31" x14ac:dyDescent="0.3">
      <c r="A40" s="4" t="s">
        <v>271</v>
      </c>
      <c r="B40" s="6">
        <v>45035</v>
      </c>
      <c r="C40" s="14">
        <v>45035</v>
      </c>
      <c r="D40" s="14" t="str">
        <f t="shared" si="2"/>
        <v>Q2 -2023</v>
      </c>
      <c r="E40" s="6">
        <v>45053</v>
      </c>
      <c r="F40" s="6">
        <f t="shared" si="3"/>
        <v>45053</v>
      </c>
      <c r="G40" s="12">
        <f t="shared" si="4"/>
        <v>18</v>
      </c>
      <c r="H40" s="12">
        <f t="shared" si="5"/>
        <v>0</v>
      </c>
      <c r="I40" s="4" t="s">
        <v>649</v>
      </c>
      <c r="J40" s="4" t="s">
        <v>658</v>
      </c>
      <c r="K40" s="4" t="s">
        <v>683</v>
      </c>
      <c r="L40" t="str">
        <f t="shared" si="6"/>
        <v>Europe&gt;United Kingdom&gt;London</v>
      </c>
      <c r="M40" s="4" t="s">
        <v>703</v>
      </c>
      <c r="N40" s="4" t="s">
        <v>711</v>
      </c>
      <c r="O40" s="4" t="s">
        <v>722</v>
      </c>
      <c r="P40" s="4" t="s">
        <v>729</v>
      </c>
      <c r="Q40" s="4" t="s">
        <v>991</v>
      </c>
      <c r="R40" s="8">
        <v>516.96</v>
      </c>
      <c r="S40" s="8">
        <v>745.38</v>
      </c>
      <c r="T40" s="8">
        <v>745.38</v>
      </c>
      <c r="U40" s="8" t="str">
        <f>IF(T40&lt;=_xlfn.PERCENTILE.INC($T40:$T$633,0.33), "Low", IF(T40&lt;=_xlfn.PERCENTILE.INC($T40:$T$633,0.66), "Medium", "High"))</f>
        <v>Low</v>
      </c>
      <c r="V40" s="10">
        <v>0.19700000000000001</v>
      </c>
      <c r="W40" s="10">
        <f t="shared" si="7"/>
        <v>0.19700000000000001</v>
      </c>
      <c r="X40" s="12">
        <v>4</v>
      </c>
      <c r="Y40" s="8">
        <f t="shared" si="0"/>
        <v>2394.1605599999998</v>
      </c>
      <c r="Z40" s="8">
        <f t="shared" si="1"/>
        <v>2067.84</v>
      </c>
      <c r="AA40" s="8">
        <f t="shared" si="8"/>
        <v>326.32055999999966</v>
      </c>
      <c r="AB40" s="10">
        <f t="shared" si="9"/>
        <v>0.13629852794835101</v>
      </c>
      <c r="AC40" s="14">
        <f>_xlfn.MINIFS($C$2:$C$633, $J$2:$J$633, J40)</f>
        <v>44945</v>
      </c>
      <c r="AD40">
        <f>DATEDIF(AC40, C40, "m")</f>
        <v>3</v>
      </c>
      <c r="AE40" s="8">
        <f t="shared" si="10"/>
        <v>598.54013999999995</v>
      </c>
    </row>
    <row r="41" spans="1:31" x14ac:dyDescent="0.3">
      <c r="A41" s="4" t="s">
        <v>104</v>
      </c>
      <c r="B41" s="6">
        <v>45106</v>
      </c>
      <c r="C41" s="14">
        <v>45106</v>
      </c>
      <c r="D41" s="14" t="str">
        <f t="shared" si="2"/>
        <v>Q2 -2023</v>
      </c>
      <c r="E41" s="6">
        <v>45109</v>
      </c>
      <c r="F41" s="6">
        <f t="shared" si="3"/>
        <v>45109</v>
      </c>
      <c r="G41" s="12">
        <f t="shared" si="4"/>
        <v>3</v>
      </c>
      <c r="H41" s="12">
        <f t="shared" si="5"/>
        <v>1</v>
      </c>
      <c r="I41" s="4" t="s">
        <v>647</v>
      </c>
      <c r="J41" s="4" t="s">
        <v>652</v>
      </c>
      <c r="K41" s="4" t="s">
        <v>694</v>
      </c>
      <c r="L41" t="str">
        <f t="shared" si="6"/>
        <v>Asia&gt;Japan&gt;Nagoya</v>
      </c>
      <c r="M41" s="4" t="s">
        <v>702</v>
      </c>
      <c r="N41" s="4" t="s">
        <v>709</v>
      </c>
      <c r="O41" s="4" t="s">
        <v>721</v>
      </c>
      <c r="P41" s="4" t="s">
        <v>732</v>
      </c>
      <c r="Q41" s="4" t="s">
        <v>823</v>
      </c>
      <c r="R41" s="8">
        <v>55.65</v>
      </c>
      <c r="S41" s="8">
        <v>83.57</v>
      </c>
      <c r="T41" s="8">
        <v>83.57</v>
      </c>
      <c r="U41" s="8" t="str">
        <f>IF(T41&lt;=_xlfn.PERCENTILE.INC($T41:$T$633,0.33), "Low", IF(T41&lt;=_xlfn.PERCENTILE.INC($T41:$T$633,0.66), "Medium", "High"))</f>
        <v>Low</v>
      </c>
      <c r="V41" s="10">
        <v>6.6000000000000003E-2</v>
      </c>
      <c r="W41" s="10">
        <f t="shared" si="7"/>
        <v>6.6000000000000003E-2</v>
      </c>
      <c r="X41" s="12">
        <v>8</v>
      </c>
      <c r="Y41" s="8">
        <f t="shared" si="0"/>
        <v>624.43503999999996</v>
      </c>
      <c r="Z41" s="8">
        <f t="shared" si="1"/>
        <v>445.2</v>
      </c>
      <c r="AA41" s="8">
        <f t="shared" si="8"/>
        <v>179.23503999999997</v>
      </c>
      <c r="AB41" s="10">
        <f t="shared" si="9"/>
        <v>0.2870355257449998</v>
      </c>
      <c r="AC41" s="14">
        <f>_xlfn.MINIFS($C$2:$C$633, $J$2:$J$633, J41)</f>
        <v>44988</v>
      </c>
      <c r="AD41">
        <f>DATEDIF(AC41, C41, "m")</f>
        <v>3</v>
      </c>
      <c r="AE41" s="8">
        <f t="shared" si="10"/>
        <v>78.054379999999995</v>
      </c>
    </row>
    <row r="42" spans="1:31" x14ac:dyDescent="0.3">
      <c r="A42" s="4" t="s">
        <v>354</v>
      </c>
      <c r="B42" s="6">
        <v>45131</v>
      </c>
      <c r="C42" s="14">
        <v>45131</v>
      </c>
      <c r="D42" s="14" t="str">
        <f t="shared" si="2"/>
        <v>Q3 -2023</v>
      </c>
      <c r="E42" s="6">
        <v>45157</v>
      </c>
      <c r="F42" s="6">
        <f t="shared" si="3"/>
        <v>45157</v>
      </c>
      <c r="G42" s="12">
        <f t="shared" si="4"/>
        <v>26</v>
      </c>
      <c r="H42" s="12">
        <f t="shared" si="5"/>
        <v>0</v>
      </c>
      <c r="I42" s="4" t="s">
        <v>646</v>
      </c>
      <c r="J42" s="4" t="s">
        <v>650</v>
      </c>
      <c r="K42" s="4" t="s">
        <v>664</v>
      </c>
      <c r="L42" t="str">
        <f t="shared" si="6"/>
        <v>Africa&gt;Kenya&gt;Nairobi</v>
      </c>
      <c r="M42" s="4" t="s">
        <v>706</v>
      </c>
      <c r="N42" s="4" t="s">
        <v>710</v>
      </c>
      <c r="O42" s="4" t="s">
        <v>724</v>
      </c>
      <c r="P42" s="4" t="s">
        <v>733</v>
      </c>
      <c r="Q42" s="4" t="s">
        <v>1074</v>
      </c>
      <c r="R42" s="8">
        <v>661.45</v>
      </c>
      <c r="S42" s="8">
        <v>1634.86</v>
      </c>
      <c r="T42" s="8">
        <v>1634.86</v>
      </c>
      <c r="U42" s="8" t="str">
        <f>IF(T42&lt;=_xlfn.PERCENTILE.INC($T42:$T$633,0.33), "Low", IF(T42&lt;=_xlfn.PERCENTILE.INC($T42:$T$633,0.66), "Medium", "High"))</f>
        <v>High</v>
      </c>
      <c r="V42" s="10">
        <v>0.56499999999999995</v>
      </c>
      <c r="W42" s="10">
        <f t="shared" si="7"/>
        <v>0.3</v>
      </c>
      <c r="X42" s="12">
        <v>24</v>
      </c>
      <c r="Y42" s="8">
        <f t="shared" si="0"/>
        <v>27465.647999999997</v>
      </c>
      <c r="Z42" s="8">
        <f t="shared" si="1"/>
        <v>15874.800000000001</v>
      </c>
      <c r="AA42" s="8">
        <f t="shared" si="8"/>
        <v>11590.847999999996</v>
      </c>
      <c r="AB42" s="10">
        <f t="shared" si="9"/>
        <v>0.42201254454291404</v>
      </c>
      <c r="AC42" s="14">
        <f>_xlfn.MINIFS($C$2:$C$633, $J$2:$J$633, J42)</f>
        <v>44946</v>
      </c>
      <c r="AD42">
        <f>DATEDIF(AC42, C42, "m")</f>
        <v>6</v>
      </c>
      <c r="AE42" s="8">
        <f t="shared" si="10"/>
        <v>1144.4019999999998</v>
      </c>
    </row>
    <row r="43" spans="1:31" x14ac:dyDescent="0.3">
      <c r="A43" s="4" t="s">
        <v>39</v>
      </c>
      <c r="B43" s="6">
        <v>44964</v>
      </c>
      <c r="C43" s="14">
        <v>44964</v>
      </c>
      <c r="D43" s="14" t="str">
        <f t="shared" si="2"/>
        <v>Q1 -2023</v>
      </c>
      <c r="E43" s="6">
        <v>44969</v>
      </c>
      <c r="F43" s="6">
        <f t="shared" si="3"/>
        <v>44969</v>
      </c>
      <c r="G43" s="12">
        <f t="shared" si="4"/>
        <v>5</v>
      </c>
      <c r="H43" s="12">
        <f t="shared" si="5"/>
        <v>1</v>
      </c>
      <c r="I43" s="4" t="s">
        <v>648</v>
      </c>
      <c r="J43" s="4" t="s">
        <v>655</v>
      </c>
      <c r="K43" s="4" t="s">
        <v>670</v>
      </c>
      <c r="L43" t="str">
        <f t="shared" si="6"/>
        <v>Americas&gt;Brazil&gt;São Paulo</v>
      </c>
      <c r="M43" s="4" t="s">
        <v>702</v>
      </c>
      <c r="N43" s="4" t="s">
        <v>708</v>
      </c>
      <c r="O43" s="4" t="s">
        <v>725</v>
      </c>
      <c r="P43" s="4" t="s">
        <v>727</v>
      </c>
      <c r="Q43" s="4" t="s">
        <v>758</v>
      </c>
      <c r="R43" s="8">
        <v>948.55</v>
      </c>
      <c r="S43" s="8">
        <v>2089.16</v>
      </c>
      <c r="T43" s="8">
        <v>2089.16</v>
      </c>
      <c r="U43" s="8" t="str">
        <f>IF(T43&lt;=_xlfn.PERCENTILE.INC($T43:$T$633,0.33), "Low", IF(T43&lt;=_xlfn.PERCENTILE.INC($T43:$T$633,0.66), "Medium", "High"))</f>
        <v>High</v>
      </c>
      <c r="V43" s="10">
        <v>7.0000000000000001E-3</v>
      </c>
      <c r="W43" s="10">
        <f t="shared" si="7"/>
        <v>7.0000000000000001E-3</v>
      </c>
      <c r="X43" s="12">
        <v>12</v>
      </c>
      <c r="Y43" s="8">
        <f t="shared" si="0"/>
        <v>24894.430559999997</v>
      </c>
      <c r="Z43" s="8">
        <f t="shared" si="1"/>
        <v>11382.599999999999</v>
      </c>
      <c r="AA43" s="8">
        <f t="shared" si="8"/>
        <v>13511.830559999999</v>
      </c>
      <c r="AB43" s="10">
        <f t="shared" si="9"/>
        <v>0.54276519912492427</v>
      </c>
      <c r="AC43" s="14">
        <f>_xlfn.MINIFS($C$2:$C$633, $J$2:$J$633, J43)</f>
        <v>44955</v>
      </c>
      <c r="AD43">
        <f>DATEDIF(AC43, C43, "m")</f>
        <v>0</v>
      </c>
      <c r="AE43" s="8">
        <f t="shared" si="10"/>
        <v>2074.5358799999999</v>
      </c>
    </row>
    <row r="44" spans="1:31" x14ac:dyDescent="0.3">
      <c r="A44" s="4" t="s">
        <v>235</v>
      </c>
      <c r="B44" s="6">
        <v>45194</v>
      </c>
      <c r="C44" s="14">
        <v>45194</v>
      </c>
      <c r="D44" s="14" t="str">
        <f t="shared" si="2"/>
        <v>Q3 -2023</v>
      </c>
      <c r="E44" s="6">
        <v>45201</v>
      </c>
      <c r="F44" s="6">
        <f t="shared" si="3"/>
        <v>45201</v>
      </c>
      <c r="G44" s="12">
        <f t="shared" si="4"/>
        <v>7</v>
      </c>
      <c r="H44" s="12">
        <f t="shared" si="5"/>
        <v>1</v>
      </c>
      <c r="I44" s="4" t="s">
        <v>648</v>
      </c>
      <c r="J44" s="4" t="s">
        <v>660</v>
      </c>
      <c r="K44" s="4" t="s">
        <v>700</v>
      </c>
      <c r="L44" t="str">
        <f t="shared" si="6"/>
        <v>Americas&gt;USA&gt;New York</v>
      </c>
      <c r="M44" s="4" t="s">
        <v>702</v>
      </c>
      <c r="N44" s="4" t="s">
        <v>709</v>
      </c>
      <c r="O44" s="4" t="s">
        <v>714</v>
      </c>
      <c r="P44" s="4" t="s">
        <v>733</v>
      </c>
      <c r="Q44" s="4" t="s">
        <v>955</v>
      </c>
      <c r="R44" s="8">
        <v>145.58000000000001</v>
      </c>
      <c r="S44" s="8">
        <v>228.15</v>
      </c>
      <c r="T44" s="8">
        <v>228.15</v>
      </c>
      <c r="U44" s="8" t="str">
        <f>IF(T44&lt;=_xlfn.PERCENTILE.INC($T44:$T$633,0.33), "Low", IF(T44&lt;=_xlfn.PERCENTILE.INC($T44:$T$633,0.66), "Medium", "High"))</f>
        <v>Low</v>
      </c>
      <c r="V44" s="10">
        <v>0.20399999999999999</v>
      </c>
      <c r="W44" s="10">
        <f t="shared" si="7"/>
        <v>0.20399999999999999</v>
      </c>
      <c r="X44" s="12">
        <v>5</v>
      </c>
      <c r="Y44" s="8">
        <f t="shared" si="0"/>
        <v>908.03700000000003</v>
      </c>
      <c r="Z44" s="8">
        <f t="shared" si="1"/>
        <v>727.90000000000009</v>
      </c>
      <c r="AA44" s="8">
        <f t="shared" si="8"/>
        <v>180.13699999999994</v>
      </c>
      <c r="AB44" s="10">
        <f t="shared" si="9"/>
        <v>0.19838068272548359</v>
      </c>
      <c r="AC44" s="14">
        <f>_xlfn.MINIFS($C$2:$C$633, $J$2:$J$633, J44)</f>
        <v>44939</v>
      </c>
      <c r="AD44">
        <f>DATEDIF(AC44, C44, "m")</f>
        <v>8</v>
      </c>
      <c r="AE44" s="8">
        <f t="shared" si="10"/>
        <v>181.60740000000001</v>
      </c>
    </row>
    <row r="45" spans="1:31" x14ac:dyDescent="0.3">
      <c r="A45" s="4" t="s">
        <v>296</v>
      </c>
      <c r="B45" s="6">
        <v>45153</v>
      </c>
      <c r="C45" s="14">
        <v>45153</v>
      </c>
      <c r="D45" s="14" t="str">
        <f t="shared" si="2"/>
        <v>Q3 -2023</v>
      </c>
      <c r="E45" s="6">
        <v>45163</v>
      </c>
      <c r="F45" s="6">
        <f t="shared" si="3"/>
        <v>45163</v>
      </c>
      <c r="G45" s="12">
        <f t="shared" si="4"/>
        <v>10</v>
      </c>
      <c r="H45" s="12">
        <f t="shared" si="5"/>
        <v>0</v>
      </c>
      <c r="I45" s="4" t="s">
        <v>646</v>
      </c>
      <c r="J45" s="4" t="s">
        <v>650</v>
      </c>
      <c r="K45" s="4" t="s">
        <v>664</v>
      </c>
      <c r="L45" t="str">
        <f t="shared" si="6"/>
        <v>Africa&gt;Kenya&gt;Nairobi</v>
      </c>
      <c r="M45" s="4" t="s">
        <v>705</v>
      </c>
      <c r="N45" s="4" t="s">
        <v>707</v>
      </c>
      <c r="O45" s="4" t="s">
        <v>725</v>
      </c>
      <c r="P45" s="4" t="s">
        <v>730</v>
      </c>
      <c r="Q45" s="4" t="s">
        <v>1016</v>
      </c>
      <c r="R45" s="8">
        <v>91.85</v>
      </c>
      <c r="S45" s="8">
        <v>111.29</v>
      </c>
      <c r="T45" s="8">
        <v>111.29</v>
      </c>
      <c r="U45" s="8" t="str">
        <f>IF(T45&lt;=_xlfn.PERCENTILE.INC($T45:$T$633,0.33), "Low", IF(T45&lt;=_xlfn.PERCENTILE.INC($T45:$T$633,0.66), "Medium", "High"))</f>
        <v>Low</v>
      </c>
      <c r="V45" s="10">
        <v>0</v>
      </c>
      <c r="W45" s="10">
        <f t="shared" si="7"/>
        <v>0</v>
      </c>
      <c r="X45" s="12">
        <v>6</v>
      </c>
      <c r="Y45" s="8">
        <f t="shared" si="0"/>
        <v>667.74</v>
      </c>
      <c r="Z45" s="8">
        <f t="shared" si="1"/>
        <v>551.09999999999991</v>
      </c>
      <c r="AA45" s="8">
        <f t="shared" si="8"/>
        <v>116.6400000000001</v>
      </c>
      <c r="AB45" s="10">
        <f t="shared" si="9"/>
        <v>0.17467876718483258</v>
      </c>
      <c r="AC45" s="14">
        <f>_xlfn.MINIFS($C$2:$C$633, $J$2:$J$633, J45)</f>
        <v>44946</v>
      </c>
      <c r="AD45">
        <f>DATEDIF(AC45, C45, "m")</f>
        <v>6</v>
      </c>
      <c r="AE45" s="8">
        <f t="shared" si="10"/>
        <v>111.29</v>
      </c>
    </row>
    <row r="46" spans="1:31" x14ac:dyDescent="0.3">
      <c r="A46" s="4" t="s">
        <v>265</v>
      </c>
      <c r="B46" s="6">
        <v>44989</v>
      </c>
      <c r="C46" s="14">
        <v>44989</v>
      </c>
      <c r="D46" s="14" t="str">
        <f t="shared" si="2"/>
        <v>Q1 -2023</v>
      </c>
      <c r="E46" s="6">
        <v>45009</v>
      </c>
      <c r="F46" s="6">
        <f t="shared" si="3"/>
        <v>45009</v>
      </c>
      <c r="G46" s="12">
        <f t="shared" si="4"/>
        <v>20</v>
      </c>
      <c r="H46" s="12">
        <f t="shared" si="5"/>
        <v>0</v>
      </c>
      <c r="I46" s="4" t="s">
        <v>648</v>
      </c>
      <c r="J46" s="4" t="s">
        <v>653</v>
      </c>
      <c r="K46" s="4" t="s">
        <v>681</v>
      </c>
      <c r="L46" t="str">
        <f t="shared" si="6"/>
        <v>Americas&gt;Canada&gt;Montreal</v>
      </c>
      <c r="M46" s="4" t="s">
        <v>704</v>
      </c>
      <c r="N46" s="4" t="s">
        <v>710</v>
      </c>
      <c r="O46" s="4" t="s">
        <v>714</v>
      </c>
      <c r="P46" s="4" t="s">
        <v>731</v>
      </c>
      <c r="Q46" s="4" t="s">
        <v>985</v>
      </c>
      <c r="R46" s="8">
        <v>481.71</v>
      </c>
      <c r="S46" s="8">
        <v>912.45</v>
      </c>
      <c r="T46" s="8">
        <v>912.45</v>
      </c>
      <c r="U46" s="8" t="str">
        <f>IF(T46&lt;=_xlfn.PERCENTILE.INC($T46:$T$633,0.33), "Low", IF(T46&lt;=_xlfn.PERCENTILE.INC($T46:$T$633,0.66), "Medium", "High"))</f>
        <v>Medium</v>
      </c>
      <c r="V46" s="10">
        <v>0.20300000000000001</v>
      </c>
      <c r="W46" s="10">
        <f t="shared" si="7"/>
        <v>0.20300000000000001</v>
      </c>
      <c r="X46" s="12">
        <v>24</v>
      </c>
      <c r="Y46" s="8">
        <f t="shared" si="0"/>
        <v>17453.3436</v>
      </c>
      <c r="Z46" s="8">
        <f t="shared" si="1"/>
        <v>11561.039999999999</v>
      </c>
      <c r="AA46" s="8">
        <f t="shared" si="8"/>
        <v>5892.3036000000011</v>
      </c>
      <c r="AB46" s="10">
        <f t="shared" si="9"/>
        <v>0.33760313983619739</v>
      </c>
      <c r="AC46" s="14">
        <f>_xlfn.MINIFS($C$2:$C$633, $J$2:$J$633, J46)</f>
        <v>44928</v>
      </c>
      <c r="AD46">
        <f>DATEDIF(AC46, C46, "m")</f>
        <v>2</v>
      </c>
      <c r="AE46" s="8">
        <f t="shared" si="10"/>
        <v>727.22265000000004</v>
      </c>
    </row>
    <row r="47" spans="1:31" x14ac:dyDescent="0.3">
      <c r="A47" s="4" t="s">
        <v>391</v>
      </c>
      <c r="B47" s="6">
        <v>44998</v>
      </c>
      <c r="C47" s="14">
        <v>44998</v>
      </c>
      <c r="D47" s="14" t="str">
        <f t="shared" si="2"/>
        <v>Q1 -2023</v>
      </c>
      <c r="E47" s="6">
        <v>45020</v>
      </c>
      <c r="F47" s="6">
        <f t="shared" si="3"/>
        <v>45020</v>
      </c>
      <c r="G47" s="12">
        <f t="shared" si="4"/>
        <v>22</v>
      </c>
      <c r="H47" s="12">
        <f t="shared" si="5"/>
        <v>0</v>
      </c>
      <c r="I47" s="4" t="s">
        <v>646</v>
      </c>
      <c r="J47" s="4" t="s">
        <v>661</v>
      </c>
      <c r="K47" s="4" t="s">
        <v>687</v>
      </c>
      <c r="L47" t="str">
        <f t="shared" si="6"/>
        <v>Africa&gt;South Africa&gt;Durban</v>
      </c>
      <c r="M47" s="4" t="s">
        <v>705</v>
      </c>
      <c r="N47" s="4" t="s">
        <v>707</v>
      </c>
      <c r="O47" s="4" t="s">
        <v>720</v>
      </c>
      <c r="P47" s="4" t="s">
        <v>727</v>
      </c>
      <c r="Q47" s="4" t="s">
        <v>1111</v>
      </c>
      <c r="R47" s="8">
        <v>1113.7</v>
      </c>
      <c r="S47" s="8">
        <v>1620.6</v>
      </c>
      <c r="T47" s="8">
        <v>1620.6</v>
      </c>
      <c r="U47" s="8" t="str">
        <f>IF(T47&lt;=_xlfn.PERCENTILE.INC($T47:$T$633,0.33), "Low", IF(T47&lt;=_xlfn.PERCENTILE.INC($T47:$T$633,0.66), "Medium", "High"))</f>
        <v>High</v>
      </c>
      <c r="V47" s="10">
        <v>0.13900000000000001</v>
      </c>
      <c r="W47" s="10">
        <f t="shared" si="7"/>
        <v>0.13900000000000001</v>
      </c>
      <c r="X47" s="12">
        <v>11</v>
      </c>
      <c r="Y47" s="8">
        <f t="shared" si="0"/>
        <v>15348.702599999999</v>
      </c>
      <c r="Z47" s="8">
        <f t="shared" si="1"/>
        <v>12250.7</v>
      </c>
      <c r="AA47" s="8">
        <f t="shared" si="8"/>
        <v>3098.002599999998</v>
      </c>
      <c r="AB47" s="10">
        <f t="shared" si="9"/>
        <v>0.20184133348182787</v>
      </c>
      <c r="AC47" s="14">
        <f>_xlfn.MINIFS($C$2:$C$633, $J$2:$J$633, J47)</f>
        <v>44933</v>
      </c>
      <c r="AD47">
        <f>DATEDIF(AC47, C47, "m")</f>
        <v>2</v>
      </c>
      <c r="AE47" s="8">
        <f t="shared" si="10"/>
        <v>1395.3365999999999</v>
      </c>
    </row>
    <row r="48" spans="1:31" x14ac:dyDescent="0.3">
      <c r="A48" s="4" t="s">
        <v>555</v>
      </c>
      <c r="B48" s="6">
        <v>45115</v>
      </c>
      <c r="C48" s="14">
        <v>45115</v>
      </c>
      <c r="D48" s="14" t="str">
        <f t="shared" si="2"/>
        <v>Q3 -2023</v>
      </c>
      <c r="E48" s="6">
        <v>45116</v>
      </c>
      <c r="F48" s="6">
        <f t="shared" si="3"/>
        <v>45116</v>
      </c>
      <c r="G48" s="12">
        <f t="shared" si="4"/>
        <v>1</v>
      </c>
      <c r="H48" s="12">
        <f t="shared" si="5"/>
        <v>1</v>
      </c>
      <c r="I48" s="4" t="s">
        <v>646</v>
      </c>
      <c r="J48" s="4" t="s">
        <v>650</v>
      </c>
      <c r="K48" s="4" t="s">
        <v>664</v>
      </c>
      <c r="L48" t="str">
        <f t="shared" si="6"/>
        <v>Africa&gt;Kenya&gt;Nairobi</v>
      </c>
      <c r="M48" s="4" t="s">
        <v>704</v>
      </c>
      <c r="N48" s="4" t="s">
        <v>708</v>
      </c>
      <c r="O48" s="4" t="s">
        <v>726</v>
      </c>
      <c r="P48" s="4" t="s">
        <v>731</v>
      </c>
      <c r="Q48" s="4" t="s">
        <v>1273</v>
      </c>
      <c r="R48" s="8">
        <v>1258.72</v>
      </c>
      <c r="S48" s="8">
        <v>2797.41</v>
      </c>
      <c r="T48" s="8">
        <v>2797.41</v>
      </c>
      <c r="U48" s="8" t="str">
        <f>IF(T48&lt;=_xlfn.PERCENTILE.INC($T48:$T$633,0.33), "Low", IF(T48&lt;=_xlfn.PERCENTILE.INC($T48:$T$633,0.66), "Medium", "High"))</f>
        <v>High</v>
      </c>
      <c r="V48" s="10">
        <v>0</v>
      </c>
      <c r="W48" s="10">
        <f t="shared" si="7"/>
        <v>0</v>
      </c>
      <c r="X48" s="12">
        <v>7</v>
      </c>
      <c r="Y48" s="8">
        <f t="shared" si="0"/>
        <v>19581.87</v>
      </c>
      <c r="Z48" s="8">
        <f t="shared" si="1"/>
        <v>8811.0400000000009</v>
      </c>
      <c r="AA48" s="8">
        <f t="shared" si="8"/>
        <v>10770.829999999998</v>
      </c>
      <c r="AB48" s="10">
        <f t="shared" si="9"/>
        <v>0.55004093071805704</v>
      </c>
      <c r="AC48" s="14">
        <f>_xlfn.MINIFS($C$2:$C$633, $J$2:$J$633, J48)</f>
        <v>44946</v>
      </c>
      <c r="AD48">
        <f>DATEDIF(AC48, C48, "m")</f>
        <v>5</v>
      </c>
      <c r="AE48" s="8">
        <f t="shared" si="10"/>
        <v>2797.41</v>
      </c>
    </row>
    <row r="49" spans="1:31" x14ac:dyDescent="0.3">
      <c r="A49" s="4" t="s">
        <v>187</v>
      </c>
      <c r="B49" s="6">
        <v>44981</v>
      </c>
      <c r="C49" s="14">
        <v>44981</v>
      </c>
      <c r="D49" s="14" t="str">
        <f t="shared" si="2"/>
        <v>Q1 -2023</v>
      </c>
      <c r="E49" s="6">
        <v>44994</v>
      </c>
      <c r="F49" s="6">
        <f t="shared" si="3"/>
        <v>44994</v>
      </c>
      <c r="G49" s="12">
        <f t="shared" si="4"/>
        <v>13</v>
      </c>
      <c r="H49" s="12">
        <f t="shared" si="5"/>
        <v>0</v>
      </c>
      <c r="I49" s="4" t="s">
        <v>648</v>
      </c>
      <c r="J49" s="4" t="s">
        <v>660</v>
      </c>
      <c r="K49" s="4" t="s">
        <v>700</v>
      </c>
      <c r="L49" t="str">
        <f t="shared" si="6"/>
        <v>Americas&gt;USA&gt;New York</v>
      </c>
      <c r="M49" s="4" t="s">
        <v>706</v>
      </c>
      <c r="N49" s="4" t="s">
        <v>708</v>
      </c>
      <c r="O49" s="4" t="s">
        <v>724</v>
      </c>
      <c r="P49" s="4" t="s">
        <v>727</v>
      </c>
      <c r="Q49" s="4" t="s">
        <v>906</v>
      </c>
      <c r="R49" s="8">
        <v>6.85</v>
      </c>
      <c r="S49" s="8">
        <v>10.18</v>
      </c>
      <c r="T49" s="8">
        <v>10.18</v>
      </c>
      <c r="U49" s="8" t="str">
        <f>IF(T49&lt;=_xlfn.PERCENTILE.INC($T49:$T$633,0.33), "Low", IF(T49&lt;=_xlfn.PERCENTILE.INC($T49:$T$633,0.66), "Medium", "High"))</f>
        <v>Low</v>
      </c>
      <c r="V49" s="10">
        <v>4.7E-2</v>
      </c>
      <c r="W49" s="10">
        <f t="shared" si="7"/>
        <v>4.7E-2</v>
      </c>
      <c r="X49" s="12">
        <v>10</v>
      </c>
      <c r="Y49" s="8">
        <f t="shared" si="0"/>
        <v>97.0154</v>
      </c>
      <c r="Z49" s="8">
        <f t="shared" si="1"/>
        <v>68.5</v>
      </c>
      <c r="AA49" s="8">
        <f t="shared" si="8"/>
        <v>28.5154</v>
      </c>
      <c r="AB49" s="10">
        <f t="shared" si="9"/>
        <v>0.2939265312517394</v>
      </c>
      <c r="AC49" s="14">
        <f>_xlfn.MINIFS($C$2:$C$633, $J$2:$J$633, J49)</f>
        <v>44939</v>
      </c>
      <c r="AD49">
        <f>DATEDIF(AC49, C49, "m")</f>
        <v>1</v>
      </c>
      <c r="AE49" s="8">
        <f t="shared" si="10"/>
        <v>9.7015399999999996</v>
      </c>
    </row>
    <row r="50" spans="1:31" x14ac:dyDescent="0.3">
      <c r="A50" s="4" t="s">
        <v>240</v>
      </c>
      <c r="B50" s="6">
        <v>45137</v>
      </c>
      <c r="C50" s="14">
        <v>45137</v>
      </c>
      <c r="D50" s="14" t="str">
        <f t="shared" si="2"/>
        <v>Q3 -2023</v>
      </c>
      <c r="E50" s="6">
        <v>45145</v>
      </c>
      <c r="F50" s="6">
        <f t="shared" si="3"/>
        <v>45145</v>
      </c>
      <c r="G50" s="12">
        <f t="shared" si="4"/>
        <v>8</v>
      </c>
      <c r="H50" s="12">
        <f t="shared" si="5"/>
        <v>0</v>
      </c>
      <c r="I50" s="4" t="s">
        <v>647</v>
      </c>
      <c r="J50" s="4" t="s">
        <v>652</v>
      </c>
      <c r="K50" s="4" t="s">
        <v>694</v>
      </c>
      <c r="L50" t="str">
        <f t="shared" si="6"/>
        <v>Asia&gt;Japan&gt;Nagoya</v>
      </c>
      <c r="M50" s="4" t="s">
        <v>702</v>
      </c>
      <c r="N50" s="4" t="s">
        <v>709</v>
      </c>
      <c r="O50" s="4" t="s">
        <v>720</v>
      </c>
      <c r="P50" s="4" t="s">
        <v>729</v>
      </c>
      <c r="Q50" s="4" t="s">
        <v>960</v>
      </c>
      <c r="R50" s="8">
        <v>1352.44</v>
      </c>
      <c r="S50" s="8">
        <v>2698.01</v>
      </c>
      <c r="T50" s="8">
        <v>2698.01</v>
      </c>
      <c r="U50" s="8" t="str">
        <f>IF(T50&lt;=_xlfn.PERCENTILE.INC($T50:$T$633,0.33), "Low", IF(T50&lt;=_xlfn.PERCENTILE.INC($T50:$T$633,0.66), "Medium", "High"))</f>
        <v>High</v>
      </c>
      <c r="V50" s="10">
        <v>0.13100000000000001</v>
      </c>
      <c r="W50" s="10">
        <f t="shared" si="7"/>
        <v>0.13100000000000001</v>
      </c>
      <c r="X50" s="12">
        <v>13</v>
      </c>
      <c r="Y50" s="8">
        <f t="shared" si="0"/>
        <v>30479.418970000002</v>
      </c>
      <c r="Z50" s="8">
        <f t="shared" si="1"/>
        <v>17581.72</v>
      </c>
      <c r="AA50" s="8">
        <f t="shared" si="8"/>
        <v>12897.698970000001</v>
      </c>
      <c r="AB50" s="10">
        <f t="shared" si="9"/>
        <v>0.42316091992090887</v>
      </c>
      <c r="AC50" s="14">
        <f>_xlfn.MINIFS($C$2:$C$633, $J$2:$J$633, J50)</f>
        <v>44988</v>
      </c>
      <c r="AD50">
        <f>DATEDIF(AC50, C50, "m")</f>
        <v>4</v>
      </c>
      <c r="AE50" s="8">
        <f t="shared" si="10"/>
        <v>2344.57069</v>
      </c>
    </row>
    <row r="51" spans="1:31" x14ac:dyDescent="0.3">
      <c r="A51" s="4" t="s">
        <v>93</v>
      </c>
      <c r="B51" s="6">
        <v>45091</v>
      </c>
      <c r="C51" s="14">
        <v>45091</v>
      </c>
      <c r="D51" s="14" t="str">
        <f t="shared" si="2"/>
        <v>Q2 -2023</v>
      </c>
      <c r="E51" s="6">
        <v>45093</v>
      </c>
      <c r="F51" s="6">
        <f t="shared" si="3"/>
        <v>45093</v>
      </c>
      <c r="G51" s="12">
        <f t="shared" si="4"/>
        <v>2</v>
      </c>
      <c r="H51" s="12">
        <f t="shared" si="5"/>
        <v>1</v>
      </c>
      <c r="I51" s="4" t="s">
        <v>649</v>
      </c>
      <c r="J51" s="4" t="s">
        <v>658</v>
      </c>
      <c r="K51" s="4" t="s">
        <v>693</v>
      </c>
      <c r="L51" t="str">
        <f t="shared" si="6"/>
        <v>Europe&gt;United Kingdom&gt;Manchester</v>
      </c>
      <c r="M51" s="4" t="s">
        <v>703</v>
      </c>
      <c r="N51" s="4" t="s">
        <v>711</v>
      </c>
      <c r="O51" s="4" t="s">
        <v>723</v>
      </c>
      <c r="P51" s="4" t="s">
        <v>727</v>
      </c>
      <c r="Q51" s="4" t="s">
        <v>812</v>
      </c>
      <c r="R51" s="8">
        <v>357.36</v>
      </c>
      <c r="S51" s="8">
        <v>703.62</v>
      </c>
      <c r="T51" s="8">
        <v>703.62</v>
      </c>
      <c r="U51" s="8" t="str">
        <f>IF(T51&lt;=_xlfn.PERCENTILE.INC($T51:$T$633,0.33), "Low", IF(T51&lt;=_xlfn.PERCENTILE.INC($T51:$T$633,0.66), "Medium", "High"))</f>
        <v>Low</v>
      </c>
      <c r="V51" s="10">
        <v>0.25700000000000001</v>
      </c>
      <c r="W51" s="10">
        <f t="shared" si="7"/>
        <v>0.25700000000000001</v>
      </c>
      <c r="X51" s="12">
        <v>20</v>
      </c>
      <c r="Y51" s="8">
        <f t="shared" si="0"/>
        <v>10455.7932</v>
      </c>
      <c r="Z51" s="8">
        <f t="shared" si="1"/>
        <v>7147.2000000000007</v>
      </c>
      <c r="AA51" s="8">
        <f t="shared" si="8"/>
        <v>3308.5931999999993</v>
      </c>
      <c r="AB51" s="10">
        <f t="shared" si="9"/>
        <v>0.31643636563125593</v>
      </c>
      <c r="AC51" s="14">
        <f>_xlfn.MINIFS($C$2:$C$633, $J$2:$J$633, J51)</f>
        <v>44945</v>
      </c>
      <c r="AD51">
        <f>DATEDIF(AC51, C51, "m")</f>
        <v>4</v>
      </c>
      <c r="AE51" s="8">
        <f t="shared" si="10"/>
        <v>522.78966000000003</v>
      </c>
    </row>
    <row r="52" spans="1:31" x14ac:dyDescent="0.3">
      <c r="A52" s="4" t="s">
        <v>64</v>
      </c>
      <c r="B52" s="6">
        <v>45117</v>
      </c>
      <c r="C52" s="14">
        <v>45117</v>
      </c>
      <c r="D52" s="14" t="str">
        <f t="shared" si="2"/>
        <v>Q3 -2023</v>
      </c>
      <c r="E52" s="6">
        <v>45139</v>
      </c>
      <c r="F52" s="6">
        <f t="shared" si="3"/>
        <v>45139</v>
      </c>
      <c r="G52" s="12">
        <f t="shared" si="4"/>
        <v>22</v>
      </c>
      <c r="H52" s="12">
        <f t="shared" si="5"/>
        <v>0</v>
      </c>
      <c r="I52" s="4" t="s">
        <v>649</v>
      </c>
      <c r="J52" s="4" t="s">
        <v>657</v>
      </c>
      <c r="K52" s="4" t="s">
        <v>673</v>
      </c>
      <c r="L52" t="str">
        <f t="shared" si="6"/>
        <v>Europe&gt;France&gt;Marseille</v>
      </c>
      <c r="M52" s="4" t="s">
        <v>704</v>
      </c>
      <c r="N52" s="4" t="s">
        <v>709</v>
      </c>
      <c r="O52" s="4" t="s">
        <v>717</v>
      </c>
      <c r="P52" s="4" t="s">
        <v>728</v>
      </c>
      <c r="Q52" s="4" t="s">
        <v>783</v>
      </c>
      <c r="R52" s="8">
        <v>1303.56</v>
      </c>
      <c r="S52" s="8">
        <v>1791.37</v>
      </c>
      <c r="T52" s="8">
        <v>1791.37</v>
      </c>
      <c r="U52" s="8" t="str">
        <f>IF(T52&lt;=_xlfn.PERCENTILE.INC($T52:$T$633,0.33), "Low", IF(T52&lt;=_xlfn.PERCENTILE.INC($T52:$T$633,0.66), "Medium", "High"))</f>
        <v>High</v>
      </c>
      <c r="V52" s="10">
        <v>0.126</v>
      </c>
      <c r="W52" s="10">
        <f t="shared" si="7"/>
        <v>0.126</v>
      </c>
      <c r="X52" s="12">
        <v>22</v>
      </c>
      <c r="Y52" s="8">
        <f t="shared" si="0"/>
        <v>34444.462359999998</v>
      </c>
      <c r="Z52" s="8">
        <f t="shared" si="1"/>
        <v>28678.32</v>
      </c>
      <c r="AA52" s="8">
        <f t="shared" si="8"/>
        <v>5766.142359999998</v>
      </c>
      <c r="AB52" s="10">
        <f t="shared" si="9"/>
        <v>0.16740404596055358</v>
      </c>
      <c r="AC52" s="14">
        <f>_xlfn.MINIFS($C$2:$C$633, $J$2:$J$633, J52)</f>
        <v>44936</v>
      </c>
      <c r="AD52">
        <f>DATEDIF(AC52, C52, "m")</f>
        <v>6</v>
      </c>
      <c r="AE52" s="8">
        <f t="shared" si="10"/>
        <v>1565.6573799999999</v>
      </c>
    </row>
    <row r="53" spans="1:31" x14ac:dyDescent="0.3">
      <c r="A53" s="4" t="s">
        <v>618</v>
      </c>
      <c r="B53" s="6">
        <v>45026</v>
      </c>
      <c r="C53" s="14">
        <v>45026</v>
      </c>
      <c r="D53" s="14" t="str">
        <f t="shared" si="2"/>
        <v>Q2 -2023</v>
      </c>
      <c r="E53" s="6">
        <v>45041</v>
      </c>
      <c r="F53" s="6">
        <f t="shared" si="3"/>
        <v>45041</v>
      </c>
      <c r="G53" s="12">
        <f t="shared" si="4"/>
        <v>15</v>
      </c>
      <c r="H53" s="12">
        <f t="shared" si="5"/>
        <v>0</v>
      </c>
      <c r="I53" s="4" t="s">
        <v>649</v>
      </c>
      <c r="J53" s="4" t="s">
        <v>658</v>
      </c>
      <c r="K53" s="4" t="s">
        <v>683</v>
      </c>
      <c r="L53" t="str">
        <f t="shared" si="6"/>
        <v>Europe&gt;United Kingdom&gt;London</v>
      </c>
      <c r="M53" s="4" t="s">
        <v>705</v>
      </c>
      <c r="N53" s="4" t="s">
        <v>707</v>
      </c>
      <c r="O53" s="4" t="s">
        <v>726</v>
      </c>
      <c r="P53" s="4" t="s">
        <v>728</v>
      </c>
      <c r="Q53" s="4" t="s">
        <v>1336</v>
      </c>
      <c r="R53" s="8">
        <v>405.66</v>
      </c>
      <c r="S53" s="8">
        <v>962.51</v>
      </c>
      <c r="T53" s="8">
        <v>962.51</v>
      </c>
      <c r="U53" s="8" t="str">
        <f>IF(T53&lt;=_xlfn.PERCENTILE.INC($T53:$T$633,0.33), "Low", IF(T53&lt;=_xlfn.PERCENTILE.INC($T53:$T$633,0.66), "Medium", "High"))</f>
        <v>Medium</v>
      </c>
      <c r="V53" s="10">
        <v>0.19</v>
      </c>
      <c r="W53" s="10">
        <f t="shared" si="7"/>
        <v>0.19</v>
      </c>
      <c r="X53" s="12">
        <v>7</v>
      </c>
      <c r="Y53" s="8">
        <f t="shared" si="0"/>
        <v>5457.4317000000001</v>
      </c>
      <c r="Z53" s="8">
        <f t="shared" si="1"/>
        <v>2839.6200000000003</v>
      </c>
      <c r="AA53" s="8">
        <f t="shared" si="8"/>
        <v>2617.8116999999997</v>
      </c>
      <c r="AB53" s="10">
        <f t="shared" si="9"/>
        <v>0.47967832561239376</v>
      </c>
      <c r="AC53" s="14">
        <f>_xlfn.MINIFS($C$2:$C$633, $J$2:$J$633, J53)</f>
        <v>44945</v>
      </c>
      <c r="AD53">
        <f>DATEDIF(AC53, C53, "m")</f>
        <v>2</v>
      </c>
      <c r="AE53" s="8">
        <f t="shared" si="10"/>
        <v>779.63310000000001</v>
      </c>
    </row>
    <row r="54" spans="1:31" x14ac:dyDescent="0.3">
      <c r="A54" s="4" t="s">
        <v>241</v>
      </c>
      <c r="B54" s="6">
        <v>45203</v>
      </c>
      <c r="C54" s="14">
        <v>45203</v>
      </c>
      <c r="D54" s="14" t="str">
        <f t="shared" si="2"/>
        <v>Q4 -2023</v>
      </c>
      <c r="E54" s="6">
        <v>45228</v>
      </c>
      <c r="F54" s="6">
        <f t="shared" si="3"/>
        <v>45228</v>
      </c>
      <c r="G54" s="12">
        <f t="shared" si="4"/>
        <v>25</v>
      </c>
      <c r="H54" s="12">
        <f t="shared" si="5"/>
        <v>0</v>
      </c>
      <c r="I54" s="4" t="s">
        <v>648</v>
      </c>
      <c r="J54" s="4" t="s">
        <v>660</v>
      </c>
      <c r="K54" s="4" t="s">
        <v>686</v>
      </c>
      <c r="L54" t="str">
        <f t="shared" si="6"/>
        <v>Americas&gt;USA&gt;San Francisco</v>
      </c>
      <c r="M54" s="4" t="s">
        <v>705</v>
      </c>
      <c r="N54" s="4" t="s">
        <v>710</v>
      </c>
      <c r="O54" s="4" t="s">
        <v>719</v>
      </c>
      <c r="P54" s="4" t="s">
        <v>733</v>
      </c>
      <c r="Q54" s="4" t="s">
        <v>961</v>
      </c>
      <c r="R54" s="8">
        <v>1239.8399999999999</v>
      </c>
      <c r="S54" s="8">
        <v>1482.75</v>
      </c>
      <c r="T54" s="8">
        <v>1482.75</v>
      </c>
      <c r="U54" s="8" t="str">
        <f>IF(T54&lt;=_xlfn.PERCENTILE.INC($T54:$T$633,0.33), "Low", IF(T54&lt;=_xlfn.PERCENTILE.INC($T54:$T$633,0.66), "Medium", "High"))</f>
        <v>Medium</v>
      </c>
      <c r="V54" s="10">
        <v>6.7000000000000004E-2</v>
      </c>
      <c r="W54" s="10">
        <f t="shared" si="7"/>
        <v>6.7000000000000004E-2</v>
      </c>
      <c r="X54" s="12">
        <v>4</v>
      </c>
      <c r="Y54" s="8">
        <f t="shared" si="0"/>
        <v>5533.6230000000005</v>
      </c>
      <c r="Z54" s="8">
        <f t="shared" si="1"/>
        <v>4959.3599999999997</v>
      </c>
      <c r="AA54" s="8">
        <f t="shared" si="8"/>
        <v>574.26300000000083</v>
      </c>
      <c r="AB54" s="10">
        <f t="shared" si="9"/>
        <v>0.10377703721413634</v>
      </c>
      <c r="AC54" s="14">
        <f>_xlfn.MINIFS($C$2:$C$633, $J$2:$J$633, J54)</f>
        <v>44939</v>
      </c>
      <c r="AD54">
        <f>DATEDIF(AC54, C54, "m")</f>
        <v>8</v>
      </c>
      <c r="AE54" s="8">
        <f t="shared" si="10"/>
        <v>1383.4057500000001</v>
      </c>
    </row>
    <row r="55" spans="1:31" x14ac:dyDescent="0.3">
      <c r="A55" s="4" t="s">
        <v>183</v>
      </c>
      <c r="B55" s="6">
        <v>45206</v>
      </c>
      <c r="C55" s="14">
        <v>45206</v>
      </c>
      <c r="D55" s="14" t="str">
        <f t="shared" si="2"/>
        <v>Q4 -2023</v>
      </c>
      <c r="E55" s="6">
        <v>45222</v>
      </c>
      <c r="F55" s="6">
        <f t="shared" si="3"/>
        <v>45222</v>
      </c>
      <c r="G55" s="12">
        <f t="shared" si="4"/>
        <v>16</v>
      </c>
      <c r="H55" s="12">
        <f t="shared" si="5"/>
        <v>0</v>
      </c>
      <c r="I55" s="4" t="s">
        <v>647</v>
      </c>
      <c r="J55" s="4" t="s">
        <v>654</v>
      </c>
      <c r="K55" s="4" t="s">
        <v>696</v>
      </c>
      <c r="L55" t="str">
        <f t="shared" si="6"/>
        <v>Asia&gt;India&gt;Hyderabad</v>
      </c>
      <c r="M55" s="4" t="s">
        <v>704</v>
      </c>
      <c r="N55" s="4" t="s">
        <v>707</v>
      </c>
      <c r="O55" s="4" t="s">
        <v>715</v>
      </c>
      <c r="P55" s="4" t="s">
        <v>732</v>
      </c>
      <c r="Q55" s="4" t="s">
        <v>902</v>
      </c>
      <c r="R55" s="8">
        <v>906.81</v>
      </c>
      <c r="S55" s="8">
        <v>1395.56</v>
      </c>
      <c r="T55" s="8">
        <v>1395.56</v>
      </c>
      <c r="U55" s="8" t="str">
        <f>IF(T55&lt;=_xlfn.PERCENTILE.INC($T55:$T$633,0.33), "Low", IF(T55&lt;=_xlfn.PERCENTILE.INC($T55:$T$633,0.66), "Medium", "High"))</f>
        <v>Medium</v>
      </c>
      <c r="V55" s="10">
        <v>0.185</v>
      </c>
      <c r="W55" s="10">
        <f t="shared" si="7"/>
        <v>0.185</v>
      </c>
      <c r="X55" s="12">
        <v>6</v>
      </c>
      <c r="Y55" s="8">
        <f t="shared" si="0"/>
        <v>6824.2884000000004</v>
      </c>
      <c r="Z55" s="8">
        <f t="shared" si="1"/>
        <v>5440.86</v>
      </c>
      <c r="AA55" s="8">
        <f t="shared" si="8"/>
        <v>1383.4284000000007</v>
      </c>
      <c r="AB55" s="10">
        <f t="shared" si="9"/>
        <v>0.20272126834498974</v>
      </c>
      <c r="AC55" s="14">
        <f>_xlfn.MINIFS($C$2:$C$633, $J$2:$J$633, J55)</f>
        <v>44955</v>
      </c>
      <c r="AD55">
        <f>DATEDIF(AC55, C55, "m")</f>
        <v>8</v>
      </c>
      <c r="AE55" s="8">
        <f t="shared" si="10"/>
        <v>1137.3814</v>
      </c>
    </row>
    <row r="56" spans="1:31" x14ac:dyDescent="0.3">
      <c r="A56" s="4" t="s">
        <v>60</v>
      </c>
      <c r="B56" s="6">
        <v>45035</v>
      </c>
      <c r="C56" s="14">
        <v>45035</v>
      </c>
      <c r="D56" s="14" t="str">
        <f t="shared" si="2"/>
        <v>Q2 -2023</v>
      </c>
      <c r="E56" s="6">
        <v>45046</v>
      </c>
      <c r="F56" s="6">
        <f t="shared" si="3"/>
        <v>45046</v>
      </c>
      <c r="G56" s="12">
        <f t="shared" si="4"/>
        <v>11</v>
      </c>
      <c r="H56" s="12">
        <f t="shared" si="5"/>
        <v>0</v>
      </c>
      <c r="I56" s="4" t="s">
        <v>647</v>
      </c>
      <c r="J56" s="4" t="s">
        <v>654</v>
      </c>
      <c r="K56" s="4" t="s">
        <v>680</v>
      </c>
      <c r="L56" t="str">
        <f t="shared" si="6"/>
        <v>Asia&gt;India&gt;Delhi</v>
      </c>
      <c r="M56" s="4" t="s">
        <v>705</v>
      </c>
      <c r="N56" s="4" t="s">
        <v>707</v>
      </c>
      <c r="O56" s="4" t="s">
        <v>720</v>
      </c>
      <c r="P56" s="4" t="s">
        <v>729</v>
      </c>
      <c r="Q56" s="4" t="s">
        <v>779</v>
      </c>
      <c r="R56" s="8">
        <v>826.55</v>
      </c>
      <c r="S56" s="8">
        <v>1397.05</v>
      </c>
      <c r="T56" s="8">
        <v>1397.05</v>
      </c>
      <c r="U56" s="8" t="str">
        <f>IF(T56&lt;=_xlfn.PERCENTILE.INC($T56:$T$633,0.33), "Low", IF(T56&lt;=_xlfn.PERCENTILE.INC($T56:$T$633,0.66), "Medium", "High"))</f>
        <v>Medium</v>
      </c>
      <c r="V56" s="10">
        <v>0.16900000000000001</v>
      </c>
      <c r="W56" s="10">
        <f t="shared" si="7"/>
        <v>0.16900000000000001</v>
      </c>
      <c r="X56" s="12">
        <v>28</v>
      </c>
      <c r="Y56" s="8">
        <f t="shared" si="0"/>
        <v>32506.559399999998</v>
      </c>
      <c r="Z56" s="8">
        <f t="shared" si="1"/>
        <v>23143.399999999998</v>
      </c>
      <c r="AA56" s="8">
        <f t="shared" si="8"/>
        <v>9363.1594000000005</v>
      </c>
      <c r="AB56" s="10">
        <f t="shared" si="9"/>
        <v>0.28803907804527601</v>
      </c>
      <c r="AC56" s="14">
        <f>_xlfn.MINIFS($C$2:$C$633, $J$2:$J$633, J56)</f>
        <v>44955</v>
      </c>
      <c r="AD56">
        <f>DATEDIF(AC56, C56, "m")</f>
        <v>2</v>
      </c>
      <c r="AE56" s="8">
        <f t="shared" si="10"/>
        <v>1160.9485499999998</v>
      </c>
    </row>
    <row r="57" spans="1:31" x14ac:dyDescent="0.3">
      <c r="A57" s="4" t="s">
        <v>159</v>
      </c>
      <c r="B57" s="6">
        <v>45112</v>
      </c>
      <c r="C57" s="14">
        <v>45112</v>
      </c>
      <c r="D57" s="14" t="str">
        <f t="shared" si="2"/>
        <v>Q3 -2023</v>
      </c>
      <c r="E57" s="6">
        <v>45121</v>
      </c>
      <c r="F57" s="6">
        <f t="shared" si="3"/>
        <v>45121</v>
      </c>
      <c r="G57" s="12">
        <f t="shared" si="4"/>
        <v>9</v>
      </c>
      <c r="H57" s="12">
        <f t="shared" si="5"/>
        <v>0</v>
      </c>
      <c r="I57" s="4" t="s">
        <v>648</v>
      </c>
      <c r="J57" s="4" t="s">
        <v>655</v>
      </c>
      <c r="K57" s="4" t="s">
        <v>672</v>
      </c>
      <c r="L57" t="str">
        <f t="shared" si="6"/>
        <v>Americas&gt;Brazil&gt;Brasília</v>
      </c>
      <c r="M57" s="4" t="s">
        <v>706</v>
      </c>
      <c r="N57" s="4" t="s">
        <v>711</v>
      </c>
      <c r="O57" s="4" t="s">
        <v>717</v>
      </c>
      <c r="P57" s="4" t="s">
        <v>729</v>
      </c>
      <c r="Q57" s="4" t="s">
        <v>878</v>
      </c>
      <c r="R57" s="8">
        <v>578.85</v>
      </c>
      <c r="S57" s="8">
        <v>998.76</v>
      </c>
      <c r="T57" s="8">
        <v>998.76</v>
      </c>
      <c r="U57" s="8" t="str">
        <f>IF(T57&lt;=_xlfn.PERCENTILE.INC($T57:$T$633,0.33), "Low", IF(T57&lt;=_xlfn.PERCENTILE.INC($T57:$T$633,0.66), "Medium", "High"))</f>
        <v>Medium</v>
      </c>
      <c r="V57" s="10">
        <v>8.2000000000000003E-2</v>
      </c>
      <c r="W57" s="10">
        <f t="shared" si="7"/>
        <v>8.2000000000000003E-2</v>
      </c>
      <c r="X57" s="12">
        <v>28</v>
      </c>
      <c r="Y57" s="8">
        <f t="shared" si="0"/>
        <v>25672.127039999999</v>
      </c>
      <c r="Z57" s="8">
        <f t="shared" si="1"/>
        <v>16207.800000000001</v>
      </c>
      <c r="AA57" s="8">
        <f t="shared" si="8"/>
        <v>9464.3270399999983</v>
      </c>
      <c r="AB57" s="10">
        <f t="shared" si="9"/>
        <v>0.36866158480960831</v>
      </c>
      <c r="AC57" s="14">
        <f>_xlfn.MINIFS($C$2:$C$633, $J$2:$J$633, J57)</f>
        <v>44955</v>
      </c>
      <c r="AD57">
        <f>DATEDIF(AC57, C57, "m")</f>
        <v>5</v>
      </c>
      <c r="AE57" s="8">
        <f t="shared" si="10"/>
        <v>916.86167999999998</v>
      </c>
    </row>
    <row r="58" spans="1:31" x14ac:dyDescent="0.3">
      <c r="A58" s="4" t="s">
        <v>198</v>
      </c>
      <c r="B58" s="6">
        <v>45157</v>
      </c>
      <c r="C58" s="14">
        <v>45157</v>
      </c>
      <c r="D58" s="14" t="str">
        <f t="shared" si="2"/>
        <v>Q3 -2023</v>
      </c>
      <c r="E58" s="6">
        <v>45161</v>
      </c>
      <c r="F58" s="6">
        <f t="shared" si="3"/>
        <v>45161</v>
      </c>
      <c r="G58" s="12">
        <f t="shared" si="4"/>
        <v>4</v>
      </c>
      <c r="H58" s="12">
        <f t="shared" si="5"/>
        <v>1</v>
      </c>
      <c r="I58" s="4" t="s">
        <v>646</v>
      </c>
      <c r="J58" s="4" t="s">
        <v>651</v>
      </c>
      <c r="K58" s="4" t="s">
        <v>669</v>
      </c>
      <c r="L58" t="str">
        <f t="shared" si="6"/>
        <v>Africa&gt;Nigeria&gt;Abuja</v>
      </c>
      <c r="M58" s="4" t="s">
        <v>705</v>
      </c>
      <c r="N58" s="4" t="s">
        <v>708</v>
      </c>
      <c r="O58" s="4" t="s">
        <v>713</v>
      </c>
      <c r="P58" s="4" t="s">
        <v>732</v>
      </c>
      <c r="Q58" s="4" t="s">
        <v>917</v>
      </c>
      <c r="R58" s="8">
        <v>790.63</v>
      </c>
      <c r="S58" s="8">
        <v>1382.31</v>
      </c>
      <c r="T58" s="8">
        <v>1382.31</v>
      </c>
      <c r="U58" s="8" t="str">
        <f>IF(T58&lt;=_xlfn.PERCENTILE.INC($T58:$T$633,0.33), "Low", IF(T58&lt;=_xlfn.PERCENTILE.INC($T58:$T$633,0.66), "Medium", "High"))</f>
        <v>Medium</v>
      </c>
      <c r="V58" s="10">
        <v>0.10100000000000001</v>
      </c>
      <c r="W58" s="10">
        <f t="shared" si="7"/>
        <v>0.10100000000000001</v>
      </c>
      <c r="X58" s="12">
        <v>7</v>
      </c>
      <c r="Y58" s="8">
        <f t="shared" si="0"/>
        <v>8698.8768300000011</v>
      </c>
      <c r="Z58" s="8">
        <f t="shared" si="1"/>
        <v>5534.41</v>
      </c>
      <c r="AA58" s="8">
        <f t="shared" si="8"/>
        <v>3164.4668300000012</v>
      </c>
      <c r="AB58" s="10">
        <f t="shared" si="9"/>
        <v>0.36377878338116448</v>
      </c>
      <c r="AC58" s="14">
        <f>_xlfn.MINIFS($C$2:$C$633, $J$2:$J$633, J58)</f>
        <v>44941</v>
      </c>
      <c r="AD58">
        <f>DATEDIF(AC58, C58, "m")</f>
        <v>7</v>
      </c>
      <c r="AE58" s="8">
        <f t="shared" si="10"/>
        <v>1242.6966900000002</v>
      </c>
    </row>
    <row r="59" spans="1:31" x14ac:dyDescent="0.3">
      <c r="A59" s="4" t="s">
        <v>589</v>
      </c>
      <c r="B59" s="6">
        <v>45042</v>
      </c>
      <c r="C59" s="14">
        <v>45042</v>
      </c>
      <c r="D59" s="14" t="str">
        <f t="shared" si="2"/>
        <v>Q2 -2023</v>
      </c>
      <c r="E59" s="6">
        <v>45042</v>
      </c>
      <c r="F59" s="6">
        <f t="shared" si="3"/>
        <v>45042</v>
      </c>
      <c r="G59" s="12">
        <f t="shared" si="4"/>
        <v>0</v>
      </c>
      <c r="H59" s="12">
        <f t="shared" si="5"/>
        <v>1</v>
      </c>
      <c r="I59" s="4" t="s">
        <v>649</v>
      </c>
      <c r="J59" s="4" t="s">
        <v>657</v>
      </c>
      <c r="K59" s="4" t="s">
        <v>673</v>
      </c>
      <c r="L59" t="str">
        <f t="shared" si="6"/>
        <v>Europe&gt;France&gt;Marseille</v>
      </c>
      <c r="M59" s="4" t="s">
        <v>704</v>
      </c>
      <c r="N59" s="4" t="s">
        <v>711</v>
      </c>
      <c r="O59" s="4" t="s">
        <v>724</v>
      </c>
      <c r="P59" s="4" t="s">
        <v>727</v>
      </c>
      <c r="Q59" s="4" t="s">
        <v>1307</v>
      </c>
      <c r="R59" s="8">
        <v>81.489999999999995</v>
      </c>
      <c r="S59" s="8">
        <v>113.08</v>
      </c>
      <c r="T59" s="8">
        <v>113.08</v>
      </c>
      <c r="U59" s="8" t="str">
        <f>IF(T59&lt;=_xlfn.PERCENTILE.INC($T59:$T$633,0.33), "Low", IF(T59&lt;=_xlfn.PERCENTILE.INC($T59:$T$633,0.66), "Medium", "High"))</f>
        <v>Low</v>
      </c>
      <c r="V59" s="10">
        <v>0.121</v>
      </c>
      <c r="W59" s="10">
        <f t="shared" si="7"/>
        <v>0.121</v>
      </c>
      <c r="X59" s="12">
        <v>5</v>
      </c>
      <c r="Y59" s="8">
        <f t="shared" si="0"/>
        <v>496.98660000000001</v>
      </c>
      <c r="Z59" s="8">
        <f t="shared" si="1"/>
        <v>407.45</v>
      </c>
      <c r="AA59" s="8">
        <f t="shared" si="8"/>
        <v>89.536600000000021</v>
      </c>
      <c r="AB59" s="10">
        <f t="shared" si="9"/>
        <v>0.18015898215364362</v>
      </c>
      <c r="AC59" s="14">
        <f>_xlfn.MINIFS($C$2:$C$633, $J$2:$J$633, J59)</f>
        <v>44936</v>
      </c>
      <c r="AD59">
        <f>DATEDIF(AC59, C59, "m")</f>
        <v>3</v>
      </c>
      <c r="AE59" s="8">
        <f t="shared" si="10"/>
        <v>99.397320000000008</v>
      </c>
    </row>
    <row r="60" spans="1:31" x14ac:dyDescent="0.3">
      <c r="A60" s="4" t="s">
        <v>96</v>
      </c>
      <c r="B60" s="6">
        <v>45157</v>
      </c>
      <c r="C60" s="14">
        <v>45157</v>
      </c>
      <c r="D60" s="14" t="str">
        <f t="shared" si="2"/>
        <v>Q3 -2023</v>
      </c>
      <c r="E60" s="6">
        <v>45181</v>
      </c>
      <c r="F60" s="6">
        <f t="shared" si="3"/>
        <v>45181</v>
      </c>
      <c r="G60" s="12">
        <f t="shared" si="4"/>
        <v>24</v>
      </c>
      <c r="H60" s="12">
        <f t="shared" si="5"/>
        <v>0</v>
      </c>
      <c r="I60" s="4" t="s">
        <v>648</v>
      </c>
      <c r="J60" s="4" t="s">
        <v>653</v>
      </c>
      <c r="K60" s="4" t="s">
        <v>688</v>
      </c>
      <c r="L60" t="str">
        <f t="shared" si="6"/>
        <v>Americas&gt;Canada&gt;Vancouver</v>
      </c>
      <c r="M60" s="4" t="s">
        <v>706</v>
      </c>
      <c r="N60" s="4" t="s">
        <v>707</v>
      </c>
      <c r="O60" s="4" t="s">
        <v>714</v>
      </c>
      <c r="P60" s="4" t="s">
        <v>728</v>
      </c>
      <c r="Q60" s="4" t="s">
        <v>815</v>
      </c>
      <c r="R60" s="8">
        <v>1183.95</v>
      </c>
      <c r="S60" s="8">
        <v>1503.53</v>
      </c>
      <c r="T60" s="8">
        <v>1503.53</v>
      </c>
      <c r="U60" s="8" t="str">
        <f>IF(T60&lt;=_xlfn.PERCENTILE.INC($T60:$T$633,0.33), "Low", IF(T60&lt;=_xlfn.PERCENTILE.INC($T60:$T$633,0.66), "Medium", "High"))</f>
        <v>Medium</v>
      </c>
      <c r="V60" s="10">
        <v>0.24099999999999999</v>
      </c>
      <c r="W60" s="10">
        <f t="shared" si="7"/>
        <v>0.24099999999999999</v>
      </c>
      <c r="X60" s="12">
        <v>16</v>
      </c>
      <c r="Y60" s="8">
        <f t="shared" si="0"/>
        <v>18258.868320000001</v>
      </c>
      <c r="Z60" s="8">
        <f t="shared" si="1"/>
        <v>18943.2</v>
      </c>
      <c r="AA60" s="8">
        <f t="shared" si="8"/>
        <v>-684.33167999999932</v>
      </c>
      <c r="AB60" s="10">
        <f t="shared" si="9"/>
        <v>-3.7479413729623705E-2</v>
      </c>
      <c r="AC60" s="14">
        <f>_xlfn.MINIFS($C$2:$C$633, $J$2:$J$633, J60)</f>
        <v>44928</v>
      </c>
      <c r="AD60">
        <f>DATEDIF(AC60, C60, "m")</f>
        <v>7</v>
      </c>
      <c r="AE60" s="8">
        <f t="shared" si="10"/>
        <v>1141.1792700000001</v>
      </c>
    </row>
    <row r="61" spans="1:31" x14ac:dyDescent="0.3">
      <c r="A61" s="4" t="s">
        <v>527</v>
      </c>
      <c r="B61" s="6">
        <v>45078</v>
      </c>
      <c r="C61" s="14">
        <v>45078</v>
      </c>
      <c r="D61" s="14" t="str">
        <f t="shared" si="2"/>
        <v>Q2 -2023</v>
      </c>
      <c r="E61" s="6">
        <v>45085</v>
      </c>
      <c r="F61" s="6">
        <f t="shared" si="3"/>
        <v>45085</v>
      </c>
      <c r="G61" s="12">
        <f t="shared" si="4"/>
        <v>7</v>
      </c>
      <c r="H61" s="12">
        <f t="shared" si="5"/>
        <v>1</v>
      </c>
      <c r="I61" s="4" t="s">
        <v>649</v>
      </c>
      <c r="J61" s="4" t="s">
        <v>656</v>
      </c>
      <c r="K61" s="4" t="s">
        <v>698</v>
      </c>
      <c r="L61" t="str">
        <f t="shared" si="6"/>
        <v>Europe&gt;Germany&gt;Frankfurt</v>
      </c>
      <c r="M61" s="4" t="s">
        <v>704</v>
      </c>
      <c r="N61" s="4" t="s">
        <v>708</v>
      </c>
      <c r="O61" s="4" t="s">
        <v>720</v>
      </c>
      <c r="P61" s="4" t="s">
        <v>730</v>
      </c>
      <c r="Q61" s="4" t="s">
        <v>1246</v>
      </c>
      <c r="R61" s="8">
        <v>804.17</v>
      </c>
      <c r="S61" s="8">
        <v>1072.29</v>
      </c>
      <c r="T61" s="8">
        <v>1072.29</v>
      </c>
      <c r="U61" s="8" t="str">
        <f>IF(T61&lt;=_xlfn.PERCENTILE.INC($T61:$T$633,0.33), "Low", IF(T61&lt;=_xlfn.PERCENTILE.INC($T61:$T$633,0.66), "Medium", "High"))</f>
        <v>Medium</v>
      </c>
      <c r="V61" s="10">
        <v>3.2000000000000001E-2</v>
      </c>
      <c r="W61" s="10">
        <f t="shared" si="7"/>
        <v>3.2000000000000001E-2</v>
      </c>
      <c r="X61" s="12">
        <v>5</v>
      </c>
      <c r="Y61" s="8">
        <f t="shared" si="0"/>
        <v>5189.8836000000001</v>
      </c>
      <c r="Z61" s="8">
        <f t="shared" si="1"/>
        <v>4020.85</v>
      </c>
      <c r="AA61" s="8">
        <f t="shared" si="8"/>
        <v>1169.0336000000002</v>
      </c>
      <c r="AB61" s="10">
        <f t="shared" si="9"/>
        <v>0.2252523736755869</v>
      </c>
      <c r="AC61" s="14">
        <f>_xlfn.MINIFS($C$2:$C$633, $J$2:$J$633, J61)</f>
        <v>44948</v>
      </c>
      <c r="AD61">
        <f>DATEDIF(AC61, C61, "m")</f>
        <v>4</v>
      </c>
      <c r="AE61" s="8">
        <f t="shared" si="10"/>
        <v>1037.9767200000001</v>
      </c>
    </row>
    <row r="62" spans="1:31" x14ac:dyDescent="0.3">
      <c r="A62" s="4" t="s">
        <v>577</v>
      </c>
      <c r="B62" s="6">
        <v>45029</v>
      </c>
      <c r="C62" s="14">
        <v>45029</v>
      </c>
      <c r="D62" s="14" t="str">
        <f t="shared" si="2"/>
        <v>Q2 -2023</v>
      </c>
      <c r="E62" s="6">
        <v>45048</v>
      </c>
      <c r="F62" s="6">
        <f t="shared" si="3"/>
        <v>45048</v>
      </c>
      <c r="G62" s="12">
        <f t="shared" si="4"/>
        <v>19</v>
      </c>
      <c r="H62" s="12">
        <f t="shared" si="5"/>
        <v>0</v>
      </c>
      <c r="I62" s="4" t="s">
        <v>648</v>
      </c>
      <c r="J62" s="4" t="s">
        <v>653</v>
      </c>
      <c r="K62" s="4" t="s">
        <v>681</v>
      </c>
      <c r="L62" t="str">
        <f t="shared" si="6"/>
        <v>Americas&gt;Canada&gt;Montreal</v>
      </c>
      <c r="M62" s="4" t="s">
        <v>704</v>
      </c>
      <c r="N62" s="4" t="s">
        <v>710</v>
      </c>
      <c r="O62" s="4" t="s">
        <v>718</v>
      </c>
      <c r="P62" s="4" t="s">
        <v>732</v>
      </c>
      <c r="Q62" s="4" t="s">
        <v>1295</v>
      </c>
      <c r="R62" s="8">
        <v>671.05</v>
      </c>
      <c r="S62" s="8">
        <v>1645.48</v>
      </c>
      <c r="T62" s="8">
        <v>1645.48</v>
      </c>
      <c r="U62" s="8" t="str">
        <f>IF(T62&lt;=_xlfn.PERCENTILE.INC($T62:$T$633,0.33), "Low", IF(T62&lt;=_xlfn.PERCENTILE.INC($T62:$T$633,0.66), "Medium", "High"))</f>
        <v>High</v>
      </c>
      <c r="V62" s="10">
        <v>0.13700000000000001</v>
      </c>
      <c r="W62" s="10">
        <f t="shared" si="7"/>
        <v>0.13700000000000001</v>
      </c>
      <c r="X62" s="12">
        <v>6</v>
      </c>
      <c r="Y62" s="8">
        <f t="shared" si="0"/>
        <v>8520.2954399999999</v>
      </c>
      <c r="Z62" s="8">
        <f t="shared" si="1"/>
        <v>4026.2999999999997</v>
      </c>
      <c r="AA62" s="8">
        <f t="shared" si="8"/>
        <v>4493.9954400000006</v>
      </c>
      <c r="AB62" s="10">
        <f t="shared" si="9"/>
        <v>0.52744596377517172</v>
      </c>
      <c r="AC62" s="14">
        <f>_xlfn.MINIFS($C$2:$C$633, $J$2:$J$633, J62)</f>
        <v>44928</v>
      </c>
      <c r="AD62">
        <f>DATEDIF(AC62, C62, "m")</f>
        <v>3</v>
      </c>
      <c r="AE62" s="8">
        <f t="shared" si="10"/>
        <v>1420.0492400000001</v>
      </c>
    </row>
    <row r="63" spans="1:31" x14ac:dyDescent="0.3">
      <c r="A63" s="4" t="s">
        <v>330</v>
      </c>
      <c r="B63" s="6">
        <v>45052</v>
      </c>
      <c r="C63" s="14">
        <v>45052</v>
      </c>
      <c r="D63" s="14" t="str">
        <f t="shared" si="2"/>
        <v>Q2 -2023</v>
      </c>
      <c r="E63" s="6">
        <v>45060</v>
      </c>
      <c r="F63" s="6">
        <f t="shared" si="3"/>
        <v>45060</v>
      </c>
      <c r="G63" s="12">
        <f t="shared" si="4"/>
        <v>8</v>
      </c>
      <c r="H63" s="12">
        <f t="shared" si="5"/>
        <v>0</v>
      </c>
      <c r="I63" s="4" t="s">
        <v>647</v>
      </c>
      <c r="J63" s="4" t="s">
        <v>652</v>
      </c>
      <c r="K63" s="4" t="s">
        <v>666</v>
      </c>
      <c r="L63" t="str">
        <f t="shared" si="6"/>
        <v>Asia&gt;Japan&gt;Osaka</v>
      </c>
      <c r="M63" s="4" t="s">
        <v>706</v>
      </c>
      <c r="N63" s="4" t="s">
        <v>709</v>
      </c>
      <c r="O63" s="4" t="s">
        <v>717</v>
      </c>
      <c r="P63" s="4" t="s">
        <v>730</v>
      </c>
      <c r="Q63" s="4" t="s">
        <v>1050</v>
      </c>
      <c r="R63" s="8">
        <v>291.18</v>
      </c>
      <c r="S63" s="8">
        <v>479.54</v>
      </c>
      <c r="T63" s="8">
        <v>479.54</v>
      </c>
      <c r="U63" s="8" t="str">
        <f>IF(T63&lt;=_xlfn.PERCENTILE.INC($T63:$T$633,0.33), "Low", IF(T63&lt;=_xlfn.PERCENTILE.INC($T63:$T$633,0.66), "Medium", "High"))</f>
        <v>Low</v>
      </c>
      <c r="V63" s="10">
        <v>0.14099999999999999</v>
      </c>
      <c r="W63" s="10">
        <f t="shared" si="7"/>
        <v>0.14099999999999999</v>
      </c>
      <c r="X63" s="12">
        <v>22</v>
      </c>
      <c r="Y63" s="8">
        <f t="shared" si="0"/>
        <v>9062.34692</v>
      </c>
      <c r="Z63" s="8">
        <f t="shared" si="1"/>
        <v>6405.96</v>
      </c>
      <c r="AA63" s="8">
        <f t="shared" si="8"/>
        <v>2656.3869199999999</v>
      </c>
      <c r="AB63" s="10">
        <f t="shared" si="9"/>
        <v>0.29312350801066001</v>
      </c>
      <c r="AC63" s="14">
        <f>_xlfn.MINIFS($C$2:$C$633, $J$2:$J$633, J63)</f>
        <v>44988</v>
      </c>
      <c r="AD63">
        <f>DATEDIF(AC63, C63, "m")</f>
        <v>2</v>
      </c>
      <c r="AE63" s="8">
        <f t="shared" si="10"/>
        <v>411.92486000000002</v>
      </c>
    </row>
    <row r="64" spans="1:31" x14ac:dyDescent="0.3">
      <c r="A64" s="4" t="s">
        <v>406</v>
      </c>
      <c r="B64" s="6">
        <v>45208</v>
      </c>
      <c r="C64" s="14">
        <v>45208</v>
      </c>
      <c r="D64" s="14" t="str">
        <f t="shared" si="2"/>
        <v>Q4 -2023</v>
      </c>
      <c r="E64" s="6">
        <v>45225</v>
      </c>
      <c r="F64" s="6">
        <f t="shared" si="3"/>
        <v>45225</v>
      </c>
      <c r="G64" s="12">
        <f t="shared" si="4"/>
        <v>17</v>
      </c>
      <c r="H64" s="12">
        <f t="shared" si="5"/>
        <v>0</v>
      </c>
      <c r="I64" s="4" t="s">
        <v>647</v>
      </c>
      <c r="J64" s="4" t="s">
        <v>659</v>
      </c>
      <c r="K64" s="4" t="s">
        <v>685</v>
      </c>
      <c r="L64" t="str">
        <f t="shared" si="6"/>
        <v>Asia&gt;China&gt;Shanghai</v>
      </c>
      <c r="M64" s="4" t="s">
        <v>704</v>
      </c>
      <c r="N64" s="4" t="s">
        <v>709</v>
      </c>
      <c r="O64" s="4" t="s">
        <v>712</v>
      </c>
      <c r="P64" s="4" t="s">
        <v>727</v>
      </c>
      <c r="Q64" s="4" t="s">
        <v>1125</v>
      </c>
      <c r="R64" s="8">
        <v>1132.03</v>
      </c>
      <c r="S64" s="8">
        <v>2137.21</v>
      </c>
      <c r="T64" s="8">
        <v>2137.21</v>
      </c>
      <c r="U64" s="8" t="str">
        <f>IF(T64&lt;=_xlfn.PERCENTILE.INC($T64:$T$633,0.33), "Low", IF(T64&lt;=_xlfn.PERCENTILE.INC($T64:$T$633,0.66), "Medium", "High"))</f>
        <v>High</v>
      </c>
      <c r="V64" s="10">
        <v>0.35699999999999998</v>
      </c>
      <c r="W64" s="10">
        <f t="shared" si="7"/>
        <v>0.3</v>
      </c>
      <c r="X64" s="12">
        <v>35</v>
      </c>
      <c r="Y64" s="8">
        <f t="shared" si="0"/>
        <v>52361.645000000004</v>
      </c>
      <c r="Z64" s="8">
        <f t="shared" si="1"/>
        <v>39621.049999999996</v>
      </c>
      <c r="AA64" s="8">
        <f t="shared" si="8"/>
        <v>12740.595000000008</v>
      </c>
      <c r="AB64" s="10">
        <f t="shared" si="9"/>
        <v>0.24331922727026639</v>
      </c>
      <c r="AC64" s="14">
        <f>_xlfn.MINIFS($C$2:$C$633, $J$2:$J$633, J64)</f>
        <v>44938</v>
      </c>
      <c r="AD64">
        <f>DATEDIF(AC64, C64, "m")</f>
        <v>8</v>
      </c>
      <c r="AE64" s="8">
        <f t="shared" si="10"/>
        <v>1496.047</v>
      </c>
    </row>
    <row r="65" spans="1:31" x14ac:dyDescent="0.3">
      <c r="A65" s="4" t="s">
        <v>303</v>
      </c>
      <c r="B65" s="6">
        <v>45125</v>
      </c>
      <c r="C65" s="14">
        <v>45125</v>
      </c>
      <c r="D65" s="14" t="str">
        <f t="shared" si="2"/>
        <v>Q3 -2023</v>
      </c>
      <c r="E65" s="6">
        <v>45148</v>
      </c>
      <c r="F65" s="6">
        <f t="shared" si="3"/>
        <v>45148</v>
      </c>
      <c r="G65" s="12">
        <f t="shared" si="4"/>
        <v>23</v>
      </c>
      <c r="H65" s="12">
        <f t="shared" si="5"/>
        <v>0</v>
      </c>
      <c r="I65" s="4" t="s">
        <v>646</v>
      </c>
      <c r="J65" s="4" t="s">
        <v>661</v>
      </c>
      <c r="K65" s="4" t="s">
        <v>682</v>
      </c>
      <c r="L65" t="str">
        <f t="shared" si="6"/>
        <v>Africa&gt;South Africa&gt;Johannesburg</v>
      </c>
      <c r="M65" s="4" t="s">
        <v>705</v>
      </c>
      <c r="N65" s="4" t="s">
        <v>707</v>
      </c>
      <c r="O65" s="4" t="s">
        <v>716</v>
      </c>
      <c r="P65" s="4" t="s">
        <v>727</v>
      </c>
      <c r="Q65" s="4" t="s">
        <v>1023</v>
      </c>
      <c r="R65" s="8">
        <v>1271.56</v>
      </c>
      <c r="S65" s="8">
        <v>995.47</v>
      </c>
      <c r="T65" s="8">
        <v>995.47</v>
      </c>
      <c r="U65" s="8" t="str">
        <f>IF(T65&lt;=_xlfn.PERCENTILE.INC($T65:$T$633,0.33), "Low", IF(T65&lt;=_xlfn.PERCENTILE.INC($T65:$T$633,0.66), "Medium", "High"))</f>
        <v>Medium</v>
      </c>
      <c r="V65" s="10">
        <v>0.192</v>
      </c>
      <c r="W65" s="10">
        <f t="shared" si="7"/>
        <v>0.192</v>
      </c>
      <c r="X65" s="12">
        <v>13</v>
      </c>
      <c r="Y65" s="8">
        <f t="shared" si="0"/>
        <v>10456.416880000001</v>
      </c>
      <c r="Z65" s="8">
        <f t="shared" si="1"/>
        <v>16530.28</v>
      </c>
      <c r="AA65" s="8">
        <f t="shared" si="8"/>
        <v>-6073.8631199999982</v>
      </c>
      <c r="AB65" s="10">
        <f t="shared" si="9"/>
        <v>-0.58087423155607754</v>
      </c>
      <c r="AC65" s="14">
        <f>_xlfn.MINIFS($C$2:$C$633, $J$2:$J$633, J65)</f>
        <v>44933</v>
      </c>
      <c r="AD65">
        <f>DATEDIF(AC65, C65, "m")</f>
        <v>6</v>
      </c>
      <c r="AE65" s="8">
        <f t="shared" si="10"/>
        <v>804.33976000000007</v>
      </c>
    </row>
    <row r="66" spans="1:31" x14ac:dyDescent="0.3">
      <c r="A66" s="4" t="s">
        <v>287</v>
      </c>
      <c r="B66" s="6">
        <v>45131</v>
      </c>
      <c r="C66" s="14">
        <v>45131</v>
      </c>
      <c r="D66" s="14" t="str">
        <f t="shared" si="2"/>
        <v>Q3 -2023</v>
      </c>
      <c r="E66" s="6">
        <v>45151</v>
      </c>
      <c r="F66" s="6">
        <f t="shared" si="3"/>
        <v>45151</v>
      </c>
      <c r="G66" s="12">
        <f t="shared" si="4"/>
        <v>20</v>
      </c>
      <c r="H66" s="12">
        <f t="shared" si="5"/>
        <v>0</v>
      </c>
      <c r="I66" s="4" t="s">
        <v>648</v>
      </c>
      <c r="J66" s="4" t="s">
        <v>653</v>
      </c>
      <c r="K66" s="4" t="s">
        <v>681</v>
      </c>
      <c r="L66" t="str">
        <f t="shared" si="6"/>
        <v>Americas&gt;Canada&gt;Montreal</v>
      </c>
      <c r="M66" s="4" t="s">
        <v>702</v>
      </c>
      <c r="N66" s="4" t="s">
        <v>711</v>
      </c>
      <c r="O66" s="4" t="s">
        <v>712</v>
      </c>
      <c r="P66" s="4" t="s">
        <v>732</v>
      </c>
      <c r="Q66" s="4" t="s">
        <v>1007</v>
      </c>
      <c r="R66" s="8">
        <v>1082.3800000000001</v>
      </c>
      <c r="S66" s="8">
        <v>1766.55</v>
      </c>
      <c r="T66" s="8">
        <v>1766.55</v>
      </c>
      <c r="U66" s="8" t="str">
        <f>IF(T66&lt;=_xlfn.PERCENTILE.INC($T66:$T$633,0.33), "Low", IF(T66&lt;=_xlfn.PERCENTILE.INC($T66:$T$633,0.66), "Medium", "High"))</f>
        <v>High</v>
      </c>
      <c r="V66" s="10">
        <v>0.16400000000000001</v>
      </c>
      <c r="W66" s="10">
        <f t="shared" si="7"/>
        <v>0.16400000000000001</v>
      </c>
      <c r="X66" s="12">
        <v>20</v>
      </c>
      <c r="Y66" s="8">
        <f t="shared" ref="Y66:Y129" si="11">(T66*X66*(1-W66))</f>
        <v>29536.716</v>
      </c>
      <c r="Z66" s="8">
        <f t="shared" ref="Z66:Z129" si="12">R66*X66</f>
        <v>21647.600000000002</v>
      </c>
      <c r="AA66" s="8">
        <f t="shared" si="8"/>
        <v>7889.1159999999982</v>
      </c>
      <c r="AB66" s="10">
        <f t="shared" si="9"/>
        <v>0.26709523157550752</v>
      </c>
      <c r="AC66" s="14">
        <f>_xlfn.MINIFS($C$2:$C$633, $J$2:$J$633, J66)</f>
        <v>44928</v>
      </c>
      <c r="AD66">
        <f>DATEDIF(AC66, C66, "m")</f>
        <v>6</v>
      </c>
      <c r="AE66" s="8">
        <f t="shared" si="10"/>
        <v>1476.8358000000001</v>
      </c>
    </row>
    <row r="67" spans="1:31" x14ac:dyDescent="0.3">
      <c r="A67" s="4" t="s">
        <v>17</v>
      </c>
      <c r="B67" s="6">
        <v>44985</v>
      </c>
      <c r="C67" s="14">
        <v>44985</v>
      </c>
      <c r="D67" s="14" t="str">
        <f t="shared" ref="D67:D130" si="13">IF(MONTH(C67) &lt;=3, "Q1", IF(MONTH(C67)&lt;=6, "Q2", IF(MONTH(C67)&lt;=9, "Q3", "Q4")))&amp; " -" &amp; YEAR(C67)</f>
        <v>Q1 -2023</v>
      </c>
      <c r="E67" s="6">
        <v>45010</v>
      </c>
      <c r="F67" s="6">
        <f t="shared" ref="F67:F130" si="14">IF(E67&lt;B67, E67 + 7, E67)</f>
        <v>45010</v>
      </c>
      <c r="G67" s="12">
        <f t="shared" ref="G67:G130" si="15">DATEDIF(B67, F67,"D")</f>
        <v>25</v>
      </c>
      <c r="H67" s="12">
        <f t="shared" ref="H67:H130" si="16">IF(G67&lt;=7,1,0)</f>
        <v>0</v>
      </c>
      <c r="I67" s="4" t="s">
        <v>646</v>
      </c>
      <c r="J67" s="4" t="s">
        <v>650</v>
      </c>
      <c r="K67" s="4" t="s">
        <v>664</v>
      </c>
      <c r="L67" t="str">
        <f t="shared" ref="L67:L130" si="17">I67&amp;"&gt;"&amp;J67 &amp;"&gt;"&amp;K67</f>
        <v>Africa&gt;Kenya&gt;Nairobi</v>
      </c>
      <c r="M67" s="4" t="s">
        <v>701</v>
      </c>
      <c r="N67" s="4" t="s">
        <v>707</v>
      </c>
      <c r="O67" s="4" t="s">
        <v>714</v>
      </c>
      <c r="P67" s="4" t="s">
        <v>729</v>
      </c>
      <c r="Q67" s="4" t="s">
        <v>736</v>
      </c>
      <c r="R67" s="8">
        <v>1460.76</v>
      </c>
      <c r="S67" s="8">
        <v>-30.66</v>
      </c>
      <c r="T67" s="8">
        <v>30.66</v>
      </c>
      <c r="U67" s="8" t="str">
        <f>IF(T67&lt;=_xlfn.PERCENTILE.INC($T67:$T$633,0.33), "Low", IF(T67&lt;=_xlfn.PERCENTILE.INC($T67:$T$633,0.66), "Medium", "High"))</f>
        <v>Low</v>
      </c>
      <c r="V67" s="10">
        <v>0.13100000000000001</v>
      </c>
      <c r="W67" s="10">
        <f t="shared" ref="W67:W130" si="18">IF(V67&gt;0.3,0.3,V67)</f>
        <v>0.13100000000000001</v>
      </c>
      <c r="X67" s="12">
        <v>12</v>
      </c>
      <c r="Y67" s="8">
        <f t="shared" si="11"/>
        <v>319.72248000000002</v>
      </c>
      <c r="Z67" s="8">
        <f t="shared" si="12"/>
        <v>17529.12</v>
      </c>
      <c r="AA67" s="8">
        <f t="shared" ref="AA67:AA130" si="19">Y67-Z67</f>
        <v>-17209.397519999999</v>
      </c>
      <c r="AB67" s="10">
        <f t="shared" ref="AB67:AB130" si="20">IF(Y67 = 0, 0, AA67/Y67)</f>
        <v>-53.826047890032626</v>
      </c>
      <c r="AC67" s="14">
        <f>_xlfn.MINIFS($C$2:$C$633, $J$2:$J$633, J67)</f>
        <v>44946</v>
      </c>
      <c r="AD67">
        <f>DATEDIF(AC67, C67, "m")</f>
        <v>1</v>
      </c>
      <c r="AE67" s="8">
        <f t="shared" ref="AE67:AE130" si="21">(Y67/X67)</f>
        <v>26.643540000000002</v>
      </c>
    </row>
    <row r="68" spans="1:31" x14ac:dyDescent="0.3">
      <c r="A68" s="4" t="s">
        <v>107</v>
      </c>
      <c r="B68" s="6">
        <v>45101</v>
      </c>
      <c r="C68" s="14">
        <v>45101</v>
      </c>
      <c r="D68" s="14" t="str">
        <f t="shared" si="13"/>
        <v>Q2 -2023</v>
      </c>
      <c r="E68" s="6">
        <v>45100</v>
      </c>
      <c r="F68" s="6">
        <f t="shared" si="14"/>
        <v>45107</v>
      </c>
      <c r="G68" s="12">
        <f t="shared" si="15"/>
        <v>6</v>
      </c>
      <c r="H68" s="12">
        <f t="shared" si="16"/>
        <v>1</v>
      </c>
      <c r="I68" s="4" t="s">
        <v>648</v>
      </c>
      <c r="J68" s="4" t="s">
        <v>655</v>
      </c>
      <c r="K68" s="4" t="s">
        <v>692</v>
      </c>
      <c r="L68" t="str">
        <f t="shared" si="17"/>
        <v>Americas&gt;Brazil&gt;Rio de Janeiro</v>
      </c>
      <c r="M68" s="4" t="s">
        <v>703</v>
      </c>
      <c r="N68" s="4" t="s">
        <v>707</v>
      </c>
      <c r="O68" s="4" t="s">
        <v>718</v>
      </c>
      <c r="P68" s="4" t="s">
        <v>728</v>
      </c>
      <c r="Q68" s="4" t="s">
        <v>826</v>
      </c>
      <c r="R68" s="8">
        <v>804.01</v>
      </c>
      <c r="S68" s="8">
        <v>1405.07</v>
      </c>
      <c r="T68" s="8">
        <v>1405.07</v>
      </c>
      <c r="U68" s="8" t="str">
        <f>IF(T68&lt;=_xlfn.PERCENTILE.INC($T68:$T$633,0.33), "Low", IF(T68&lt;=_xlfn.PERCENTILE.INC($T68:$T$633,0.66), "Medium", "High"))</f>
        <v>Medium</v>
      </c>
      <c r="V68" s="10">
        <v>9.6000000000000002E-2</v>
      </c>
      <c r="W68" s="10">
        <f t="shared" si="18"/>
        <v>9.6000000000000002E-2</v>
      </c>
      <c r="X68" s="12">
        <v>8</v>
      </c>
      <c r="Y68" s="8">
        <f t="shared" si="11"/>
        <v>10161.46624</v>
      </c>
      <c r="Z68" s="8">
        <f t="shared" si="12"/>
        <v>6432.08</v>
      </c>
      <c r="AA68" s="8">
        <f t="shared" si="19"/>
        <v>3729.3862399999998</v>
      </c>
      <c r="AB68" s="10">
        <f t="shared" si="20"/>
        <v>0.36701260939287439</v>
      </c>
      <c r="AC68" s="14">
        <f>_xlfn.MINIFS($C$2:$C$633, $J$2:$J$633, J68)</f>
        <v>44955</v>
      </c>
      <c r="AD68">
        <f>DATEDIF(AC68, C68, "m")</f>
        <v>4</v>
      </c>
      <c r="AE68" s="8">
        <f t="shared" si="21"/>
        <v>1270.18328</v>
      </c>
    </row>
    <row r="69" spans="1:31" x14ac:dyDescent="0.3">
      <c r="A69" s="4" t="s">
        <v>307</v>
      </c>
      <c r="B69" s="6">
        <v>45161</v>
      </c>
      <c r="C69" s="14">
        <v>45161</v>
      </c>
      <c r="D69" s="14" t="str">
        <f t="shared" si="13"/>
        <v>Q3 -2023</v>
      </c>
      <c r="E69" s="6">
        <v>45191</v>
      </c>
      <c r="F69" s="6">
        <f t="shared" si="14"/>
        <v>45191</v>
      </c>
      <c r="G69" s="12">
        <f t="shared" si="15"/>
        <v>30</v>
      </c>
      <c r="H69" s="12">
        <f t="shared" si="16"/>
        <v>0</v>
      </c>
      <c r="I69" s="4" t="s">
        <v>649</v>
      </c>
      <c r="J69" s="4" t="s">
        <v>658</v>
      </c>
      <c r="K69" s="4" t="s">
        <v>683</v>
      </c>
      <c r="L69" t="str">
        <f t="shared" si="17"/>
        <v>Europe&gt;United Kingdom&gt;London</v>
      </c>
      <c r="M69" s="4" t="s">
        <v>704</v>
      </c>
      <c r="N69" s="4" t="s">
        <v>710</v>
      </c>
      <c r="O69" s="4" t="s">
        <v>719</v>
      </c>
      <c r="P69" s="4" t="s">
        <v>733</v>
      </c>
      <c r="Q69" s="4" t="s">
        <v>1027</v>
      </c>
      <c r="R69" s="8">
        <v>209.81</v>
      </c>
      <c r="S69" s="8">
        <v>523</v>
      </c>
      <c r="T69" s="8">
        <v>523</v>
      </c>
      <c r="U69" s="8" t="str">
        <f>IF(T69&lt;=_xlfn.PERCENTILE.INC($T69:$T$633,0.33), "Low", IF(T69&lt;=_xlfn.PERCENTILE.INC($T69:$T$633,0.66), "Medium", "High"))</f>
        <v>Low</v>
      </c>
      <c r="V69" s="10">
        <v>5.8999999999999997E-2</v>
      </c>
      <c r="W69" s="10">
        <f t="shared" si="18"/>
        <v>5.8999999999999997E-2</v>
      </c>
      <c r="X69" s="12">
        <v>15</v>
      </c>
      <c r="Y69" s="8">
        <f t="shared" si="11"/>
        <v>7382.1450000000004</v>
      </c>
      <c r="Z69" s="8">
        <f t="shared" si="12"/>
        <v>3147.15</v>
      </c>
      <c r="AA69" s="8">
        <f t="shared" si="19"/>
        <v>4234.9950000000008</v>
      </c>
      <c r="AB69" s="10">
        <f t="shared" si="20"/>
        <v>0.57368082041195356</v>
      </c>
      <c r="AC69" s="14">
        <f>_xlfn.MINIFS($C$2:$C$633, $J$2:$J$633, J69)</f>
        <v>44945</v>
      </c>
      <c r="AD69">
        <f>DATEDIF(AC69, C69, "m")</f>
        <v>7</v>
      </c>
      <c r="AE69" s="8">
        <f t="shared" si="21"/>
        <v>492.14300000000003</v>
      </c>
    </row>
    <row r="70" spans="1:31" x14ac:dyDescent="0.3">
      <c r="A70" s="4" t="s">
        <v>449</v>
      </c>
      <c r="B70" s="6">
        <v>45217</v>
      </c>
      <c r="C70" s="14">
        <v>45217</v>
      </c>
      <c r="D70" s="14" t="str">
        <f t="shared" si="13"/>
        <v>Q4 -2023</v>
      </c>
      <c r="E70" s="6">
        <v>45219</v>
      </c>
      <c r="F70" s="6">
        <f t="shared" si="14"/>
        <v>45219</v>
      </c>
      <c r="G70" s="12">
        <f t="shared" si="15"/>
        <v>2</v>
      </c>
      <c r="H70" s="12">
        <f t="shared" si="16"/>
        <v>1</v>
      </c>
      <c r="I70" s="4" t="s">
        <v>646</v>
      </c>
      <c r="J70" s="4" t="s">
        <v>650</v>
      </c>
      <c r="K70" s="4" t="s">
        <v>662</v>
      </c>
      <c r="L70" t="str">
        <f t="shared" si="17"/>
        <v>Africa&gt;Kenya&gt;Kisumu</v>
      </c>
      <c r="M70" s="4" t="s">
        <v>704</v>
      </c>
      <c r="N70" s="4" t="s">
        <v>707</v>
      </c>
      <c r="O70" s="4" t="s">
        <v>713</v>
      </c>
      <c r="P70" s="4" t="s">
        <v>730</v>
      </c>
      <c r="Q70" s="4" t="s">
        <v>1168</v>
      </c>
      <c r="R70" s="8">
        <v>774.12</v>
      </c>
      <c r="S70" s="8">
        <v>908.3</v>
      </c>
      <c r="T70" s="8">
        <v>908.3</v>
      </c>
      <c r="U70" s="8" t="str">
        <f>IF(T70&lt;=_xlfn.PERCENTILE.INC($T70:$T$633,0.33), "Low", IF(T70&lt;=_xlfn.PERCENTILE.INC($T70:$T$633,0.66), "Medium", "High"))</f>
        <v>Medium</v>
      </c>
      <c r="V70" s="10">
        <v>0</v>
      </c>
      <c r="W70" s="10">
        <f t="shared" si="18"/>
        <v>0</v>
      </c>
      <c r="X70" s="12">
        <v>30</v>
      </c>
      <c r="Y70" s="8">
        <f t="shared" si="11"/>
        <v>27249</v>
      </c>
      <c r="Z70" s="8">
        <f t="shared" si="12"/>
        <v>23223.599999999999</v>
      </c>
      <c r="AA70" s="8">
        <f t="shared" si="19"/>
        <v>4025.4000000000015</v>
      </c>
      <c r="AB70" s="10">
        <f t="shared" si="20"/>
        <v>0.14772652207420461</v>
      </c>
      <c r="AC70" s="14">
        <f>_xlfn.MINIFS($C$2:$C$633, $J$2:$J$633, J70)</f>
        <v>44946</v>
      </c>
      <c r="AD70">
        <f>DATEDIF(AC70, C70, "m")</f>
        <v>8</v>
      </c>
      <c r="AE70" s="8">
        <f t="shared" si="21"/>
        <v>908.3</v>
      </c>
    </row>
    <row r="71" spans="1:31" x14ac:dyDescent="0.3">
      <c r="A71" s="4" t="s">
        <v>600</v>
      </c>
      <c r="B71" s="6">
        <v>45049</v>
      </c>
      <c r="C71" s="14">
        <v>45049</v>
      </c>
      <c r="D71" s="14" t="str">
        <f t="shared" si="13"/>
        <v>Q2 -2023</v>
      </c>
      <c r="E71" s="6">
        <v>45062</v>
      </c>
      <c r="F71" s="6">
        <f t="shared" si="14"/>
        <v>45062</v>
      </c>
      <c r="G71" s="12">
        <f t="shared" si="15"/>
        <v>13</v>
      </c>
      <c r="H71" s="12">
        <f t="shared" si="16"/>
        <v>0</v>
      </c>
      <c r="I71" s="4" t="s">
        <v>648</v>
      </c>
      <c r="J71" s="4" t="s">
        <v>660</v>
      </c>
      <c r="K71" s="4" t="s">
        <v>700</v>
      </c>
      <c r="L71" t="str">
        <f t="shared" si="17"/>
        <v>Americas&gt;USA&gt;New York</v>
      </c>
      <c r="M71" s="4" t="s">
        <v>701</v>
      </c>
      <c r="N71" s="4" t="s">
        <v>709</v>
      </c>
      <c r="O71" s="4" t="s">
        <v>716</v>
      </c>
      <c r="P71" s="4" t="s">
        <v>730</v>
      </c>
      <c r="Q71" s="4" t="s">
        <v>1318</v>
      </c>
      <c r="R71" s="8">
        <v>64.5</v>
      </c>
      <c r="S71" s="8">
        <v>123.62</v>
      </c>
      <c r="T71" s="8">
        <v>123.62</v>
      </c>
      <c r="U71" s="8" t="str">
        <f>IF(T71&lt;=_xlfn.PERCENTILE.INC($T71:$T$633,0.33), "Low", IF(T71&lt;=_xlfn.PERCENTILE.INC($T71:$T$633,0.66), "Medium", "High"))</f>
        <v>Low</v>
      </c>
      <c r="V71" s="10">
        <v>0</v>
      </c>
      <c r="W71" s="10">
        <f t="shared" si="18"/>
        <v>0</v>
      </c>
      <c r="X71" s="12">
        <v>3</v>
      </c>
      <c r="Y71" s="8">
        <f t="shared" si="11"/>
        <v>370.86</v>
      </c>
      <c r="Z71" s="8">
        <f t="shared" si="12"/>
        <v>193.5</v>
      </c>
      <c r="AA71" s="8">
        <f t="shared" si="19"/>
        <v>177.36</v>
      </c>
      <c r="AB71" s="10">
        <f t="shared" si="20"/>
        <v>0.47823976702798904</v>
      </c>
      <c r="AC71" s="14">
        <f>_xlfn.MINIFS($C$2:$C$633, $J$2:$J$633, J71)</f>
        <v>44939</v>
      </c>
      <c r="AD71">
        <f>DATEDIF(AC71, C71, "m")</f>
        <v>3</v>
      </c>
      <c r="AE71" s="8">
        <f t="shared" si="21"/>
        <v>123.62</v>
      </c>
    </row>
    <row r="72" spans="1:31" x14ac:dyDescent="0.3">
      <c r="A72" s="4" t="s">
        <v>214</v>
      </c>
      <c r="B72" s="6">
        <v>44939</v>
      </c>
      <c r="C72" s="14">
        <v>44939</v>
      </c>
      <c r="D72" s="14" t="str">
        <f t="shared" si="13"/>
        <v>Q1 -2023</v>
      </c>
      <c r="E72" s="6">
        <v>44945</v>
      </c>
      <c r="F72" s="6">
        <f t="shared" si="14"/>
        <v>44945</v>
      </c>
      <c r="G72" s="12">
        <f t="shared" si="15"/>
        <v>6</v>
      </c>
      <c r="H72" s="12">
        <f t="shared" si="16"/>
        <v>1</v>
      </c>
      <c r="I72" s="4" t="s">
        <v>648</v>
      </c>
      <c r="J72" s="4" t="s">
        <v>660</v>
      </c>
      <c r="K72" s="4" t="s">
        <v>677</v>
      </c>
      <c r="L72" t="str">
        <f t="shared" si="17"/>
        <v>Americas&gt;USA&gt;Chicago</v>
      </c>
      <c r="M72" s="4" t="s">
        <v>701</v>
      </c>
      <c r="N72" s="4" t="s">
        <v>711</v>
      </c>
      <c r="O72" s="4" t="s">
        <v>722</v>
      </c>
      <c r="P72" s="4" t="s">
        <v>730</v>
      </c>
      <c r="Q72" s="4" t="s">
        <v>934</v>
      </c>
      <c r="R72" s="8">
        <v>833.57</v>
      </c>
      <c r="S72" s="8">
        <v>881.57</v>
      </c>
      <c r="T72" s="8">
        <v>881.57</v>
      </c>
      <c r="U72" s="8" t="str">
        <f>IF(T72&lt;=_xlfn.PERCENTILE.INC($T72:$T$633,0.33), "Low", IF(T72&lt;=_xlfn.PERCENTILE.INC($T72:$T$633,0.66), "Medium", "High"))</f>
        <v>Medium</v>
      </c>
      <c r="V72" s="10">
        <v>5.7000000000000002E-2</v>
      </c>
      <c r="W72" s="10">
        <f t="shared" si="18"/>
        <v>5.7000000000000002E-2</v>
      </c>
      <c r="X72" s="12">
        <v>18</v>
      </c>
      <c r="Y72" s="8">
        <f t="shared" si="11"/>
        <v>14963.769179999999</v>
      </c>
      <c r="Z72" s="8">
        <f t="shared" si="12"/>
        <v>15004.26</v>
      </c>
      <c r="AA72" s="8">
        <f t="shared" si="19"/>
        <v>-40.490820000000895</v>
      </c>
      <c r="AB72" s="10">
        <f t="shared" si="20"/>
        <v>-2.7059238560107821E-3</v>
      </c>
      <c r="AC72" s="14">
        <f>_xlfn.MINIFS($C$2:$C$633, $J$2:$J$633, J72)</f>
        <v>44939</v>
      </c>
      <c r="AD72">
        <f>DATEDIF(AC72, C72, "m")</f>
        <v>0</v>
      </c>
      <c r="AE72" s="8">
        <f t="shared" si="21"/>
        <v>831.32051000000001</v>
      </c>
    </row>
    <row r="73" spans="1:31" x14ac:dyDescent="0.3">
      <c r="A73" s="4" t="s">
        <v>89</v>
      </c>
      <c r="B73" s="6">
        <v>45066</v>
      </c>
      <c r="C73" s="14">
        <v>45066</v>
      </c>
      <c r="D73" s="14" t="str">
        <f t="shared" si="13"/>
        <v>Q2 -2023</v>
      </c>
      <c r="E73" s="6">
        <v>45064</v>
      </c>
      <c r="F73" s="6">
        <f t="shared" si="14"/>
        <v>45071</v>
      </c>
      <c r="G73" s="12">
        <f t="shared" si="15"/>
        <v>5</v>
      </c>
      <c r="H73" s="12">
        <f t="shared" si="16"/>
        <v>1</v>
      </c>
      <c r="I73" s="4" t="s">
        <v>646</v>
      </c>
      <c r="J73" s="4" t="s">
        <v>661</v>
      </c>
      <c r="K73" s="4" t="s">
        <v>687</v>
      </c>
      <c r="L73" t="str">
        <f t="shared" si="17"/>
        <v>Africa&gt;South Africa&gt;Durban</v>
      </c>
      <c r="M73" s="4" t="s">
        <v>701</v>
      </c>
      <c r="N73" s="4" t="s">
        <v>710</v>
      </c>
      <c r="O73" s="4" t="s">
        <v>720</v>
      </c>
      <c r="P73" s="4" t="s">
        <v>727</v>
      </c>
      <c r="Q73" s="4" t="s">
        <v>808</v>
      </c>
      <c r="R73" s="8">
        <v>917.88</v>
      </c>
      <c r="S73" s="8">
        <v>1347.92</v>
      </c>
      <c r="T73" s="8">
        <v>1347.92</v>
      </c>
      <c r="U73" s="8" t="str">
        <f>IF(T73&lt;=_xlfn.PERCENTILE.INC($T73:$T$633,0.33), "Low", IF(T73&lt;=_xlfn.PERCENTILE.INC($T73:$T$633,0.66), "Medium", "High"))</f>
        <v>Medium</v>
      </c>
      <c r="V73" s="10">
        <v>0.34300000000000003</v>
      </c>
      <c r="W73" s="10">
        <f t="shared" si="18"/>
        <v>0.3</v>
      </c>
      <c r="X73" s="12">
        <v>5</v>
      </c>
      <c r="Y73" s="8">
        <f t="shared" si="11"/>
        <v>4717.72</v>
      </c>
      <c r="Z73" s="8">
        <f t="shared" si="12"/>
        <v>4589.3999999999996</v>
      </c>
      <c r="AA73" s="8">
        <f t="shared" si="19"/>
        <v>128.32000000000062</v>
      </c>
      <c r="AB73" s="10">
        <f t="shared" si="20"/>
        <v>2.7199579457873848E-2</v>
      </c>
      <c r="AC73" s="14">
        <f>_xlfn.MINIFS($C$2:$C$633, $J$2:$J$633, J73)</f>
        <v>44933</v>
      </c>
      <c r="AD73">
        <f>DATEDIF(AC73, C73, "m")</f>
        <v>4</v>
      </c>
      <c r="AE73" s="8">
        <f t="shared" si="21"/>
        <v>943.5440000000001</v>
      </c>
    </row>
    <row r="74" spans="1:31" x14ac:dyDescent="0.3">
      <c r="A74" s="4" t="s">
        <v>378</v>
      </c>
      <c r="B74" s="6">
        <v>45082</v>
      </c>
      <c r="C74" s="14">
        <v>45082</v>
      </c>
      <c r="D74" s="14" t="str">
        <f t="shared" si="13"/>
        <v>Q2 -2023</v>
      </c>
      <c r="E74" s="6">
        <v>45105</v>
      </c>
      <c r="F74" s="6">
        <f t="shared" si="14"/>
        <v>45105</v>
      </c>
      <c r="G74" s="12">
        <f t="shared" si="15"/>
        <v>23</v>
      </c>
      <c r="H74" s="12">
        <f t="shared" si="16"/>
        <v>0</v>
      </c>
      <c r="I74" s="4" t="s">
        <v>649</v>
      </c>
      <c r="J74" s="4" t="s">
        <v>658</v>
      </c>
      <c r="K74" s="4" t="s">
        <v>674</v>
      </c>
      <c r="L74" t="str">
        <f t="shared" si="17"/>
        <v>Europe&gt;United Kingdom&gt;Birmingham</v>
      </c>
      <c r="M74" s="4" t="s">
        <v>701</v>
      </c>
      <c r="N74" s="4" t="s">
        <v>711</v>
      </c>
      <c r="O74" s="4" t="s">
        <v>723</v>
      </c>
      <c r="P74" s="4" t="s">
        <v>728</v>
      </c>
      <c r="Q74" s="4" t="s">
        <v>1098</v>
      </c>
      <c r="R74" s="8">
        <v>605.82000000000005</v>
      </c>
      <c r="S74" s="8">
        <v>771.12</v>
      </c>
      <c r="T74" s="8">
        <v>771.12</v>
      </c>
      <c r="U74" s="8" t="str">
        <f>IF(T74&lt;=_xlfn.PERCENTILE.INC($T74:$T$633,0.33), "Low", IF(T74&lt;=_xlfn.PERCENTILE.INC($T74:$T$633,0.66), "Medium", "High"))</f>
        <v>Low</v>
      </c>
      <c r="V74" s="10">
        <v>0.13200000000000001</v>
      </c>
      <c r="W74" s="10">
        <f t="shared" si="18"/>
        <v>0.13200000000000001</v>
      </c>
      <c r="X74" s="12">
        <v>19</v>
      </c>
      <c r="Y74" s="8">
        <f t="shared" si="11"/>
        <v>12717.311040000001</v>
      </c>
      <c r="Z74" s="8">
        <f t="shared" si="12"/>
        <v>11510.580000000002</v>
      </c>
      <c r="AA74" s="8">
        <f t="shared" si="19"/>
        <v>1206.7310399999988</v>
      </c>
      <c r="AB74" s="10">
        <f t="shared" si="20"/>
        <v>9.4888851597986767E-2</v>
      </c>
      <c r="AC74" s="14">
        <f>_xlfn.MINIFS($C$2:$C$633, $J$2:$J$633, J74)</f>
        <v>44945</v>
      </c>
      <c r="AD74">
        <f>DATEDIF(AC74, C74, "m")</f>
        <v>4</v>
      </c>
      <c r="AE74" s="8">
        <f t="shared" si="21"/>
        <v>669.33216000000004</v>
      </c>
    </row>
    <row r="75" spans="1:31" x14ac:dyDescent="0.3">
      <c r="A75" s="4" t="s">
        <v>219</v>
      </c>
      <c r="B75" s="6">
        <v>45035</v>
      </c>
      <c r="C75" s="14">
        <v>45035</v>
      </c>
      <c r="D75" s="14" t="str">
        <f t="shared" si="13"/>
        <v>Q2 -2023</v>
      </c>
      <c r="E75" s="6">
        <v>45044</v>
      </c>
      <c r="F75" s="6">
        <f t="shared" si="14"/>
        <v>45044</v>
      </c>
      <c r="G75" s="12">
        <f t="shared" si="15"/>
        <v>9</v>
      </c>
      <c r="H75" s="12">
        <f t="shared" si="16"/>
        <v>0</v>
      </c>
      <c r="I75" s="4" t="s">
        <v>649</v>
      </c>
      <c r="J75" s="4" t="s">
        <v>656</v>
      </c>
      <c r="K75" s="4" t="s">
        <v>671</v>
      </c>
      <c r="L75" t="str">
        <f t="shared" si="17"/>
        <v>Europe&gt;Germany&gt;Berlin</v>
      </c>
      <c r="M75" s="4" t="s">
        <v>702</v>
      </c>
      <c r="N75" s="4" t="s">
        <v>708</v>
      </c>
      <c r="O75" s="4" t="s">
        <v>718</v>
      </c>
      <c r="P75" s="4" t="s">
        <v>732</v>
      </c>
      <c r="Q75" s="4" t="s">
        <v>939</v>
      </c>
      <c r="R75" s="8">
        <v>1178.42</v>
      </c>
      <c r="S75" s="8">
        <v>2446.56</v>
      </c>
      <c r="T75" s="8">
        <v>2446.56</v>
      </c>
      <c r="U75" s="8" t="str">
        <f>IF(T75&lt;=_xlfn.PERCENTILE.INC($T75:$T$633,0.33), "Low", IF(T75&lt;=_xlfn.PERCENTILE.INC($T75:$T$633,0.66), "Medium", "High"))</f>
        <v>High</v>
      </c>
      <c r="V75" s="10">
        <v>2.9000000000000001E-2</v>
      </c>
      <c r="W75" s="10">
        <f t="shared" si="18"/>
        <v>2.9000000000000001E-2</v>
      </c>
      <c r="X75" s="12">
        <v>11</v>
      </c>
      <c r="Y75" s="8">
        <f t="shared" si="11"/>
        <v>26131.70736</v>
      </c>
      <c r="Z75" s="8">
        <f t="shared" si="12"/>
        <v>12962.62</v>
      </c>
      <c r="AA75" s="8">
        <f t="shared" si="19"/>
        <v>13169.08736</v>
      </c>
      <c r="AB75" s="10">
        <f t="shared" si="20"/>
        <v>0.5039505141618883</v>
      </c>
      <c r="AC75" s="14">
        <f>_xlfn.MINIFS($C$2:$C$633, $J$2:$J$633, J75)</f>
        <v>44948</v>
      </c>
      <c r="AD75">
        <f>DATEDIF(AC75, C75, "m")</f>
        <v>2</v>
      </c>
      <c r="AE75" s="8">
        <f t="shared" si="21"/>
        <v>2375.6097599999998</v>
      </c>
    </row>
    <row r="76" spans="1:31" x14ac:dyDescent="0.3">
      <c r="A76" s="4" t="s">
        <v>200</v>
      </c>
      <c r="B76" s="6">
        <v>45099</v>
      </c>
      <c r="C76" s="14">
        <v>45099</v>
      </c>
      <c r="D76" s="14" t="str">
        <f t="shared" si="13"/>
        <v>Q2 -2023</v>
      </c>
      <c r="E76" s="6">
        <v>45128</v>
      </c>
      <c r="F76" s="6">
        <f t="shared" si="14"/>
        <v>45128</v>
      </c>
      <c r="G76" s="12">
        <f t="shared" si="15"/>
        <v>29</v>
      </c>
      <c r="H76" s="12">
        <f t="shared" si="16"/>
        <v>0</v>
      </c>
      <c r="I76" s="4" t="s">
        <v>649</v>
      </c>
      <c r="J76" s="4" t="s">
        <v>657</v>
      </c>
      <c r="K76" s="4" t="s">
        <v>679</v>
      </c>
      <c r="L76" t="str">
        <f t="shared" si="17"/>
        <v>Europe&gt;France&gt;Lyon</v>
      </c>
      <c r="M76" s="4" t="s">
        <v>701</v>
      </c>
      <c r="N76" s="4" t="s">
        <v>707</v>
      </c>
      <c r="O76" s="4" t="s">
        <v>713</v>
      </c>
      <c r="P76" s="4" t="s">
        <v>733</v>
      </c>
      <c r="Q76" s="4" t="s">
        <v>919</v>
      </c>
      <c r="R76" s="8">
        <v>734.34</v>
      </c>
      <c r="S76" s="8">
        <v>887.9</v>
      </c>
      <c r="T76" s="8">
        <v>887.9</v>
      </c>
      <c r="U76" s="8" t="str">
        <f>IF(T76&lt;=_xlfn.PERCENTILE.INC($T76:$T$633,0.33), "Low", IF(T76&lt;=_xlfn.PERCENTILE.INC($T76:$T$633,0.66), "Medium", "High"))</f>
        <v>Medium</v>
      </c>
      <c r="V76" s="10">
        <v>2.5000000000000001E-2</v>
      </c>
      <c r="W76" s="10">
        <f t="shared" si="18"/>
        <v>2.5000000000000001E-2</v>
      </c>
      <c r="X76" s="12">
        <v>12</v>
      </c>
      <c r="Y76" s="8">
        <f t="shared" si="11"/>
        <v>10388.429999999998</v>
      </c>
      <c r="Z76" s="8">
        <f t="shared" si="12"/>
        <v>8812.08</v>
      </c>
      <c r="AA76" s="8">
        <f t="shared" si="19"/>
        <v>1576.3499999999985</v>
      </c>
      <c r="AB76" s="10">
        <f t="shared" si="20"/>
        <v>0.15174092716608753</v>
      </c>
      <c r="AC76" s="14">
        <f>_xlfn.MINIFS($C$2:$C$633, $J$2:$J$633, J76)</f>
        <v>44936</v>
      </c>
      <c r="AD76">
        <f>DATEDIF(AC76, C76, "m")</f>
        <v>5</v>
      </c>
      <c r="AE76" s="8">
        <f t="shared" si="21"/>
        <v>865.70249999999987</v>
      </c>
    </row>
    <row r="77" spans="1:31" x14ac:dyDescent="0.3">
      <c r="A77" s="4" t="s">
        <v>512</v>
      </c>
      <c r="B77" s="6">
        <v>45224</v>
      </c>
      <c r="C77" s="14">
        <v>45224</v>
      </c>
      <c r="D77" s="14" t="str">
        <f t="shared" si="13"/>
        <v>Q4 -2023</v>
      </c>
      <c r="E77" s="6">
        <v>45227</v>
      </c>
      <c r="F77" s="6">
        <f t="shared" si="14"/>
        <v>45227</v>
      </c>
      <c r="G77" s="12">
        <f t="shared" si="15"/>
        <v>3</v>
      </c>
      <c r="H77" s="12">
        <f t="shared" si="16"/>
        <v>1</v>
      </c>
      <c r="I77" s="4" t="s">
        <v>648</v>
      </c>
      <c r="J77" s="4" t="s">
        <v>655</v>
      </c>
      <c r="K77" s="4" t="s">
        <v>672</v>
      </c>
      <c r="L77" t="str">
        <f t="shared" si="17"/>
        <v>Americas&gt;Brazil&gt;Brasília</v>
      </c>
      <c r="M77" s="4" t="s">
        <v>701</v>
      </c>
      <c r="N77" s="4" t="s">
        <v>710</v>
      </c>
      <c r="O77" s="4" t="s">
        <v>716</v>
      </c>
      <c r="P77" s="4" t="s">
        <v>733</v>
      </c>
      <c r="Q77" s="4" t="s">
        <v>1231</v>
      </c>
      <c r="R77" s="8">
        <v>509.31</v>
      </c>
      <c r="S77" s="8">
        <v>1145.9000000000001</v>
      </c>
      <c r="T77" s="8">
        <v>1145.9000000000001</v>
      </c>
      <c r="U77" s="8" t="str">
        <f>IF(T77&lt;=_xlfn.PERCENTILE.INC($T77:$T$633,0.33), "Low", IF(T77&lt;=_xlfn.PERCENTILE.INC($T77:$T$633,0.66), "Medium", "High"))</f>
        <v>Medium</v>
      </c>
      <c r="V77" s="10">
        <v>5.7000000000000002E-2</v>
      </c>
      <c r="W77" s="10">
        <f t="shared" si="18"/>
        <v>5.7000000000000002E-2</v>
      </c>
      <c r="X77" s="12">
        <v>8</v>
      </c>
      <c r="Y77" s="8">
        <f t="shared" si="11"/>
        <v>8644.6696000000011</v>
      </c>
      <c r="Z77" s="8">
        <f t="shared" si="12"/>
        <v>4074.48</v>
      </c>
      <c r="AA77" s="8">
        <f t="shared" si="19"/>
        <v>4570.1896000000015</v>
      </c>
      <c r="AB77" s="10">
        <f t="shared" si="20"/>
        <v>0.52867140231709964</v>
      </c>
      <c r="AC77" s="14">
        <f>_xlfn.MINIFS($C$2:$C$633, $J$2:$J$633, J77)</f>
        <v>44955</v>
      </c>
      <c r="AD77">
        <f>DATEDIF(AC77, C77, "m")</f>
        <v>8</v>
      </c>
      <c r="AE77" s="8">
        <f t="shared" si="21"/>
        <v>1080.5837000000001</v>
      </c>
    </row>
    <row r="78" spans="1:31" x14ac:dyDescent="0.3">
      <c r="A78" s="4" t="s">
        <v>67</v>
      </c>
      <c r="B78" s="6">
        <v>45016</v>
      </c>
      <c r="C78" s="14">
        <v>45016</v>
      </c>
      <c r="D78" s="14" t="str">
        <f t="shared" si="13"/>
        <v>Q1 -2023</v>
      </c>
      <c r="E78" s="6">
        <v>45021</v>
      </c>
      <c r="F78" s="6">
        <f t="shared" si="14"/>
        <v>45021</v>
      </c>
      <c r="G78" s="12">
        <f t="shared" si="15"/>
        <v>5</v>
      </c>
      <c r="H78" s="12">
        <f t="shared" si="16"/>
        <v>1</v>
      </c>
      <c r="I78" s="4" t="s">
        <v>646</v>
      </c>
      <c r="J78" s="4" t="s">
        <v>650</v>
      </c>
      <c r="K78" s="4" t="s">
        <v>678</v>
      </c>
      <c r="L78" t="str">
        <f t="shared" si="17"/>
        <v>Africa&gt;Kenya&gt;Nakuru</v>
      </c>
      <c r="M78" s="4" t="s">
        <v>702</v>
      </c>
      <c r="N78" s="4" t="s">
        <v>709</v>
      </c>
      <c r="O78" s="4" t="s">
        <v>717</v>
      </c>
      <c r="P78" s="4" t="s">
        <v>731</v>
      </c>
      <c r="Q78" s="4" t="s">
        <v>786</v>
      </c>
      <c r="R78" s="8">
        <v>533.26</v>
      </c>
      <c r="S78" s="8">
        <v>385.72</v>
      </c>
      <c r="T78" s="8">
        <v>385.72</v>
      </c>
      <c r="U78" s="8" t="str">
        <f>IF(T78&lt;=_xlfn.PERCENTILE.INC($T78:$T$633,0.33), "Low", IF(T78&lt;=_xlfn.PERCENTILE.INC($T78:$T$633,0.66), "Medium", "High"))</f>
        <v>Low</v>
      </c>
      <c r="V78" s="10">
        <v>0</v>
      </c>
      <c r="W78" s="10">
        <f t="shared" si="18"/>
        <v>0</v>
      </c>
      <c r="X78" s="12">
        <v>15</v>
      </c>
      <c r="Y78" s="8">
        <f t="shared" si="11"/>
        <v>5785.8</v>
      </c>
      <c r="Z78" s="8">
        <f t="shared" si="12"/>
        <v>7998.9</v>
      </c>
      <c r="AA78" s="8">
        <f t="shared" si="19"/>
        <v>-2213.0999999999995</v>
      </c>
      <c r="AB78" s="10">
        <f t="shared" si="20"/>
        <v>-0.38250544436378708</v>
      </c>
      <c r="AC78" s="14">
        <f>_xlfn.MINIFS($C$2:$C$633, $J$2:$J$633, J78)</f>
        <v>44946</v>
      </c>
      <c r="AD78">
        <f>DATEDIF(AC78, C78, "m")</f>
        <v>2</v>
      </c>
      <c r="AE78" s="8">
        <f t="shared" si="21"/>
        <v>385.72</v>
      </c>
    </row>
    <row r="79" spans="1:31" x14ac:dyDescent="0.3">
      <c r="A79" s="4" t="s">
        <v>114</v>
      </c>
      <c r="B79" s="6">
        <v>44985</v>
      </c>
      <c r="C79" s="14">
        <v>44985</v>
      </c>
      <c r="D79" s="14" t="str">
        <f t="shared" si="13"/>
        <v>Q1 -2023</v>
      </c>
      <c r="E79" s="6">
        <v>45005</v>
      </c>
      <c r="F79" s="6">
        <f t="shared" si="14"/>
        <v>45005</v>
      </c>
      <c r="G79" s="12">
        <f t="shared" si="15"/>
        <v>20</v>
      </c>
      <c r="H79" s="12">
        <f t="shared" si="16"/>
        <v>0</v>
      </c>
      <c r="I79" s="4" t="s">
        <v>649</v>
      </c>
      <c r="J79" s="4" t="s">
        <v>656</v>
      </c>
      <c r="K79" s="4" t="s">
        <v>671</v>
      </c>
      <c r="L79" t="str">
        <f t="shared" si="17"/>
        <v>Europe&gt;Germany&gt;Berlin</v>
      </c>
      <c r="M79" s="4" t="s">
        <v>705</v>
      </c>
      <c r="N79" s="4" t="s">
        <v>711</v>
      </c>
      <c r="O79" s="4" t="s">
        <v>722</v>
      </c>
      <c r="P79" s="4" t="s">
        <v>731</v>
      </c>
      <c r="Q79" s="4" t="s">
        <v>833</v>
      </c>
      <c r="R79" s="8">
        <v>1200.78</v>
      </c>
      <c r="S79" s="8">
        <v>2001.17</v>
      </c>
      <c r="T79" s="8">
        <v>2001.17</v>
      </c>
      <c r="U79" s="8" t="str">
        <f>IF(T79&lt;=_xlfn.PERCENTILE.INC($T79:$T$633,0.33), "Low", IF(T79&lt;=_xlfn.PERCENTILE.INC($T79:$T$633,0.66), "Medium", "High"))</f>
        <v>High</v>
      </c>
      <c r="V79" s="10">
        <v>0.29199999999999998</v>
      </c>
      <c r="W79" s="10">
        <f t="shared" si="18"/>
        <v>0.29199999999999998</v>
      </c>
      <c r="X79" s="12">
        <v>18</v>
      </c>
      <c r="Y79" s="8">
        <f t="shared" si="11"/>
        <v>25502.910479999999</v>
      </c>
      <c r="Z79" s="8">
        <f t="shared" si="12"/>
        <v>21614.04</v>
      </c>
      <c r="AA79" s="8">
        <f t="shared" si="19"/>
        <v>3888.8704799999978</v>
      </c>
      <c r="AB79" s="10">
        <f t="shared" si="20"/>
        <v>0.15248732034132906</v>
      </c>
      <c r="AC79" s="14">
        <f>_xlfn.MINIFS($C$2:$C$633, $J$2:$J$633, J79)</f>
        <v>44948</v>
      </c>
      <c r="AD79">
        <f>DATEDIF(AC79, C79, "m")</f>
        <v>1</v>
      </c>
      <c r="AE79" s="8">
        <f t="shared" si="21"/>
        <v>1416.82836</v>
      </c>
    </row>
    <row r="80" spans="1:31" x14ac:dyDescent="0.3">
      <c r="A80" s="4" t="s">
        <v>133</v>
      </c>
      <c r="B80" s="6">
        <v>45086</v>
      </c>
      <c r="C80" s="14">
        <v>45086</v>
      </c>
      <c r="D80" s="14" t="str">
        <f t="shared" si="13"/>
        <v>Q2 -2023</v>
      </c>
      <c r="E80" s="6">
        <v>45096</v>
      </c>
      <c r="F80" s="6">
        <f t="shared" si="14"/>
        <v>45096</v>
      </c>
      <c r="G80" s="12">
        <f t="shared" si="15"/>
        <v>10</v>
      </c>
      <c r="H80" s="12">
        <f t="shared" si="16"/>
        <v>0</v>
      </c>
      <c r="I80" s="4" t="s">
        <v>647</v>
      </c>
      <c r="J80" s="4" t="s">
        <v>659</v>
      </c>
      <c r="K80" s="4" t="s">
        <v>699</v>
      </c>
      <c r="L80" t="str">
        <f t="shared" si="17"/>
        <v>Asia&gt;China&gt;Beijing</v>
      </c>
      <c r="M80" s="4" t="s">
        <v>706</v>
      </c>
      <c r="N80" s="4" t="s">
        <v>707</v>
      </c>
      <c r="O80" s="4" t="s">
        <v>721</v>
      </c>
      <c r="P80" s="4" t="s">
        <v>732</v>
      </c>
      <c r="Q80" s="4" t="s">
        <v>852</v>
      </c>
      <c r="R80" s="8">
        <v>339.61</v>
      </c>
      <c r="S80" s="8">
        <v>621.02</v>
      </c>
      <c r="T80" s="8">
        <v>621.02</v>
      </c>
      <c r="U80" s="8" t="str">
        <f>IF(T80&lt;=_xlfn.PERCENTILE.INC($T80:$T$633,0.33), "Low", IF(T80&lt;=_xlfn.PERCENTILE.INC($T80:$T$633,0.66), "Medium", "High"))</f>
        <v>Low</v>
      </c>
      <c r="V80" s="10">
        <v>7.0999999999999994E-2</v>
      </c>
      <c r="W80" s="10">
        <f t="shared" si="18"/>
        <v>7.0999999999999994E-2</v>
      </c>
      <c r="X80" s="12">
        <v>10</v>
      </c>
      <c r="Y80" s="8">
        <f t="shared" si="11"/>
        <v>5769.2758000000003</v>
      </c>
      <c r="Z80" s="8">
        <f t="shared" si="12"/>
        <v>3396.1000000000004</v>
      </c>
      <c r="AA80" s="8">
        <f t="shared" si="19"/>
        <v>2373.1758</v>
      </c>
      <c r="AB80" s="10">
        <f t="shared" si="20"/>
        <v>0.41134726129750981</v>
      </c>
      <c r="AC80" s="14">
        <f>_xlfn.MINIFS($C$2:$C$633, $J$2:$J$633, J80)</f>
        <v>44938</v>
      </c>
      <c r="AD80">
        <f>DATEDIF(AC80, C80, "m")</f>
        <v>4</v>
      </c>
      <c r="AE80" s="8">
        <f t="shared" si="21"/>
        <v>576.92758000000003</v>
      </c>
    </row>
    <row r="81" spans="1:31" x14ac:dyDescent="0.3">
      <c r="A81" s="4" t="s">
        <v>147</v>
      </c>
      <c r="B81" s="6">
        <v>44953</v>
      </c>
      <c r="C81" s="14">
        <v>44953</v>
      </c>
      <c r="D81" s="14" t="str">
        <f t="shared" si="13"/>
        <v>Q1 -2023</v>
      </c>
      <c r="E81" s="6">
        <v>44957</v>
      </c>
      <c r="F81" s="6">
        <f t="shared" si="14"/>
        <v>44957</v>
      </c>
      <c r="G81" s="12">
        <f t="shared" si="15"/>
        <v>4</v>
      </c>
      <c r="H81" s="12">
        <f t="shared" si="16"/>
        <v>1</v>
      </c>
      <c r="I81" s="4" t="s">
        <v>649</v>
      </c>
      <c r="J81" s="4" t="s">
        <v>658</v>
      </c>
      <c r="K81" s="4" t="s">
        <v>693</v>
      </c>
      <c r="L81" t="str">
        <f t="shared" si="17"/>
        <v>Europe&gt;United Kingdom&gt;Manchester</v>
      </c>
      <c r="M81" s="4" t="s">
        <v>706</v>
      </c>
      <c r="N81" s="4" t="s">
        <v>708</v>
      </c>
      <c r="O81" s="4" t="s">
        <v>725</v>
      </c>
      <c r="P81" s="4" t="s">
        <v>731</v>
      </c>
      <c r="Q81" s="4" t="s">
        <v>866</v>
      </c>
      <c r="R81" s="8">
        <v>941.2</v>
      </c>
      <c r="S81" s="8">
        <v>668.02</v>
      </c>
      <c r="T81" s="8">
        <v>668.02</v>
      </c>
      <c r="U81" s="8" t="str">
        <f>IF(T81&lt;=_xlfn.PERCENTILE.INC($T81:$T$633,0.33), "Low", IF(T81&lt;=_xlfn.PERCENTILE.INC($T81:$T$633,0.66), "Medium", "High"))</f>
        <v>Low</v>
      </c>
      <c r="V81" s="10">
        <v>0.22</v>
      </c>
      <c r="W81" s="10">
        <f t="shared" si="18"/>
        <v>0.22</v>
      </c>
      <c r="X81" s="12">
        <v>16</v>
      </c>
      <c r="Y81" s="8">
        <f t="shared" si="11"/>
        <v>8336.8896000000004</v>
      </c>
      <c r="Z81" s="8">
        <f t="shared" si="12"/>
        <v>15059.2</v>
      </c>
      <c r="AA81" s="8">
        <f t="shared" si="19"/>
        <v>-6722.3104000000003</v>
      </c>
      <c r="AB81" s="10">
        <f t="shared" si="20"/>
        <v>-0.80633314371825193</v>
      </c>
      <c r="AC81" s="14">
        <f>_xlfn.MINIFS($C$2:$C$633, $J$2:$J$633, J81)</f>
        <v>44945</v>
      </c>
      <c r="AD81">
        <f>DATEDIF(AC81, C81, "m")</f>
        <v>0</v>
      </c>
      <c r="AE81" s="8">
        <f t="shared" si="21"/>
        <v>521.05560000000003</v>
      </c>
    </row>
    <row r="82" spans="1:31" x14ac:dyDescent="0.3">
      <c r="A82" s="4" t="s">
        <v>230</v>
      </c>
      <c r="B82" s="6">
        <v>45280</v>
      </c>
      <c r="C82" s="14">
        <v>45280</v>
      </c>
      <c r="D82" s="14" t="str">
        <f t="shared" si="13"/>
        <v>Q4 -2023</v>
      </c>
      <c r="E82" s="6">
        <v>45305</v>
      </c>
      <c r="F82" s="6">
        <f t="shared" si="14"/>
        <v>45305</v>
      </c>
      <c r="G82" s="12">
        <f t="shared" si="15"/>
        <v>25</v>
      </c>
      <c r="H82" s="12">
        <f t="shared" si="16"/>
        <v>0</v>
      </c>
      <c r="I82" s="4" t="s">
        <v>647</v>
      </c>
      <c r="J82" s="4" t="s">
        <v>654</v>
      </c>
      <c r="K82" s="4" t="s">
        <v>691</v>
      </c>
      <c r="L82" t="str">
        <f t="shared" si="17"/>
        <v>Asia&gt;India&gt;Mumbai</v>
      </c>
      <c r="M82" s="4" t="s">
        <v>703</v>
      </c>
      <c r="N82" s="4" t="s">
        <v>709</v>
      </c>
      <c r="O82" s="4" t="s">
        <v>716</v>
      </c>
      <c r="P82" s="4" t="s">
        <v>732</v>
      </c>
      <c r="Q82" s="4" t="s">
        <v>950</v>
      </c>
      <c r="R82" s="8">
        <v>1085.6099999999999</v>
      </c>
      <c r="S82" s="8">
        <v>1246.4100000000001</v>
      </c>
      <c r="T82" s="8">
        <v>1246.4100000000001</v>
      </c>
      <c r="U82" s="8" t="str">
        <f>IF(T82&lt;=_xlfn.PERCENTILE.INC($T82:$T$633,0.33), "Low", IF(T82&lt;=_xlfn.PERCENTILE.INC($T82:$T$633,0.66), "Medium", "High"))</f>
        <v>Medium</v>
      </c>
      <c r="V82" s="10">
        <v>0.113</v>
      </c>
      <c r="W82" s="10">
        <f t="shared" si="18"/>
        <v>0.113</v>
      </c>
      <c r="X82" s="12">
        <v>7</v>
      </c>
      <c r="Y82" s="8">
        <f t="shared" si="11"/>
        <v>7738.9596900000006</v>
      </c>
      <c r="Z82" s="8">
        <f t="shared" si="12"/>
        <v>7599.2699999999995</v>
      </c>
      <c r="AA82" s="8">
        <f t="shared" si="19"/>
        <v>139.68969000000106</v>
      </c>
      <c r="AB82" s="10">
        <f t="shared" si="20"/>
        <v>1.8050189637310417E-2</v>
      </c>
      <c r="AC82" s="14">
        <f>_xlfn.MINIFS($C$2:$C$633, $J$2:$J$633, J82)</f>
        <v>44955</v>
      </c>
      <c r="AD82">
        <f>DATEDIF(AC82, C82, "m")</f>
        <v>10</v>
      </c>
      <c r="AE82" s="8">
        <f t="shared" si="21"/>
        <v>1105.5656700000002</v>
      </c>
    </row>
    <row r="83" spans="1:31" x14ac:dyDescent="0.3">
      <c r="A83" s="4" t="s">
        <v>510</v>
      </c>
      <c r="B83" s="6">
        <v>45097</v>
      </c>
      <c r="C83" s="14">
        <v>45097</v>
      </c>
      <c r="D83" s="14" t="str">
        <f t="shared" si="13"/>
        <v>Q2 -2023</v>
      </c>
      <c r="E83" s="6">
        <v>45111</v>
      </c>
      <c r="F83" s="6">
        <f t="shared" si="14"/>
        <v>45111</v>
      </c>
      <c r="G83" s="12">
        <f t="shared" si="15"/>
        <v>14</v>
      </c>
      <c r="H83" s="12">
        <f t="shared" si="16"/>
        <v>0</v>
      </c>
      <c r="I83" s="4" t="s">
        <v>648</v>
      </c>
      <c r="J83" s="4" t="s">
        <v>655</v>
      </c>
      <c r="K83" s="4" t="s">
        <v>672</v>
      </c>
      <c r="L83" t="str">
        <f t="shared" si="17"/>
        <v>Americas&gt;Brazil&gt;Brasília</v>
      </c>
      <c r="M83" s="4" t="s">
        <v>703</v>
      </c>
      <c r="N83" s="4" t="s">
        <v>711</v>
      </c>
      <c r="O83" s="4" t="s">
        <v>712</v>
      </c>
      <c r="P83" s="4" t="s">
        <v>729</v>
      </c>
      <c r="Q83" s="4" t="s">
        <v>1229</v>
      </c>
      <c r="R83" s="8">
        <v>1292.8599999999999</v>
      </c>
      <c r="S83" s="8">
        <v>2981.01</v>
      </c>
      <c r="T83" s="8">
        <v>2981.01</v>
      </c>
      <c r="U83" s="8" t="str">
        <f>IF(T83&lt;=_xlfn.PERCENTILE.INC($T83:$T$633,0.33), "Low", IF(T83&lt;=_xlfn.PERCENTILE.INC($T83:$T$633,0.66), "Medium", "High"))</f>
        <v>High</v>
      </c>
      <c r="V83" s="10">
        <v>0.14199999999999999</v>
      </c>
      <c r="W83" s="10">
        <f t="shared" si="18"/>
        <v>0.14199999999999999</v>
      </c>
      <c r="X83" s="12">
        <v>12</v>
      </c>
      <c r="Y83" s="8">
        <f t="shared" si="11"/>
        <v>30692.47896</v>
      </c>
      <c r="Z83" s="8">
        <f t="shared" si="12"/>
        <v>15514.32</v>
      </c>
      <c r="AA83" s="8">
        <f t="shared" si="19"/>
        <v>15178.158960000001</v>
      </c>
      <c r="AB83" s="10">
        <f t="shared" si="20"/>
        <v>0.49452372288927687</v>
      </c>
      <c r="AC83" s="14">
        <f>_xlfn.MINIFS($C$2:$C$633, $J$2:$J$633, J83)</f>
        <v>44955</v>
      </c>
      <c r="AD83">
        <f>DATEDIF(AC83, C83, "m")</f>
        <v>4</v>
      </c>
      <c r="AE83" s="8">
        <f t="shared" si="21"/>
        <v>2557.70658</v>
      </c>
    </row>
    <row r="84" spans="1:31" x14ac:dyDescent="0.3">
      <c r="A84" s="4" t="s">
        <v>186</v>
      </c>
      <c r="B84" s="6">
        <v>45190</v>
      </c>
      <c r="C84" s="14">
        <v>45190</v>
      </c>
      <c r="D84" s="14" t="str">
        <f t="shared" si="13"/>
        <v>Q3 -2023</v>
      </c>
      <c r="E84" s="6">
        <v>45209</v>
      </c>
      <c r="F84" s="6">
        <f t="shared" si="14"/>
        <v>45209</v>
      </c>
      <c r="G84" s="12">
        <f t="shared" si="15"/>
        <v>19</v>
      </c>
      <c r="H84" s="12">
        <f t="shared" si="16"/>
        <v>0</v>
      </c>
      <c r="I84" s="4" t="s">
        <v>647</v>
      </c>
      <c r="J84" s="4" t="s">
        <v>652</v>
      </c>
      <c r="K84" s="4" t="s">
        <v>689</v>
      </c>
      <c r="L84" t="str">
        <f t="shared" si="17"/>
        <v>Asia&gt;Japan&gt;Tokyo</v>
      </c>
      <c r="M84" s="4" t="s">
        <v>702</v>
      </c>
      <c r="N84" s="4" t="s">
        <v>708</v>
      </c>
      <c r="O84" s="4" t="s">
        <v>726</v>
      </c>
      <c r="P84" s="4" t="s">
        <v>727</v>
      </c>
      <c r="Q84" s="4" t="s">
        <v>905</v>
      </c>
      <c r="R84" s="8">
        <v>845.63</v>
      </c>
      <c r="S84" s="8">
        <v>2062.12</v>
      </c>
      <c r="T84" s="8">
        <v>2062.12</v>
      </c>
      <c r="U84" s="8" t="str">
        <f>IF(T84&lt;=_xlfn.PERCENTILE.INC($T84:$T$633,0.33), "Low", IF(T84&lt;=_xlfn.PERCENTILE.INC($T84:$T$633,0.66), "Medium", "High"))</f>
        <v>High</v>
      </c>
      <c r="V84" s="10">
        <v>0.13400000000000001</v>
      </c>
      <c r="W84" s="10">
        <f t="shared" si="18"/>
        <v>0.13400000000000001</v>
      </c>
      <c r="X84" s="12">
        <v>5</v>
      </c>
      <c r="Y84" s="8">
        <f t="shared" si="11"/>
        <v>8928.9795999999988</v>
      </c>
      <c r="Z84" s="8">
        <f t="shared" si="12"/>
        <v>4228.1499999999996</v>
      </c>
      <c r="AA84" s="8">
        <f t="shared" si="19"/>
        <v>4700.8295999999991</v>
      </c>
      <c r="AB84" s="10">
        <f t="shared" si="20"/>
        <v>0.52646884757133949</v>
      </c>
      <c r="AC84" s="14">
        <f>_xlfn.MINIFS($C$2:$C$633, $J$2:$J$633, J84)</f>
        <v>44988</v>
      </c>
      <c r="AD84">
        <f>DATEDIF(AC84, C84, "m")</f>
        <v>6</v>
      </c>
      <c r="AE84" s="8">
        <f t="shared" si="21"/>
        <v>1785.7959199999998</v>
      </c>
    </row>
    <row r="85" spans="1:31" x14ac:dyDescent="0.3">
      <c r="A85" s="4" t="s">
        <v>628</v>
      </c>
      <c r="B85" s="6">
        <v>45137</v>
      </c>
      <c r="C85" s="14">
        <v>45137</v>
      </c>
      <c r="D85" s="14" t="str">
        <f t="shared" si="13"/>
        <v>Q3 -2023</v>
      </c>
      <c r="E85" s="6">
        <v>45157</v>
      </c>
      <c r="F85" s="6">
        <f t="shared" si="14"/>
        <v>45157</v>
      </c>
      <c r="G85" s="12">
        <f t="shared" si="15"/>
        <v>20</v>
      </c>
      <c r="H85" s="12">
        <f t="shared" si="16"/>
        <v>0</v>
      </c>
      <c r="I85" s="4" t="s">
        <v>649</v>
      </c>
      <c r="J85" s="4" t="s">
        <v>657</v>
      </c>
      <c r="K85" s="4" t="s">
        <v>690</v>
      </c>
      <c r="L85" t="str">
        <f t="shared" si="17"/>
        <v>Europe&gt;France&gt;Paris</v>
      </c>
      <c r="M85" s="4" t="s">
        <v>706</v>
      </c>
      <c r="N85" s="4" t="s">
        <v>709</v>
      </c>
      <c r="O85" s="4" t="s">
        <v>715</v>
      </c>
      <c r="P85" s="4" t="s">
        <v>729</v>
      </c>
      <c r="Q85" s="4" t="s">
        <v>1346</v>
      </c>
      <c r="R85" s="8">
        <v>1418.51</v>
      </c>
      <c r="S85" s="8">
        <v>2789.61</v>
      </c>
      <c r="T85" s="8">
        <v>2789.61</v>
      </c>
      <c r="U85" s="8" t="str">
        <f>IF(T85&lt;=_xlfn.PERCENTILE.INC($T85:$T$633,0.33), "Low", IF(T85&lt;=_xlfn.PERCENTILE.INC($T85:$T$633,0.66), "Medium", "High"))</f>
        <v>High</v>
      </c>
      <c r="V85" s="10">
        <v>0.17100000000000001</v>
      </c>
      <c r="W85" s="10">
        <f t="shared" si="18"/>
        <v>0.17100000000000001</v>
      </c>
      <c r="X85" s="12">
        <v>8</v>
      </c>
      <c r="Y85" s="8">
        <f t="shared" si="11"/>
        <v>18500.693520000001</v>
      </c>
      <c r="Z85" s="8">
        <f t="shared" si="12"/>
        <v>11348.08</v>
      </c>
      <c r="AA85" s="8">
        <f t="shared" si="19"/>
        <v>7152.6135200000008</v>
      </c>
      <c r="AB85" s="10">
        <f t="shared" si="20"/>
        <v>0.38661326464695689</v>
      </c>
      <c r="AC85" s="14">
        <f>_xlfn.MINIFS($C$2:$C$633, $J$2:$J$633, J85)</f>
        <v>44936</v>
      </c>
      <c r="AD85">
        <f>DATEDIF(AC85, C85, "m")</f>
        <v>6</v>
      </c>
      <c r="AE85" s="8">
        <f t="shared" si="21"/>
        <v>2312.5866900000001</v>
      </c>
    </row>
    <row r="86" spans="1:31" x14ac:dyDescent="0.3">
      <c r="A86" s="4" t="s">
        <v>558</v>
      </c>
      <c r="B86" s="6">
        <v>45108</v>
      </c>
      <c r="C86" s="14">
        <v>45108</v>
      </c>
      <c r="D86" s="14" t="str">
        <f t="shared" si="13"/>
        <v>Q3 -2023</v>
      </c>
      <c r="E86" s="6">
        <v>45115</v>
      </c>
      <c r="F86" s="6">
        <f t="shared" si="14"/>
        <v>45115</v>
      </c>
      <c r="G86" s="12">
        <f t="shared" si="15"/>
        <v>7</v>
      </c>
      <c r="H86" s="12">
        <f t="shared" si="16"/>
        <v>1</v>
      </c>
      <c r="I86" s="4" t="s">
        <v>649</v>
      </c>
      <c r="J86" s="4" t="s">
        <v>656</v>
      </c>
      <c r="K86" s="4" t="s">
        <v>698</v>
      </c>
      <c r="L86" t="str">
        <f t="shared" si="17"/>
        <v>Europe&gt;Germany&gt;Frankfurt</v>
      </c>
      <c r="M86" s="4" t="s">
        <v>705</v>
      </c>
      <c r="N86" s="4" t="s">
        <v>710</v>
      </c>
      <c r="O86" s="4" t="s">
        <v>725</v>
      </c>
      <c r="P86" s="4" t="s">
        <v>731</v>
      </c>
      <c r="Q86" s="4" t="s">
        <v>1276</v>
      </c>
      <c r="R86" s="8">
        <v>460.21</v>
      </c>
      <c r="S86" s="8">
        <v>1139.1500000000001</v>
      </c>
      <c r="T86" s="8">
        <v>1139.1500000000001</v>
      </c>
      <c r="U86" s="8" t="str">
        <f>IF(T86&lt;=_xlfn.PERCENTILE.INC($T86:$T$633,0.33), "Low", IF(T86&lt;=_xlfn.PERCENTILE.INC($T86:$T$633,0.66), "Medium", "High"))</f>
        <v>Medium</v>
      </c>
      <c r="V86" s="10">
        <v>0.115</v>
      </c>
      <c r="W86" s="10">
        <f t="shared" si="18"/>
        <v>0.115</v>
      </c>
      <c r="X86" s="12">
        <v>14</v>
      </c>
      <c r="Y86" s="8">
        <f t="shared" si="11"/>
        <v>14114.068500000001</v>
      </c>
      <c r="Z86" s="8">
        <f t="shared" si="12"/>
        <v>6442.94</v>
      </c>
      <c r="AA86" s="8">
        <f t="shared" si="19"/>
        <v>7671.1285000000016</v>
      </c>
      <c r="AB86" s="10">
        <f t="shared" si="20"/>
        <v>0.54350937151821255</v>
      </c>
      <c r="AC86" s="14">
        <f>_xlfn.MINIFS($C$2:$C$633, $J$2:$J$633, J86)</f>
        <v>44948</v>
      </c>
      <c r="AD86">
        <f>DATEDIF(AC86, C86, "m")</f>
        <v>5</v>
      </c>
      <c r="AE86" s="8">
        <f t="shared" si="21"/>
        <v>1008.1477500000001</v>
      </c>
    </row>
    <row r="87" spans="1:31" x14ac:dyDescent="0.3">
      <c r="A87" s="4" t="s">
        <v>644</v>
      </c>
      <c r="B87" s="6">
        <v>45249</v>
      </c>
      <c r="C87" s="14">
        <v>45249</v>
      </c>
      <c r="D87" s="14" t="str">
        <f t="shared" si="13"/>
        <v>Q4 -2023</v>
      </c>
      <c r="E87" s="6">
        <v>45279</v>
      </c>
      <c r="F87" s="6">
        <f t="shared" si="14"/>
        <v>45279</v>
      </c>
      <c r="G87" s="12">
        <f t="shared" si="15"/>
        <v>30</v>
      </c>
      <c r="H87" s="12">
        <f t="shared" si="16"/>
        <v>0</v>
      </c>
      <c r="I87" s="4" t="s">
        <v>647</v>
      </c>
      <c r="J87" s="4" t="s">
        <v>652</v>
      </c>
      <c r="K87" s="4" t="s">
        <v>694</v>
      </c>
      <c r="L87" t="str">
        <f t="shared" si="17"/>
        <v>Asia&gt;Japan&gt;Nagoya</v>
      </c>
      <c r="M87" s="4" t="s">
        <v>704</v>
      </c>
      <c r="N87" s="4" t="s">
        <v>707</v>
      </c>
      <c r="O87" s="4" t="s">
        <v>1424</v>
      </c>
      <c r="P87" s="4" t="s">
        <v>730</v>
      </c>
      <c r="Q87" s="4" t="s">
        <v>1362</v>
      </c>
      <c r="R87" s="8">
        <v>807.11</v>
      </c>
      <c r="S87" s="8">
        <v>1853.86</v>
      </c>
      <c r="T87" s="8">
        <v>1853.86</v>
      </c>
      <c r="U87" s="8" t="str">
        <f>IF(T87&lt;=_xlfn.PERCENTILE.INC($T87:$T$633,0.33), "Low", IF(T87&lt;=_xlfn.PERCENTILE.INC($T87:$T$633,0.66), "Medium", "High"))</f>
        <v>High</v>
      </c>
      <c r="V87" s="10">
        <v>0.13900000000000001</v>
      </c>
      <c r="W87" s="10">
        <f t="shared" si="18"/>
        <v>0.13900000000000001</v>
      </c>
      <c r="X87" s="12">
        <v>8</v>
      </c>
      <c r="Y87" s="8">
        <f t="shared" si="11"/>
        <v>12769.38768</v>
      </c>
      <c r="Z87" s="8">
        <f t="shared" si="12"/>
        <v>6456.88</v>
      </c>
      <c r="AA87" s="8">
        <f t="shared" si="19"/>
        <v>6312.5076799999997</v>
      </c>
      <c r="AB87" s="10">
        <f t="shared" si="20"/>
        <v>0.49434693645388639</v>
      </c>
      <c r="AC87" s="14">
        <f>_xlfn.MINIFS($C$2:$C$633, $J$2:$J$633, J87)</f>
        <v>44988</v>
      </c>
      <c r="AD87">
        <f>DATEDIF(AC87, C87, "m")</f>
        <v>8</v>
      </c>
      <c r="AE87" s="8">
        <f t="shared" si="21"/>
        <v>1596.17346</v>
      </c>
    </row>
    <row r="88" spans="1:31" x14ac:dyDescent="0.3">
      <c r="A88" s="4" t="s">
        <v>535</v>
      </c>
      <c r="B88" s="6">
        <v>45056</v>
      </c>
      <c r="C88" s="14">
        <v>45056</v>
      </c>
      <c r="D88" s="14" t="str">
        <f t="shared" si="13"/>
        <v>Q2 -2023</v>
      </c>
      <c r="E88" s="6">
        <v>45073</v>
      </c>
      <c r="F88" s="6">
        <f t="shared" si="14"/>
        <v>45073</v>
      </c>
      <c r="G88" s="12">
        <f t="shared" si="15"/>
        <v>17</v>
      </c>
      <c r="H88" s="12">
        <f t="shared" si="16"/>
        <v>0</v>
      </c>
      <c r="I88" s="4" t="s">
        <v>647</v>
      </c>
      <c r="J88" s="4" t="s">
        <v>654</v>
      </c>
      <c r="K88" s="4" t="s">
        <v>691</v>
      </c>
      <c r="L88" t="str">
        <f t="shared" si="17"/>
        <v>Asia&gt;India&gt;Mumbai</v>
      </c>
      <c r="M88" s="4" t="s">
        <v>704</v>
      </c>
      <c r="N88" s="4" t="s">
        <v>707</v>
      </c>
      <c r="O88" s="4" t="s">
        <v>724</v>
      </c>
      <c r="P88" s="4" t="s">
        <v>731</v>
      </c>
      <c r="Q88" s="4" t="s">
        <v>1254</v>
      </c>
      <c r="R88" s="8">
        <v>1286.1600000000001</v>
      </c>
      <c r="S88" s="8">
        <v>3101.11</v>
      </c>
      <c r="T88" s="8">
        <v>3101.11</v>
      </c>
      <c r="U88" s="8" t="str">
        <f>IF(T88&lt;=_xlfn.PERCENTILE.INC($T88:$T$633,0.33), "Low", IF(T88&lt;=_xlfn.PERCENTILE.INC($T88:$T$633,0.66), "Medium", "High"))</f>
        <v>High</v>
      </c>
      <c r="V88" s="10">
        <v>0.1</v>
      </c>
      <c r="W88" s="10">
        <f t="shared" si="18"/>
        <v>0.1</v>
      </c>
      <c r="X88" s="12">
        <v>23</v>
      </c>
      <c r="Y88" s="8">
        <f t="shared" si="11"/>
        <v>64192.976999999999</v>
      </c>
      <c r="Z88" s="8">
        <f t="shared" si="12"/>
        <v>29581.68</v>
      </c>
      <c r="AA88" s="8">
        <f t="shared" si="19"/>
        <v>34611.296999999999</v>
      </c>
      <c r="AB88" s="10">
        <f t="shared" si="20"/>
        <v>0.53917575749758417</v>
      </c>
      <c r="AC88" s="14">
        <f>_xlfn.MINIFS($C$2:$C$633, $J$2:$J$633, J88)</f>
        <v>44955</v>
      </c>
      <c r="AD88">
        <f>DATEDIF(AC88, C88, "m")</f>
        <v>3</v>
      </c>
      <c r="AE88" s="8">
        <f t="shared" si="21"/>
        <v>2790.9989999999998</v>
      </c>
    </row>
    <row r="89" spans="1:31" x14ac:dyDescent="0.3">
      <c r="A89" s="4" t="s">
        <v>562</v>
      </c>
      <c r="B89" s="6">
        <v>44985</v>
      </c>
      <c r="C89" s="14">
        <v>44985</v>
      </c>
      <c r="D89" s="14" t="str">
        <f t="shared" si="13"/>
        <v>Q1 -2023</v>
      </c>
      <c r="E89" s="6">
        <v>44991</v>
      </c>
      <c r="F89" s="6">
        <f t="shared" si="14"/>
        <v>44991</v>
      </c>
      <c r="G89" s="12">
        <f t="shared" si="15"/>
        <v>6</v>
      </c>
      <c r="H89" s="12">
        <f t="shared" si="16"/>
        <v>1</v>
      </c>
      <c r="I89" s="4" t="s">
        <v>649</v>
      </c>
      <c r="J89" s="4" t="s">
        <v>656</v>
      </c>
      <c r="K89" s="4" t="s">
        <v>698</v>
      </c>
      <c r="L89" t="str">
        <f t="shared" si="17"/>
        <v>Europe&gt;Germany&gt;Frankfurt</v>
      </c>
      <c r="M89" s="4" t="s">
        <v>705</v>
      </c>
      <c r="N89" s="4" t="s">
        <v>709</v>
      </c>
      <c r="O89" s="4" t="s">
        <v>726</v>
      </c>
      <c r="P89" s="4" t="s">
        <v>728</v>
      </c>
      <c r="Q89" s="4" t="s">
        <v>1280</v>
      </c>
      <c r="R89" s="8">
        <v>880.02</v>
      </c>
      <c r="S89" s="8">
        <v>1251.21</v>
      </c>
      <c r="T89" s="8">
        <v>1251.21</v>
      </c>
      <c r="U89" s="8" t="str">
        <f>IF(T89&lt;=_xlfn.PERCENTILE.INC($T89:$T$633,0.33), "Low", IF(T89&lt;=_xlfn.PERCENTILE.INC($T89:$T$633,0.66), "Medium", "High"))</f>
        <v>Medium</v>
      </c>
      <c r="V89" s="10">
        <v>0.123</v>
      </c>
      <c r="W89" s="10">
        <f t="shared" si="18"/>
        <v>0.123</v>
      </c>
      <c r="X89" s="12">
        <v>29</v>
      </c>
      <c r="Y89" s="8">
        <f t="shared" si="11"/>
        <v>31822.023930000003</v>
      </c>
      <c r="Z89" s="8">
        <f t="shared" si="12"/>
        <v>25520.579999999998</v>
      </c>
      <c r="AA89" s="8">
        <f t="shared" si="19"/>
        <v>6301.4439300000049</v>
      </c>
      <c r="AB89" s="10">
        <f t="shared" si="20"/>
        <v>0.19802146915172672</v>
      </c>
      <c r="AC89" s="14">
        <f>_xlfn.MINIFS($C$2:$C$633, $J$2:$J$633, J89)</f>
        <v>44948</v>
      </c>
      <c r="AD89">
        <f>DATEDIF(AC89, C89, "m")</f>
        <v>1</v>
      </c>
      <c r="AE89" s="8">
        <f t="shared" si="21"/>
        <v>1097.3111700000002</v>
      </c>
    </row>
    <row r="90" spans="1:31" x14ac:dyDescent="0.3">
      <c r="A90" s="4" t="s">
        <v>270</v>
      </c>
      <c r="B90" s="6">
        <v>45204</v>
      </c>
      <c r="C90" s="14">
        <v>45204</v>
      </c>
      <c r="D90" s="14" t="str">
        <f t="shared" si="13"/>
        <v>Q4 -2023</v>
      </c>
      <c r="E90" s="6">
        <v>45205</v>
      </c>
      <c r="F90" s="6">
        <f t="shared" si="14"/>
        <v>45205</v>
      </c>
      <c r="G90" s="12">
        <f t="shared" si="15"/>
        <v>1</v>
      </c>
      <c r="H90" s="12">
        <f t="shared" si="16"/>
        <v>1</v>
      </c>
      <c r="I90" s="4" t="s">
        <v>647</v>
      </c>
      <c r="J90" s="4" t="s">
        <v>654</v>
      </c>
      <c r="K90" s="4" t="s">
        <v>668</v>
      </c>
      <c r="L90" t="str">
        <f t="shared" si="17"/>
        <v>Asia&gt;India&gt;Bengaluru</v>
      </c>
      <c r="M90" s="4" t="s">
        <v>703</v>
      </c>
      <c r="N90" s="4" t="s">
        <v>708</v>
      </c>
      <c r="O90" s="4" t="s">
        <v>714</v>
      </c>
      <c r="P90" s="4" t="s">
        <v>727</v>
      </c>
      <c r="Q90" s="4" t="s">
        <v>990</v>
      </c>
      <c r="R90" s="8">
        <v>1470.26</v>
      </c>
      <c r="S90" s="8">
        <v>2562.5500000000002</v>
      </c>
      <c r="T90" s="8">
        <v>2562.5500000000002</v>
      </c>
      <c r="U90" s="8" t="str">
        <f>IF(T90&lt;=_xlfn.PERCENTILE.INC($T90:$T$633,0.33), "Low", IF(T90&lt;=_xlfn.PERCENTILE.INC($T90:$T$633,0.66), "Medium", "High"))</f>
        <v>High</v>
      </c>
      <c r="V90" s="10">
        <v>0.17299999999999999</v>
      </c>
      <c r="W90" s="10">
        <f t="shared" si="18"/>
        <v>0.17299999999999999</v>
      </c>
      <c r="X90" s="12">
        <v>9</v>
      </c>
      <c r="Y90" s="8">
        <f t="shared" si="11"/>
        <v>19073.059649999999</v>
      </c>
      <c r="Z90" s="8">
        <f t="shared" si="12"/>
        <v>13232.34</v>
      </c>
      <c r="AA90" s="8">
        <f t="shared" si="19"/>
        <v>5840.7196499999991</v>
      </c>
      <c r="AB90" s="10">
        <f t="shared" si="20"/>
        <v>0.30622877279157462</v>
      </c>
      <c r="AC90" s="14">
        <f>_xlfn.MINIFS($C$2:$C$633, $J$2:$J$633, J90)</f>
        <v>44955</v>
      </c>
      <c r="AD90">
        <f>DATEDIF(AC90, C90, "m")</f>
        <v>8</v>
      </c>
      <c r="AE90" s="8">
        <f t="shared" si="21"/>
        <v>2119.22885</v>
      </c>
    </row>
    <row r="91" spans="1:31" x14ac:dyDescent="0.3">
      <c r="A91" s="4" t="s">
        <v>366</v>
      </c>
      <c r="B91" s="6">
        <v>45121</v>
      </c>
      <c r="C91" s="14">
        <v>45121</v>
      </c>
      <c r="D91" s="14" t="str">
        <f t="shared" si="13"/>
        <v>Q3 -2023</v>
      </c>
      <c r="E91" s="6">
        <v>45121</v>
      </c>
      <c r="F91" s="6">
        <f t="shared" si="14"/>
        <v>45121</v>
      </c>
      <c r="G91" s="12">
        <f t="shared" si="15"/>
        <v>0</v>
      </c>
      <c r="H91" s="12">
        <f t="shared" si="16"/>
        <v>1</v>
      </c>
      <c r="I91" s="4" t="s">
        <v>646</v>
      </c>
      <c r="J91" s="4" t="s">
        <v>651</v>
      </c>
      <c r="K91" s="4" t="s">
        <v>665</v>
      </c>
      <c r="L91" t="str">
        <f t="shared" si="17"/>
        <v>Africa&gt;Nigeria&gt;Lagos</v>
      </c>
      <c r="M91" s="4" t="s">
        <v>702</v>
      </c>
      <c r="N91" s="4" t="s">
        <v>707</v>
      </c>
      <c r="O91" s="4" t="s">
        <v>714</v>
      </c>
      <c r="P91" s="4" t="s">
        <v>733</v>
      </c>
      <c r="Q91" s="4" t="s">
        <v>1086</v>
      </c>
      <c r="R91" s="8">
        <v>956.38</v>
      </c>
      <c r="S91" s="8">
        <v>1454.22</v>
      </c>
      <c r="T91" s="8">
        <v>1454.22</v>
      </c>
      <c r="U91" s="8" t="str">
        <f>IF(T91&lt;=_xlfn.PERCENTILE.INC($T91:$T$633,0.33), "Low", IF(T91&lt;=_xlfn.PERCENTILE.INC($T91:$T$633,0.66), "Medium", "High"))</f>
        <v>Medium</v>
      </c>
      <c r="V91" s="10">
        <v>3.9E-2</v>
      </c>
      <c r="W91" s="10">
        <f t="shared" si="18"/>
        <v>3.9E-2</v>
      </c>
      <c r="X91" s="12">
        <v>19</v>
      </c>
      <c r="Y91" s="8">
        <f t="shared" si="11"/>
        <v>26552.60298</v>
      </c>
      <c r="Z91" s="8">
        <f t="shared" si="12"/>
        <v>18171.22</v>
      </c>
      <c r="AA91" s="8">
        <f t="shared" si="19"/>
        <v>8381.3829799999985</v>
      </c>
      <c r="AB91" s="10">
        <f t="shared" si="20"/>
        <v>0.31565202802576603</v>
      </c>
      <c r="AC91" s="14">
        <f>_xlfn.MINIFS($C$2:$C$633, $J$2:$J$633, J91)</f>
        <v>44941</v>
      </c>
      <c r="AD91">
        <f>DATEDIF(AC91, C91, "m")</f>
        <v>5</v>
      </c>
      <c r="AE91" s="8">
        <f t="shared" si="21"/>
        <v>1397.50542</v>
      </c>
    </row>
    <row r="92" spans="1:31" x14ac:dyDescent="0.3">
      <c r="A92" s="4" t="s">
        <v>79</v>
      </c>
      <c r="B92" s="6">
        <v>44972</v>
      </c>
      <c r="C92" s="14">
        <v>44972</v>
      </c>
      <c r="D92" s="14" t="str">
        <f t="shared" si="13"/>
        <v>Q1 -2023</v>
      </c>
      <c r="E92" s="6">
        <v>44983</v>
      </c>
      <c r="F92" s="6">
        <f t="shared" si="14"/>
        <v>44983</v>
      </c>
      <c r="G92" s="12">
        <f t="shared" si="15"/>
        <v>11</v>
      </c>
      <c r="H92" s="12">
        <f t="shared" si="16"/>
        <v>0</v>
      </c>
      <c r="I92" s="4" t="s">
        <v>646</v>
      </c>
      <c r="J92" s="4" t="s">
        <v>661</v>
      </c>
      <c r="K92" s="4" t="s">
        <v>682</v>
      </c>
      <c r="L92" t="str">
        <f t="shared" si="17"/>
        <v>Africa&gt;South Africa&gt;Johannesburg</v>
      </c>
      <c r="M92" s="4" t="s">
        <v>703</v>
      </c>
      <c r="N92" s="4" t="s">
        <v>707</v>
      </c>
      <c r="O92" s="4" t="s">
        <v>723</v>
      </c>
      <c r="P92" s="4" t="s">
        <v>731</v>
      </c>
      <c r="Q92" s="4" t="s">
        <v>798</v>
      </c>
      <c r="R92" s="8">
        <v>498.5</v>
      </c>
      <c r="S92" s="8">
        <v>755.87</v>
      </c>
      <c r="T92" s="8">
        <v>755.87</v>
      </c>
      <c r="U92" s="8" t="str">
        <f>IF(T92&lt;=_xlfn.PERCENTILE.INC($T92:$T$633,0.33), "Low", IF(T92&lt;=_xlfn.PERCENTILE.INC($T92:$T$633,0.66), "Medium", "High"))</f>
        <v>Low</v>
      </c>
      <c r="V92" s="10">
        <v>0.13</v>
      </c>
      <c r="W92" s="10">
        <f t="shared" si="18"/>
        <v>0.13</v>
      </c>
      <c r="X92" s="12">
        <v>40</v>
      </c>
      <c r="Y92" s="8">
        <f t="shared" si="11"/>
        <v>26304.275999999998</v>
      </c>
      <c r="Z92" s="8">
        <f t="shared" si="12"/>
        <v>19940</v>
      </c>
      <c r="AA92" s="8">
        <f t="shared" si="19"/>
        <v>6364.275999999998</v>
      </c>
      <c r="AB92" s="10">
        <f t="shared" si="20"/>
        <v>0.24194834330357537</v>
      </c>
      <c r="AC92" s="14">
        <f>_xlfn.MINIFS($C$2:$C$633, $J$2:$J$633, J92)</f>
        <v>44933</v>
      </c>
      <c r="AD92">
        <f>DATEDIF(AC92, C92, "m")</f>
        <v>1</v>
      </c>
      <c r="AE92" s="8">
        <f t="shared" si="21"/>
        <v>657.6069</v>
      </c>
    </row>
    <row r="93" spans="1:31" x14ac:dyDescent="0.3">
      <c r="A93" s="4" t="s">
        <v>561</v>
      </c>
      <c r="B93" s="6">
        <v>45177</v>
      </c>
      <c r="C93" s="14">
        <v>45177</v>
      </c>
      <c r="D93" s="14" t="str">
        <f t="shared" si="13"/>
        <v>Q3 -2023</v>
      </c>
      <c r="E93" s="6">
        <v>45201</v>
      </c>
      <c r="F93" s="6">
        <f t="shared" si="14"/>
        <v>45201</v>
      </c>
      <c r="G93" s="12">
        <f t="shared" si="15"/>
        <v>24</v>
      </c>
      <c r="H93" s="12">
        <f t="shared" si="16"/>
        <v>0</v>
      </c>
      <c r="I93" s="4" t="s">
        <v>648</v>
      </c>
      <c r="J93" s="4" t="s">
        <v>653</v>
      </c>
      <c r="K93" s="4" t="s">
        <v>667</v>
      </c>
      <c r="L93" t="str">
        <f t="shared" si="17"/>
        <v>Americas&gt;Canada&gt;Toronto</v>
      </c>
      <c r="M93" s="4" t="s">
        <v>702</v>
      </c>
      <c r="N93" s="4" t="s">
        <v>711</v>
      </c>
      <c r="O93" s="4" t="s">
        <v>720</v>
      </c>
      <c r="P93" s="4" t="s">
        <v>733</v>
      </c>
      <c r="Q93" s="4" t="s">
        <v>1279</v>
      </c>
      <c r="R93" s="8">
        <v>1299.03</v>
      </c>
      <c r="S93" s="8">
        <v>2451.2199999999998</v>
      </c>
      <c r="T93" s="8">
        <v>2451.2199999999998</v>
      </c>
      <c r="U93" s="8" t="str">
        <f>IF(T93&lt;=_xlfn.PERCENTILE.INC($T93:$T$633,0.33), "Low", IF(T93&lt;=_xlfn.PERCENTILE.INC($T93:$T$633,0.66), "Medium", "High"))</f>
        <v>High</v>
      </c>
      <c r="V93" s="10">
        <v>0.20799999999999999</v>
      </c>
      <c r="W93" s="10">
        <f t="shared" si="18"/>
        <v>0.20799999999999999</v>
      </c>
      <c r="X93" s="12">
        <v>8</v>
      </c>
      <c r="Y93" s="8">
        <f t="shared" si="11"/>
        <v>15530.929919999999</v>
      </c>
      <c r="Z93" s="8">
        <f t="shared" si="12"/>
        <v>10392.24</v>
      </c>
      <c r="AA93" s="8">
        <f t="shared" si="19"/>
        <v>5138.6899199999989</v>
      </c>
      <c r="AB93" s="10">
        <f t="shared" si="20"/>
        <v>0.3308681416032041</v>
      </c>
      <c r="AC93" s="14">
        <f>_xlfn.MINIFS($C$2:$C$633, $J$2:$J$633, J93)</f>
        <v>44928</v>
      </c>
      <c r="AD93">
        <f>DATEDIF(AC93, C93, "m")</f>
        <v>8</v>
      </c>
      <c r="AE93" s="8">
        <f t="shared" si="21"/>
        <v>1941.3662399999998</v>
      </c>
    </row>
    <row r="94" spans="1:31" x14ac:dyDescent="0.3">
      <c r="A94" s="4" t="s">
        <v>166</v>
      </c>
      <c r="B94" s="6">
        <v>45110</v>
      </c>
      <c r="C94" s="14">
        <v>45110</v>
      </c>
      <c r="D94" s="14" t="str">
        <f t="shared" si="13"/>
        <v>Q3 -2023</v>
      </c>
      <c r="E94" s="6">
        <v>45130</v>
      </c>
      <c r="F94" s="6">
        <f t="shared" si="14"/>
        <v>45130</v>
      </c>
      <c r="G94" s="12">
        <f t="shared" si="15"/>
        <v>20</v>
      </c>
      <c r="H94" s="12">
        <f t="shared" si="16"/>
        <v>0</v>
      </c>
      <c r="I94" s="4" t="s">
        <v>646</v>
      </c>
      <c r="J94" s="4" t="s">
        <v>661</v>
      </c>
      <c r="K94" s="4" t="s">
        <v>682</v>
      </c>
      <c r="L94" t="str">
        <f t="shared" si="17"/>
        <v>Africa&gt;South Africa&gt;Johannesburg</v>
      </c>
      <c r="M94" s="4" t="s">
        <v>705</v>
      </c>
      <c r="N94" s="4" t="s">
        <v>710</v>
      </c>
      <c r="O94" s="4" t="s">
        <v>721</v>
      </c>
      <c r="P94" s="4" t="s">
        <v>731</v>
      </c>
      <c r="Q94" s="4" t="s">
        <v>885</v>
      </c>
      <c r="R94" s="8">
        <v>1001.96</v>
      </c>
      <c r="S94" s="8">
        <v>1254.95</v>
      </c>
      <c r="T94" s="8">
        <v>1254.95</v>
      </c>
      <c r="U94" s="8" t="str">
        <f>IF(T94&lt;=_xlfn.PERCENTILE.INC($T94:$T$633,0.33), "Low", IF(T94&lt;=_xlfn.PERCENTILE.INC($T94:$T$633,0.66), "Medium", "High"))</f>
        <v>Medium</v>
      </c>
      <c r="V94" s="10">
        <v>4.4999999999999998E-2</v>
      </c>
      <c r="W94" s="10">
        <f t="shared" si="18"/>
        <v>4.4999999999999998E-2</v>
      </c>
      <c r="X94" s="12">
        <v>18</v>
      </c>
      <c r="Y94" s="8">
        <f t="shared" si="11"/>
        <v>21572.590500000002</v>
      </c>
      <c r="Z94" s="8">
        <f t="shared" si="12"/>
        <v>18035.28</v>
      </c>
      <c r="AA94" s="8">
        <f t="shared" si="19"/>
        <v>3537.3105000000032</v>
      </c>
      <c r="AB94" s="10">
        <f t="shared" si="20"/>
        <v>0.16397244920585699</v>
      </c>
      <c r="AC94" s="14">
        <f>_xlfn.MINIFS($C$2:$C$633, $J$2:$J$633, J94)</f>
        <v>44933</v>
      </c>
      <c r="AD94">
        <f>DATEDIF(AC94, C94, "m")</f>
        <v>5</v>
      </c>
      <c r="AE94" s="8">
        <f t="shared" si="21"/>
        <v>1198.4772500000001</v>
      </c>
    </row>
    <row r="95" spans="1:31" x14ac:dyDescent="0.3">
      <c r="A95" s="4" t="s">
        <v>238</v>
      </c>
      <c r="B95" s="6">
        <v>45035</v>
      </c>
      <c r="C95" s="14">
        <v>45035</v>
      </c>
      <c r="D95" s="14" t="str">
        <f t="shared" si="13"/>
        <v>Q2 -2023</v>
      </c>
      <c r="E95" s="6">
        <v>45053</v>
      </c>
      <c r="F95" s="6">
        <f t="shared" si="14"/>
        <v>45053</v>
      </c>
      <c r="G95" s="12">
        <f t="shared" si="15"/>
        <v>18</v>
      </c>
      <c r="H95" s="12">
        <f t="shared" si="16"/>
        <v>0</v>
      </c>
      <c r="I95" s="4" t="s">
        <v>649</v>
      </c>
      <c r="J95" s="4" t="s">
        <v>658</v>
      </c>
      <c r="K95" s="4" t="s">
        <v>674</v>
      </c>
      <c r="L95" t="str">
        <f t="shared" si="17"/>
        <v>Europe&gt;United Kingdom&gt;Birmingham</v>
      </c>
      <c r="M95" s="4" t="s">
        <v>706</v>
      </c>
      <c r="N95" s="4" t="s">
        <v>707</v>
      </c>
      <c r="O95" s="4" t="s">
        <v>725</v>
      </c>
      <c r="P95" s="4" t="s">
        <v>731</v>
      </c>
      <c r="Q95" s="4" t="s">
        <v>958</v>
      </c>
      <c r="R95" s="8">
        <v>1089.1500000000001</v>
      </c>
      <c r="S95" s="8">
        <v>1088.2</v>
      </c>
      <c r="T95" s="8">
        <v>1088.2</v>
      </c>
      <c r="U95" s="8" t="str">
        <f>IF(T95&lt;=_xlfn.PERCENTILE.INC($T95:$T$633,0.33), "Low", IF(T95&lt;=_xlfn.PERCENTILE.INC($T95:$T$633,0.66), "Medium", "High"))</f>
        <v>Medium</v>
      </c>
      <c r="V95" s="10">
        <v>5.0999999999999997E-2</v>
      </c>
      <c r="W95" s="10">
        <f t="shared" si="18"/>
        <v>5.0999999999999997E-2</v>
      </c>
      <c r="X95" s="12">
        <v>15</v>
      </c>
      <c r="Y95" s="8">
        <f t="shared" si="11"/>
        <v>15490.527</v>
      </c>
      <c r="Z95" s="8">
        <f t="shared" si="12"/>
        <v>16337.250000000002</v>
      </c>
      <c r="AA95" s="8">
        <f t="shared" si="19"/>
        <v>-846.72300000000178</v>
      </c>
      <c r="AB95" s="10">
        <f t="shared" si="20"/>
        <v>-5.4660696824582002E-2</v>
      </c>
      <c r="AC95" s="14">
        <f>_xlfn.MINIFS($C$2:$C$633, $J$2:$J$633, J95)</f>
        <v>44945</v>
      </c>
      <c r="AD95">
        <f>DATEDIF(AC95, C95, "m")</f>
        <v>3</v>
      </c>
      <c r="AE95" s="8">
        <f t="shared" si="21"/>
        <v>1032.7018</v>
      </c>
    </row>
    <row r="96" spans="1:31" x14ac:dyDescent="0.3">
      <c r="A96" s="4" t="s">
        <v>630</v>
      </c>
      <c r="B96" s="6">
        <v>45208</v>
      </c>
      <c r="C96" s="14">
        <v>45208</v>
      </c>
      <c r="D96" s="14" t="str">
        <f t="shared" si="13"/>
        <v>Q4 -2023</v>
      </c>
      <c r="E96" s="6">
        <v>45210</v>
      </c>
      <c r="F96" s="6">
        <f t="shared" si="14"/>
        <v>45210</v>
      </c>
      <c r="G96" s="12">
        <f t="shared" si="15"/>
        <v>2</v>
      </c>
      <c r="H96" s="12">
        <f t="shared" si="16"/>
        <v>1</v>
      </c>
      <c r="I96" s="4" t="s">
        <v>646</v>
      </c>
      <c r="J96" s="4" t="s">
        <v>651</v>
      </c>
      <c r="K96" s="4" t="s">
        <v>663</v>
      </c>
      <c r="L96" t="str">
        <f t="shared" si="17"/>
        <v>Africa&gt;Nigeria&gt;Port Harcourt</v>
      </c>
      <c r="M96" s="4" t="s">
        <v>702</v>
      </c>
      <c r="N96" s="4" t="s">
        <v>709</v>
      </c>
      <c r="O96" s="4" t="s">
        <v>723</v>
      </c>
      <c r="P96" s="4" t="s">
        <v>729</v>
      </c>
      <c r="Q96" s="4" t="s">
        <v>1348</v>
      </c>
      <c r="R96" s="8">
        <v>391.16</v>
      </c>
      <c r="S96" s="8">
        <v>902.47</v>
      </c>
      <c r="T96" s="8">
        <v>902.47</v>
      </c>
      <c r="U96" s="8" t="str">
        <f>IF(T96&lt;=_xlfn.PERCENTILE.INC($T96:$T$633,0.33), "Low", IF(T96&lt;=_xlfn.PERCENTILE.INC($T96:$T$633,0.66), "Medium", "High"))</f>
        <v>Medium</v>
      </c>
      <c r="V96" s="10">
        <v>4.0000000000000001E-3</v>
      </c>
      <c r="W96" s="10">
        <f t="shared" si="18"/>
        <v>4.0000000000000001E-3</v>
      </c>
      <c r="X96" s="12">
        <v>12</v>
      </c>
      <c r="Y96" s="8">
        <f t="shared" si="11"/>
        <v>10786.32144</v>
      </c>
      <c r="Z96" s="8">
        <f t="shared" si="12"/>
        <v>4693.92</v>
      </c>
      <c r="AA96" s="8">
        <f t="shared" si="19"/>
        <v>6092.4014399999996</v>
      </c>
      <c r="AB96" s="10">
        <f t="shared" si="20"/>
        <v>0.56482661618139207</v>
      </c>
      <c r="AC96" s="14">
        <f>_xlfn.MINIFS($C$2:$C$633, $J$2:$J$633, J96)</f>
        <v>44941</v>
      </c>
      <c r="AD96">
        <f>DATEDIF(AC96, C96, "m")</f>
        <v>8</v>
      </c>
      <c r="AE96" s="8">
        <f t="shared" si="21"/>
        <v>898.86011999999994</v>
      </c>
    </row>
    <row r="97" spans="1:31" x14ac:dyDescent="0.3">
      <c r="A97" s="4" t="s">
        <v>254</v>
      </c>
      <c r="B97" s="6">
        <v>45188</v>
      </c>
      <c r="C97" s="14">
        <v>45188</v>
      </c>
      <c r="D97" s="14" t="str">
        <f t="shared" si="13"/>
        <v>Q3 -2023</v>
      </c>
      <c r="E97" s="6">
        <v>45207</v>
      </c>
      <c r="F97" s="6">
        <f t="shared" si="14"/>
        <v>45207</v>
      </c>
      <c r="G97" s="12">
        <f t="shared" si="15"/>
        <v>19</v>
      </c>
      <c r="H97" s="12">
        <f t="shared" si="16"/>
        <v>0</v>
      </c>
      <c r="I97" s="4" t="s">
        <v>647</v>
      </c>
      <c r="J97" s="4" t="s">
        <v>654</v>
      </c>
      <c r="K97" s="4" t="s">
        <v>668</v>
      </c>
      <c r="L97" t="str">
        <f t="shared" si="17"/>
        <v>Asia&gt;India&gt;Bengaluru</v>
      </c>
      <c r="M97" s="4" t="s">
        <v>702</v>
      </c>
      <c r="N97" s="4" t="s">
        <v>711</v>
      </c>
      <c r="O97" s="4" t="s">
        <v>713</v>
      </c>
      <c r="P97" s="4" t="s">
        <v>728</v>
      </c>
      <c r="Q97" s="4" t="s">
        <v>974</v>
      </c>
      <c r="R97" s="8">
        <v>385.32</v>
      </c>
      <c r="S97" s="8">
        <v>606.76</v>
      </c>
      <c r="T97" s="8">
        <v>606.76</v>
      </c>
      <c r="U97" s="8" t="str">
        <f>IF(T97&lt;=_xlfn.PERCENTILE.INC($T97:$T$633,0.33), "Low", IF(T97&lt;=_xlfn.PERCENTILE.INC($T97:$T$633,0.66), "Medium", "High"))</f>
        <v>Low</v>
      </c>
      <c r="V97" s="10">
        <v>8.5999999999999993E-2</v>
      </c>
      <c r="W97" s="10">
        <f t="shared" si="18"/>
        <v>8.5999999999999993E-2</v>
      </c>
      <c r="X97" s="12">
        <v>8</v>
      </c>
      <c r="Y97" s="8">
        <f t="shared" si="11"/>
        <v>4436.6291200000005</v>
      </c>
      <c r="Z97" s="8">
        <f t="shared" si="12"/>
        <v>3082.56</v>
      </c>
      <c r="AA97" s="8">
        <f t="shared" si="19"/>
        <v>1354.0691200000006</v>
      </c>
      <c r="AB97" s="10">
        <f t="shared" si="20"/>
        <v>0.30520223425842735</v>
      </c>
      <c r="AC97" s="14">
        <f>_xlfn.MINIFS($C$2:$C$633, $J$2:$J$633, J97)</f>
        <v>44955</v>
      </c>
      <c r="AD97">
        <f>DATEDIF(AC97, C97, "m")</f>
        <v>7</v>
      </c>
      <c r="AE97" s="8">
        <f t="shared" si="21"/>
        <v>554.57864000000006</v>
      </c>
    </row>
    <row r="98" spans="1:31" x14ac:dyDescent="0.3">
      <c r="A98" s="4" t="s">
        <v>275</v>
      </c>
      <c r="B98" s="6">
        <v>45073</v>
      </c>
      <c r="C98" s="14">
        <v>45073</v>
      </c>
      <c r="D98" s="14" t="str">
        <f t="shared" si="13"/>
        <v>Q2 -2023</v>
      </c>
      <c r="E98" s="6">
        <v>45096</v>
      </c>
      <c r="F98" s="6">
        <f t="shared" si="14"/>
        <v>45096</v>
      </c>
      <c r="G98" s="12">
        <f t="shared" si="15"/>
        <v>23</v>
      </c>
      <c r="H98" s="12">
        <f t="shared" si="16"/>
        <v>0</v>
      </c>
      <c r="I98" s="4" t="s">
        <v>649</v>
      </c>
      <c r="J98" s="4" t="s">
        <v>656</v>
      </c>
      <c r="K98" s="4" t="s">
        <v>671</v>
      </c>
      <c r="L98" t="str">
        <f t="shared" si="17"/>
        <v>Europe&gt;Germany&gt;Berlin</v>
      </c>
      <c r="M98" s="4" t="s">
        <v>702</v>
      </c>
      <c r="N98" s="4" t="s">
        <v>707</v>
      </c>
      <c r="O98" s="4" t="s">
        <v>719</v>
      </c>
      <c r="P98" s="4" t="s">
        <v>733</v>
      </c>
      <c r="Q98" s="4" t="s">
        <v>995</v>
      </c>
      <c r="R98" s="8">
        <v>1471.58</v>
      </c>
      <c r="S98" s="8">
        <v>2576.65</v>
      </c>
      <c r="T98" s="8">
        <v>2576.65</v>
      </c>
      <c r="U98" s="8" t="str">
        <f>IF(T98&lt;=_xlfn.PERCENTILE.INC($T98:$T$633,0.33), "Low", IF(T98&lt;=_xlfn.PERCENTILE.INC($T98:$T$633,0.66), "Medium", "High"))</f>
        <v>High</v>
      </c>
      <c r="V98" s="10">
        <v>4.0000000000000001E-3</v>
      </c>
      <c r="W98" s="10">
        <f t="shared" si="18"/>
        <v>4.0000000000000001E-3</v>
      </c>
      <c r="X98" s="12">
        <v>7</v>
      </c>
      <c r="Y98" s="8">
        <f t="shared" si="11"/>
        <v>17964.4038</v>
      </c>
      <c r="Z98" s="8">
        <f t="shared" si="12"/>
        <v>10301.06</v>
      </c>
      <c r="AA98" s="8">
        <f t="shared" si="19"/>
        <v>7663.3438000000006</v>
      </c>
      <c r="AB98" s="10">
        <f t="shared" si="20"/>
        <v>0.4265849223451546</v>
      </c>
      <c r="AC98" s="14">
        <f>_xlfn.MINIFS($C$2:$C$633, $J$2:$J$633, J98)</f>
        <v>44948</v>
      </c>
      <c r="AD98">
        <f>DATEDIF(AC98, C98, "m")</f>
        <v>4</v>
      </c>
      <c r="AE98" s="8">
        <f t="shared" si="21"/>
        <v>2566.3434000000002</v>
      </c>
    </row>
    <row r="99" spans="1:31" x14ac:dyDescent="0.3">
      <c r="A99" s="4" t="s">
        <v>144</v>
      </c>
      <c r="B99" s="6">
        <v>44948</v>
      </c>
      <c r="C99" s="14">
        <v>44948</v>
      </c>
      <c r="D99" s="14" t="str">
        <f t="shared" si="13"/>
        <v>Q1 -2023</v>
      </c>
      <c r="E99" s="6">
        <v>44956</v>
      </c>
      <c r="F99" s="6">
        <f t="shared" si="14"/>
        <v>44956</v>
      </c>
      <c r="G99" s="12">
        <f t="shared" si="15"/>
        <v>8</v>
      </c>
      <c r="H99" s="12">
        <f t="shared" si="16"/>
        <v>0</v>
      </c>
      <c r="I99" s="4" t="s">
        <v>648</v>
      </c>
      <c r="J99" s="4" t="s">
        <v>660</v>
      </c>
      <c r="K99" s="4" t="s">
        <v>686</v>
      </c>
      <c r="L99" t="str">
        <f t="shared" si="17"/>
        <v>Americas&gt;USA&gt;San Francisco</v>
      </c>
      <c r="M99" s="4" t="s">
        <v>705</v>
      </c>
      <c r="N99" s="4" t="s">
        <v>708</v>
      </c>
      <c r="O99" s="4" t="s">
        <v>720</v>
      </c>
      <c r="P99" s="4" t="s">
        <v>729</v>
      </c>
      <c r="Q99" s="4" t="s">
        <v>863</v>
      </c>
      <c r="R99" s="8">
        <v>413.52</v>
      </c>
      <c r="S99" s="8">
        <v>1004.34</v>
      </c>
      <c r="T99" s="8">
        <v>1004.34</v>
      </c>
      <c r="U99" s="8" t="str">
        <f>IF(T99&lt;=_xlfn.PERCENTILE.INC($T99:$T$633,0.33), "Low", IF(T99&lt;=_xlfn.PERCENTILE.INC($T99:$T$633,0.66), "Medium", "High"))</f>
        <v>Medium</v>
      </c>
      <c r="V99" s="10">
        <v>0.111</v>
      </c>
      <c r="W99" s="10">
        <f t="shared" si="18"/>
        <v>0.111</v>
      </c>
      <c r="X99" s="12">
        <v>18</v>
      </c>
      <c r="Y99" s="8">
        <f t="shared" si="11"/>
        <v>16071.44868</v>
      </c>
      <c r="Z99" s="8">
        <f t="shared" si="12"/>
        <v>7443.36</v>
      </c>
      <c r="AA99" s="8">
        <f t="shared" si="19"/>
        <v>8628.0886800000007</v>
      </c>
      <c r="AB99" s="10">
        <f t="shared" si="20"/>
        <v>0.53685817948304593</v>
      </c>
      <c r="AC99" s="14">
        <f>_xlfn.MINIFS($C$2:$C$633, $J$2:$J$633, J99)</f>
        <v>44939</v>
      </c>
      <c r="AD99">
        <f>DATEDIF(AC99, C99, "m")</f>
        <v>0</v>
      </c>
      <c r="AE99" s="8">
        <f t="shared" si="21"/>
        <v>892.85825999999997</v>
      </c>
    </row>
    <row r="100" spans="1:31" x14ac:dyDescent="0.3">
      <c r="A100" s="4" t="s">
        <v>144</v>
      </c>
      <c r="B100" s="6">
        <v>44955</v>
      </c>
      <c r="C100" s="14">
        <v>44955</v>
      </c>
      <c r="D100" s="14" t="str">
        <f t="shared" si="13"/>
        <v>Q1 -2023</v>
      </c>
      <c r="E100" s="6">
        <v>44985</v>
      </c>
      <c r="F100" s="6">
        <f t="shared" si="14"/>
        <v>44985</v>
      </c>
      <c r="G100" s="12">
        <f t="shared" si="15"/>
        <v>30</v>
      </c>
      <c r="H100" s="12">
        <f t="shared" si="16"/>
        <v>0</v>
      </c>
      <c r="I100" s="4" t="s">
        <v>647</v>
      </c>
      <c r="J100" s="4" t="s">
        <v>654</v>
      </c>
      <c r="K100" s="4" t="s">
        <v>668</v>
      </c>
      <c r="L100" t="str">
        <f t="shared" si="17"/>
        <v>Asia&gt;India&gt;Bengaluru</v>
      </c>
      <c r="M100" s="4" t="s">
        <v>703</v>
      </c>
      <c r="N100" s="4" t="s">
        <v>707</v>
      </c>
      <c r="O100" s="4" t="s">
        <v>717</v>
      </c>
      <c r="P100" s="4" t="s">
        <v>733</v>
      </c>
      <c r="Q100" s="4" t="s">
        <v>921</v>
      </c>
      <c r="R100" s="8">
        <v>1262.0999999999999</v>
      </c>
      <c r="S100" s="8">
        <v>1395.53</v>
      </c>
      <c r="T100" s="8">
        <v>1395.53</v>
      </c>
      <c r="U100" s="8" t="str">
        <f>IF(T100&lt;=_xlfn.PERCENTILE.INC($T100:$T$633,0.33), "Low", IF(T100&lt;=_xlfn.PERCENTILE.INC($T100:$T$633,0.66), "Medium", "High"))</f>
        <v>Medium</v>
      </c>
      <c r="V100" s="10">
        <v>0.23300000000000001</v>
      </c>
      <c r="W100" s="10">
        <f t="shared" si="18"/>
        <v>0.23300000000000001</v>
      </c>
      <c r="X100" s="12">
        <v>25</v>
      </c>
      <c r="Y100" s="8">
        <f t="shared" si="11"/>
        <v>26759.28775</v>
      </c>
      <c r="Z100" s="8">
        <f t="shared" si="12"/>
        <v>31552.499999999996</v>
      </c>
      <c r="AA100" s="8">
        <f t="shared" si="19"/>
        <v>-4793.2122499999969</v>
      </c>
      <c r="AB100" s="10">
        <f t="shared" si="20"/>
        <v>-0.17912331205452198</v>
      </c>
      <c r="AC100" s="14">
        <f>_xlfn.MINIFS($C$2:$C$633, $J$2:$J$633, J100)</f>
        <v>44955</v>
      </c>
      <c r="AD100">
        <f>DATEDIF(AC100, C100, "m")</f>
        <v>0</v>
      </c>
      <c r="AE100" s="8">
        <f t="shared" si="21"/>
        <v>1070.3715099999999</v>
      </c>
    </row>
    <row r="101" spans="1:31" x14ac:dyDescent="0.3">
      <c r="A101" s="4" t="s">
        <v>547</v>
      </c>
      <c r="B101" s="6">
        <v>45155</v>
      </c>
      <c r="C101" s="14">
        <v>45155</v>
      </c>
      <c r="D101" s="14" t="str">
        <f t="shared" si="13"/>
        <v>Q3 -2023</v>
      </c>
      <c r="E101" s="6">
        <v>45172</v>
      </c>
      <c r="F101" s="6">
        <f t="shared" si="14"/>
        <v>45172</v>
      </c>
      <c r="G101" s="12">
        <f t="shared" si="15"/>
        <v>17</v>
      </c>
      <c r="H101" s="12">
        <f t="shared" si="16"/>
        <v>0</v>
      </c>
      <c r="I101" s="4" t="s">
        <v>646</v>
      </c>
      <c r="J101" s="4" t="s">
        <v>661</v>
      </c>
      <c r="K101" s="4" t="s">
        <v>687</v>
      </c>
      <c r="L101" t="str">
        <f t="shared" si="17"/>
        <v>Africa&gt;South Africa&gt;Durban</v>
      </c>
      <c r="M101" s="4" t="s">
        <v>706</v>
      </c>
      <c r="N101" s="4" t="s">
        <v>707</v>
      </c>
      <c r="O101" s="4" t="s">
        <v>720</v>
      </c>
      <c r="P101" s="4" t="s">
        <v>730</v>
      </c>
      <c r="Q101" s="4" t="s">
        <v>1266</v>
      </c>
      <c r="R101" s="8">
        <v>676.37</v>
      </c>
      <c r="S101" s="8">
        <v>1276.67</v>
      </c>
      <c r="T101" s="8">
        <v>1276.67</v>
      </c>
      <c r="U101" s="8" t="str">
        <f>IF(T101&lt;=_xlfn.PERCENTILE.INC($T101:$T$633,0.33), "Low", IF(T101&lt;=_xlfn.PERCENTILE.INC($T101:$T$633,0.66), "Medium", "High"))</f>
        <v>Medium</v>
      </c>
      <c r="V101" s="10">
        <v>6.6000000000000003E-2</v>
      </c>
      <c r="W101" s="10">
        <f t="shared" si="18"/>
        <v>6.6000000000000003E-2</v>
      </c>
      <c r="X101" s="12">
        <v>10</v>
      </c>
      <c r="Y101" s="8">
        <f t="shared" si="11"/>
        <v>11924.0978</v>
      </c>
      <c r="Z101" s="8">
        <f t="shared" si="12"/>
        <v>6763.7</v>
      </c>
      <c r="AA101" s="8">
        <f t="shared" si="19"/>
        <v>5160.3977999999997</v>
      </c>
      <c r="AB101" s="10">
        <f t="shared" si="20"/>
        <v>0.4327705027712872</v>
      </c>
      <c r="AC101" s="14">
        <f>_xlfn.MINIFS($C$2:$C$633, $J$2:$J$633, J101)</f>
        <v>44933</v>
      </c>
      <c r="AD101">
        <f>DATEDIF(AC101, C101, "m")</f>
        <v>7</v>
      </c>
      <c r="AE101" s="8">
        <f t="shared" si="21"/>
        <v>1192.40978</v>
      </c>
    </row>
    <row r="102" spans="1:31" x14ac:dyDescent="0.3">
      <c r="A102" s="4" t="s">
        <v>341</v>
      </c>
      <c r="B102" s="6">
        <v>45087</v>
      </c>
      <c r="C102" s="14">
        <v>45087</v>
      </c>
      <c r="D102" s="14" t="str">
        <f t="shared" si="13"/>
        <v>Q2 -2023</v>
      </c>
      <c r="E102" s="6">
        <v>45095</v>
      </c>
      <c r="F102" s="6">
        <f t="shared" si="14"/>
        <v>45095</v>
      </c>
      <c r="G102" s="12">
        <f t="shared" si="15"/>
        <v>8</v>
      </c>
      <c r="H102" s="12">
        <f t="shared" si="16"/>
        <v>0</v>
      </c>
      <c r="I102" s="4" t="s">
        <v>646</v>
      </c>
      <c r="J102" s="4" t="s">
        <v>650</v>
      </c>
      <c r="K102" s="4" t="s">
        <v>678</v>
      </c>
      <c r="L102" t="str">
        <f t="shared" si="17"/>
        <v>Africa&gt;Kenya&gt;Nakuru</v>
      </c>
      <c r="M102" s="4" t="s">
        <v>706</v>
      </c>
      <c r="N102" s="4" t="s">
        <v>711</v>
      </c>
      <c r="O102" s="4" t="s">
        <v>722</v>
      </c>
      <c r="P102" s="4" t="s">
        <v>730</v>
      </c>
      <c r="Q102" s="4" t="s">
        <v>1061</v>
      </c>
      <c r="R102" s="8">
        <v>894.23</v>
      </c>
      <c r="S102" s="8">
        <v>1421.55</v>
      </c>
      <c r="T102" s="8">
        <v>1421.55</v>
      </c>
      <c r="U102" s="8" t="str">
        <f>IF(T102&lt;=_xlfn.PERCENTILE.INC($T102:$T$633,0.33), "Low", IF(T102&lt;=_xlfn.PERCENTILE.INC($T102:$T$633,0.66), "Medium", "High"))</f>
        <v>Medium</v>
      </c>
      <c r="V102" s="10">
        <v>0.109</v>
      </c>
      <c r="W102" s="10">
        <f t="shared" si="18"/>
        <v>0.109</v>
      </c>
      <c r="X102" s="12">
        <v>3</v>
      </c>
      <c r="Y102" s="8">
        <f t="shared" si="11"/>
        <v>3799.8031499999997</v>
      </c>
      <c r="Z102" s="8">
        <f t="shared" si="12"/>
        <v>2682.69</v>
      </c>
      <c r="AA102" s="8">
        <f t="shared" si="19"/>
        <v>1117.1131499999997</v>
      </c>
      <c r="AB102" s="10">
        <f t="shared" si="20"/>
        <v>0.29399237431549574</v>
      </c>
      <c r="AC102" s="14">
        <f>_xlfn.MINIFS($C$2:$C$633, $J$2:$J$633, J102)</f>
        <v>44946</v>
      </c>
      <c r="AD102">
        <f>DATEDIF(AC102, C102, "m")</f>
        <v>4</v>
      </c>
      <c r="AE102" s="8">
        <f t="shared" si="21"/>
        <v>1266.60105</v>
      </c>
    </row>
    <row r="103" spans="1:31" x14ac:dyDescent="0.3">
      <c r="A103" s="4" t="s">
        <v>474</v>
      </c>
      <c r="B103" s="6">
        <v>45116</v>
      </c>
      <c r="C103" s="14">
        <v>45116</v>
      </c>
      <c r="D103" s="14" t="str">
        <f t="shared" si="13"/>
        <v>Q3 -2023</v>
      </c>
      <c r="E103" s="6">
        <v>45126</v>
      </c>
      <c r="F103" s="6">
        <f t="shared" si="14"/>
        <v>45126</v>
      </c>
      <c r="G103" s="12">
        <f t="shared" si="15"/>
        <v>10</v>
      </c>
      <c r="H103" s="12">
        <f t="shared" si="16"/>
        <v>0</v>
      </c>
      <c r="I103" s="4" t="s">
        <v>647</v>
      </c>
      <c r="J103" s="4" t="s">
        <v>652</v>
      </c>
      <c r="K103" s="4" t="s">
        <v>689</v>
      </c>
      <c r="L103" t="str">
        <f t="shared" si="17"/>
        <v>Asia&gt;Japan&gt;Tokyo</v>
      </c>
      <c r="M103" s="4" t="s">
        <v>706</v>
      </c>
      <c r="N103" s="4" t="s">
        <v>710</v>
      </c>
      <c r="O103" s="4" t="s">
        <v>725</v>
      </c>
      <c r="P103" s="4" t="s">
        <v>727</v>
      </c>
      <c r="Q103" s="4" t="s">
        <v>1193</v>
      </c>
      <c r="R103" s="8">
        <v>141.26</v>
      </c>
      <c r="S103" s="8">
        <v>206.88</v>
      </c>
      <c r="T103" s="8">
        <v>206.88</v>
      </c>
      <c r="U103" s="8" t="str">
        <f>IF(T103&lt;=_xlfn.PERCENTILE.INC($T103:$T$633,0.33), "Low", IF(T103&lt;=_xlfn.PERCENTILE.INC($T103:$T$633,0.66), "Medium", "High"))</f>
        <v>Low</v>
      </c>
      <c r="V103" s="10">
        <v>0.107</v>
      </c>
      <c r="W103" s="10">
        <f t="shared" si="18"/>
        <v>0.107</v>
      </c>
      <c r="X103" s="12">
        <v>9</v>
      </c>
      <c r="Y103" s="8">
        <f t="shared" si="11"/>
        <v>1662.6945600000001</v>
      </c>
      <c r="Z103" s="8">
        <f t="shared" si="12"/>
        <v>1271.3399999999999</v>
      </c>
      <c r="AA103" s="8">
        <f t="shared" si="19"/>
        <v>391.35456000000022</v>
      </c>
      <c r="AB103" s="10">
        <f t="shared" si="20"/>
        <v>0.23537369365062469</v>
      </c>
      <c r="AC103" s="14">
        <f>_xlfn.MINIFS($C$2:$C$633, $J$2:$J$633, J103)</f>
        <v>44988</v>
      </c>
      <c r="AD103">
        <f>DATEDIF(AC103, C103, "m")</f>
        <v>4</v>
      </c>
      <c r="AE103" s="8">
        <f t="shared" si="21"/>
        <v>184.74384000000001</v>
      </c>
    </row>
    <row r="104" spans="1:31" x14ac:dyDescent="0.3">
      <c r="A104" s="4" t="s">
        <v>386</v>
      </c>
      <c r="B104" s="6">
        <v>45022</v>
      </c>
      <c r="C104" s="14">
        <v>45022</v>
      </c>
      <c r="D104" s="14" t="str">
        <f t="shared" si="13"/>
        <v>Q2 -2023</v>
      </c>
      <c r="E104" s="6">
        <v>45024</v>
      </c>
      <c r="F104" s="6">
        <f t="shared" si="14"/>
        <v>45024</v>
      </c>
      <c r="G104" s="12">
        <f t="shared" si="15"/>
        <v>2</v>
      </c>
      <c r="H104" s="12">
        <f t="shared" si="16"/>
        <v>1</v>
      </c>
      <c r="I104" s="4" t="s">
        <v>646</v>
      </c>
      <c r="J104" s="4" t="s">
        <v>651</v>
      </c>
      <c r="K104" s="4" t="s">
        <v>669</v>
      </c>
      <c r="L104" t="str">
        <f t="shared" si="17"/>
        <v>Africa&gt;Nigeria&gt;Abuja</v>
      </c>
      <c r="M104" s="4" t="s">
        <v>705</v>
      </c>
      <c r="N104" s="4" t="s">
        <v>709</v>
      </c>
      <c r="O104" s="4" t="s">
        <v>723</v>
      </c>
      <c r="P104" s="4" t="s">
        <v>732</v>
      </c>
      <c r="Q104" s="4" t="s">
        <v>1106</v>
      </c>
      <c r="R104" s="8">
        <v>720.35</v>
      </c>
      <c r="S104" s="8">
        <v>1571.66</v>
      </c>
      <c r="T104" s="8">
        <v>1571.66</v>
      </c>
      <c r="U104" s="8" t="str">
        <f>IF(T104&lt;=_xlfn.PERCENTILE.INC($T104:$T$633,0.33), "Low", IF(T104&lt;=_xlfn.PERCENTILE.INC($T104:$T$633,0.66), "Medium", "High"))</f>
        <v>Medium</v>
      </c>
      <c r="V104" s="10">
        <v>0.107</v>
      </c>
      <c r="W104" s="10">
        <f t="shared" si="18"/>
        <v>0.107</v>
      </c>
      <c r="X104" s="12">
        <v>23</v>
      </c>
      <c r="Y104" s="8">
        <f t="shared" si="11"/>
        <v>32280.32474</v>
      </c>
      <c r="Z104" s="8">
        <f t="shared" si="12"/>
        <v>16568.05</v>
      </c>
      <c r="AA104" s="8">
        <f t="shared" si="19"/>
        <v>15712.274740000001</v>
      </c>
      <c r="AB104" s="10">
        <f t="shared" si="20"/>
        <v>0.4867446305622265</v>
      </c>
      <c r="AC104" s="14">
        <f>_xlfn.MINIFS($C$2:$C$633, $J$2:$J$633, J104)</f>
        <v>44941</v>
      </c>
      <c r="AD104">
        <f>DATEDIF(AC104, C104, "m")</f>
        <v>2</v>
      </c>
      <c r="AE104" s="8">
        <f t="shared" si="21"/>
        <v>1403.4923799999999</v>
      </c>
    </row>
    <row r="105" spans="1:31" x14ac:dyDescent="0.3">
      <c r="A105" s="4" t="s">
        <v>81</v>
      </c>
      <c r="B105" s="6">
        <v>45004</v>
      </c>
      <c r="C105" s="14">
        <v>45004</v>
      </c>
      <c r="D105" s="14" t="str">
        <f t="shared" si="13"/>
        <v>Q1 -2023</v>
      </c>
      <c r="E105" s="6">
        <v>45025</v>
      </c>
      <c r="F105" s="6">
        <f t="shared" si="14"/>
        <v>45025</v>
      </c>
      <c r="G105" s="12">
        <f t="shared" si="15"/>
        <v>21</v>
      </c>
      <c r="H105" s="12">
        <f t="shared" si="16"/>
        <v>0</v>
      </c>
      <c r="I105" s="4" t="s">
        <v>649</v>
      </c>
      <c r="J105" s="4" t="s">
        <v>658</v>
      </c>
      <c r="K105" s="4" t="s">
        <v>693</v>
      </c>
      <c r="L105" t="str">
        <f t="shared" si="17"/>
        <v>Europe&gt;United Kingdom&gt;Manchester</v>
      </c>
      <c r="M105" s="4" t="s">
        <v>704</v>
      </c>
      <c r="N105" s="4" t="s">
        <v>707</v>
      </c>
      <c r="O105" s="4" t="s">
        <v>716</v>
      </c>
      <c r="P105" s="4" t="s">
        <v>733</v>
      </c>
      <c r="Q105" s="4" t="s">
        <v>800</v>
      </c>
      <c r="R105" s="8">
        <v>1082.17</v>
      </c>
      <c r="S105" s="8">
        <v>1234.0999999999999</v>
      </c>
      <c r="T105" s="8">
        <v>1234.0999999999999</v>
      </c>
      <c r="U105" s="8" t="str">
        <f>IF(T105&lt;=_xlfn.PERCENTILE.INC($T105:$T$633,0.33), "Low", IF(T105&lt;=_xlfn.PERCENTILE.INC($T105:$T$633,0.66), "Medium", "High"))</f>
        <v>Medium</v>
      </c>
      <c r="V105" s="10">
        <v>0.189</v>
      </c>
      <c r="W105" s="10">
        <f t="shared" si="18"/>
        <v>0.189</v>
      </c>
      <c r="X105" s="12">
        <v>16</v>
      </c>
      <c r="Y105" s="8">
        <f t="shared" si="11"/>
        <v>16013.681599999998</v>
      </c>
      <c r="Z105" s="8">
        <f t="shared" si="12"/>
        <v>17314.72</v>
      </c>
      <c r="AA105" s="8">
        <f t="shared" si="19"/>
        <v>-1301.0384000000031</v>
      </c>
      <c r="AB105" s="10">
        <f t="shared" si="20"/>
        <v>-8.124542703534228E-2</v>
      </c>
      <c r="AC105" s="14">
        <f>_xlfn.MINIFS($C$2:$C$633, $J$2:$J$633, J105)</f>
        <v>44945</v>
      </c>
      <c r="AD105">
        <f>DATEDIF(AC105, C105, "m")</f>
        <v>2</v>
      </c>
      <c r="AE105" s="8">
        <f t="shared" si="21"/>
        <v>1000.8550999999999</v>
      </c>
    </row>
    <row r="106" spans="1:31" x14ac:dyDescent="0.3">
      <c r="A106" s="4" t="s">
        <v>641</v>
      </c>
      <c r="B106" s="6">
        <v>45141</v>
      </c>
      <c r="C106" s="14">
        <v>45141</v>
      </c>
      <c r="D106" s="14" t="str">
        <f t="shared" si="13"/>
        <v>Q3 -2023</v>
      </c>
      <c r="E106" s="6">
        <v>45168</v>
      </c>
      <c r="F106" s="6">
        <f t="shared" si="14"/>
        <v>45168</v>
      </c>
      <c r="G106" s="12">
        <f t="shared" si="15"/>
        <v>27</v>
      </c>
      <c r="H106" s="12">
        <f t="shared" si="16"/>
        <v>0</v>
      </c>
      <c r="I106" s="4" t="s">
        <v>647</v>
      </c>
      <c r="J106" s="4" t="s">
        <v>659</v>
      </c>
      <c r="K106" s="4" t="s">
        <v>685</v>
      </c>
      <c r="L106" t="str">
        <f t="shared" si="17"/>
        <v>Asia&gt;China&gt;Shanghai</v>
      </c>
      <c r="M106" s="4" t="s">
        <v>704</v>
      </c>
      <c r="N106" s="4" t="s">
        <v>710</v>
      </c>
      <c r="O106" s="4" t="s">
        <v>725</v>
      </c>
      <c r="P106" s="4" t="s">
        <v>732</v>
      </c>
      <c r="Q106" s="4" t="s">
        <v>1359</v>
      </c>
      <c r="R106" s="8">
        <v>226.04</v>
      </c>
      <c r="S106" s="8">
        <v>545.72</v>
      </c>
      <c r="T106" s="8">
        <v>545.72</v>
      </c>
      <c r="U106" s="8" t="str">
        <f>IF(T106&lt;=_xlfn.PERCENTILE.INC($T106:$T$633,0.33), "Low", IF(T106&lt;=_xlfn.PERCENTILE.INC($T106:$T$633,0.66), "Medium", "High"))</f>
        <v>Low</v>
      </c>
      <c r="V106" s="10">
        <v>0.151</v>
      </c>
      <c r="W106" s="10">
        <f t="shared" si="18"/>
        <v>0.151</v>
      </c>
      <c r="X106" s="12">
        <v>11</v>
      </c>
      <c r="Y106" s="8">
        <f t="shared" si="11"/>
        <v>5096.4790800000001</v>
      </c>
      <c r="Z106" s="8">
        <f t="shared" si="12"/>
        <v>2486.44</v>
      </c>
      <c r="AA106" s="8">
        <f t="shared" si="19"/>
        <v>2610.03908</v>
      </c>
      <c r="AB106" s="10">
        <f t="shared" si="20"/>
        <v>0.51212592831834014</v>
      </c>
      <c r="AC106" s="14">
        <f>_xlfn.MINIFS($C$2:$C$633, $J$2:$J$633, J106)</f>
        <v>44938</v>
      </c>
      <c r="AD106">
        <f>DATEDIF(AC106, C106, "m")</f>
        <v>6</v>
      </c>
      <c r="AE106" s="8">
        <f t="shared" si="21"/>
        <v>463.31628000000001</v>
      </c>
    </row>
    <row r="107" spans="1:31" x14ac:dyDescent="0.3">
      <c r="A107" s="4" t="s">
        <v>619</v>
      </c>
      <c r="B107" s="6">
        <v>45186</v>
      </c>
      <c r="C107" s="14">
        <v>45186</v>
      </c>
      <c r="D107" s="14" t="str">
        <f t="shared" si="13"/>
        <v>Q3 -2023</v>
      </c>
      <c r="E107" s="6">
        <v>45201</v>
      </c>
      <c r="F107" s="6">
        <f t="shared" si="14"/>
        <v>45201</v>
      </c>
      <c r="G107" s="12">
        <f t="shared" si="15"/>
        <v>15</v>
      </c>
      <c r="H107" s="12">
        <f t="shared" si="16"/>
        <v>0</v>
      </c>
      <c r="I107" s="4" t="s">
        <v>648</v>
      </c>
      <c r="J107" s="4" t="s">
        <v>655</v>
      </c>
      <c r="K107" s="4" t="s">
        <v>692</v>
      </c>
      <c r="L107" t="str">
        <f t="shared" si="17"/>
        <v>Americas&gt;Brazil&gt;Rio de Janeiro</v>
      </c>
      <c r="M107" s="4" t="s">
        <v>705</v>
      </c>
      <c r="N107" s="4" t="s">
        <v>707</v>
      </c>
      <c r="O107" s="4" t="s">
        <v>717</v>
      </c>
      <c r="P107" s="4" t="s">
        <v>731</v>
      </c>
      <c r="Q107" s="4" t="s">
        <v>1337</v>
      </c>
      <c r="R107" s="8">
        <v>689.33</v>
      </c>
      <c r="S107" s="8">
        <v>668.27</v>
      </c>
      <c r="T107" s="8">
        <v>668.27</v>
      </c>
      <c r="U107" s="8" t="str">
        <f>IF(T107&lt;=_xlfn.PERCENTILE.INC($T107:$T$633,0.33), "Low", IF(T107&lt;=_xlfn.PERCENTILE.INC($T107:$T$633,0.66), "Medium", "High"))</f>
        <v>Low</v>
      </c>
      <c r="V107" s="10">
        <v>0.186</v>
      </c>
      <c r="W107" s="10">
        <f t="shared" si="18"/>
        <v>0.186</v>
      </c>
      <c r="X107" s="12">
        <v>13</v>
      </c>
      <c r="Y107" s="8">
        <f t="shared" si="11"/>
        <v>7071.6331400000008</v>
      </c>
      <c r="Z107" s="8">
        <f t="shared" si="12"/>
        <v>8961.2900000000009</v>
      </c>
      <c r="AA107" s="8">
        <f t="shared" si="19"/>
        <v>-1889.6568600000001</v>
      </c>
      <c r="AB107" s="10">
        <f t="shared" si="20"/>
        <v>-0.26721647214861033</v>
      </c>
      <c r="AC107" s="14">
        <f>_xlfn.MINIFS($C$2:$C$633, $J$2:$J$633, J107)</f>
        <v>44955</v>
      </c>
      <c r="AD107">
        <f>DATEDIF(AC107, C107, "m")</f>
        <v>7</v>
      </c>
      <c r="AE107" s="8">
        <f t="shared" si="21"/>
        <v>543.97178000000008</v>
      </c>
    </row>
    <row r="108" spans="1:31" x14ac:dyDescent="0.3">
      <c r="A108" s="4" t="s">
        <v>639</v>
      </c>
      <c r="B108" s="6">
        <v>45249</v>
      </c>
      <c r="C108" s="14">
        <v>45249</v>
      </c>
      <c r="D108" s="14" t="str">
        <f t="shared" si="13"/>
        <v>Q4 -2023</v>
      </c>
      <c r="E108" s="6">
        <v>45272</v>
      </c>
      <c r="F108" s="6">
        <f t="shared" si="14"/>
        <v>45272</v>
      </c>
      <c r="G108" s="12">
        <f t="shared" si="15"/>
        <v>23</v>
      </c>
      <c r="H108" s="12">
        <f t="shared" si="16"/>
        <v>0</v>
      </c>
      <c r="I108" s="4" t="s">
        <v>647</v>
      </c>
      <c r="J108" s="4" t="s">
        <v>654</v>
      </c>
      <c r="K108" s="4" t="s">
        <v>680</v>
      </c>
      <c r="L108" t="str">
        <f t="shared" si="17"/>
        <v>Asia&gt;India&gt;Delhi</v>
      </c>
      <c r="M108" s="4" t="s">
        <v>705</v>
      </c>
      <c r="N108" s="4" t="s">
        <v>711</v>
      </c>
      <c r="O108" s="4" t="s">
        <v>712</v>
      </c>
      <c r="P108" s="4" t="s">
        <v>729</v>
      </c>
      <c r="Q108" s="4" t="s">
        <v>1357</v>
      </c>
      <c r="R108" s="8">
        <v>1349.04</v>
      </c>
      <c r="S108" s="8">
        <v>2636.6</v>
      </c>
      <c r="T108" s="8">
        <v>2636.6</v>
      </c>
      <c r="U108" s="8" t="str">
        <f>IF(T108&lt;=_xlfn.PERCENTILE.INC($T108:$T$633,0.33), "Low", IF(T108&lt;=_xlfn.PERCENTILE.INC($T108:$T$633,0.66), "Medium", "High"))</f>
        <v>High</v>
      </c>
      <c r="V108" s="10">
        <v>0.114</v>
      </c>
      <c r="W108" s="10">
        <f t="shared" si="18"/>
        <v>0.114</v>
      </c>
      <c r="X108" s="12">
        <v>14</v>
      </c>
      <c r="Y108" s="8">
        <f t="shared" si="11"/>
        <v>32704.386400000003</v>
      </c>
      <c r="Z108" s="8">
        <f t="shared" si="12"/>
        <v>18886.559999999998</v>
      </c>
      <c r="AA108" s="8">
        <f t="shared" si="19"/>
        <v>13817.826400000005</v>
      </c>
      <c r="AB108" s="10">
        <f t="shared" si="20"/>
        <v>0.42250682312143928</v>
      </c>
      <c r="AC108" s="14">
        <f>_xlfn.MINIFS($C$2:$C$633, $J$2:$J$633, J108)</f>
        <v>44955</v>
      </c>
      <c r="AD108">
        <f>DATEDIF(AC108, C108, "m")</f>
        <v>9</v>
      </c>
      <c r="AE108" s="8">
        <f t="shared" si="21"/>
        <v>2336.0276000000003</v>
      </c>
    </row>
    <row r="109" spans="1:31" x14ac:dyDescent="0.3">
      <c r="A109" s="4" t="s">
        <v>46</v>
      </c>
      <c r="B109" s="6">
        <v>44980</v>
      </c>
      <c r="C109" s="14">
        <v>44980</v>
      </c>
      <c r="D109" s="14" t="str">
        <f t="shared" si="13"/>
        <v>Q1 -2023</v>
      </c>
      <c r="E109" s="6">
        <v>45010</v>
      </c>
      <c r="F109" s="6">
        <f t="shared" si="14"/>
        <v>45010</v>
      </c>
      <c r="G109" s="12">
        <f t="shared" si="15"/>
        <v>30</v>
      </c>
      <c r="H109" s="12">
        <f t="shared" si="16"/>
        <v>0</v>
      </c>
      <c r="I109" s="4" t="s">
        <v>648</v>
      </c>
      <c r="J109" s="4" t="s">
        <v>653</v>
      </c>
      <c r="K109" s="4" t="s">
        <v>681</v>
      </c>
      <c r="L109" t="str">
        <f t="shared" si="17"/>
        <v>Americas&gt;Canada&gt;Montreal</v>
      </c>
      <c r="M109" s="4" t="s">
        <v>706</v>
      </c>
      <c r="N109" s="4" t="s">
        <v>708</v>
      </c>
      <c r="O109" s="4" t="s">
        <v>726</v>
      </c>
      <c r="P109" s="4" t="s">
        <v>730</v>
      </c>
      <c r="Q109" s="4" t="s">
        <v>765</v>
      </c>
      <c r="R109" s="8">
        <v>1242.6600000000001</v>
      </c>
      <c r="S109" s="8">
        <v>1794.07</v>
      </c>
      <c r="T109" s="8">
        <v>1794.07</v>
      </c>
      <c r="U109" s="8" t="str">
        <f>IF(T109&lt;=_xlfn.PERCENTILE.INC($T109:$T$633,0.33), "Low", IF(T109&lt;=_xlfn.PERCENTILE.INC($T109:$T$633,0.66), "Medium", "High"))</f>
        <v>High</v>
      </c>
      <c r="V109" s="10">
        <v>8.8999999999999996E-2</v>
      </c>
      <c r="W109" s="10">
        <f t="shared" si="18"/>
        <v>8.8999999999999996E-2</v>
      </c>
      <c r="X109" s="12">
        <v>16</v>
      </c>
      <c r="Y109" s="8">
        <f t="shared" si="11"/>
        <v>26150.364320000001</v>
      </c>
      <c r="Z109" s="8">
        <f t="shared" si="12"/>
        <v>19882.560000000001</v>
      </c>
      <c r="AA109" s="8">
        <f t="shared" si="19"/>
        <v>6267.8043199999993</v>
      </c>
      <c r="AB109" s="10">
        <f t="shared" si="20"/>
        <v>0.23968325042440553</v>
      </c>
      <c r="AC109" s="14">
        <f>_xlfn.MINIFS($C$2:$C$633, $J$2:$J$633, J109)</f>
        <v>44928</v>
      </c>
      <c r="AD109">
        <f>DATEDIF(AC109, C109, "m")</f>
        <v>1</v>
      </c>
      <c r="AE109" s="8">
        <f t="shared" si="21"/>
        <v>1634.39777</v>
      </c>
    </row>
    <row r="110" spans="1:31" x14ac:dyDescent="0.3">
      <c r="A110" s="4" t="s">
        <v>530</v>
      </c>
      <c r="B110" s="6">
        <v>45199</v>
      </c>
      <c r="C110" s="14">
        <v>45199</v>
      </c>
      <c r="D110" s="14" t="str">
        <f t="shared" si="13"/>
        <v>Q3 -2023</v>
      </c>
      <c r="E110" s="6">
        <v>45229</v>
      </c>
      <c r="F110" s="6">
        <f t="shared" si="14"/>
        <v>45229</v>
      </c>
      <c r="G110" s="12">
        <f t="shared" si="15"/>
        <v>30</v>
      </c>
      <c r="H110" s="12">
        <f t="shared" si="16"/>
        <v>0</v>
      </c>
      <c r="I110" s="4" t="s">
        <v>647</v>
      </c>
      <c r="J110" s="4" t="s">
        <v>652</v>
      </c>
      <c r="K110" s="4" t="s">
        <v>689</v>
      </c>
      <c r="L110" t="str">
        <f t="shared" si="17"/>
        <v>Asia&gt;Japan&gt;Tokyo</v>
      </c>
      <c r="M110" s="4" t="s">
        <v>706</v>
      </c>
      <c r="N110" s="4" t="s">
        <v>708</v>
      </c>
      <c r="O110" s="4" t="s">
        <v>726</v>
      </c>
      <c r="P110" s="4" t="s">
        <v>728</v>
      </c>
      <c r="Q110" s="4" t="s">
        <v>1249</v>
      </c>
      <c r="R110" s="8">
        <v>649.13</v>
      </c>
      <c r="S110" s="8">
        <v>975.43</v>
      </c>
      <c r="T110" s="8">
        <v>975.43</v>
      </c>
      <c r="U110" s="8" t="str">
        <f>IF(T110&lt;=_xlfn.PERCENTILE.INC($T110:$T$633,0.33), "Low", IF(T110&lt;=_xlfn.PERCENTILE.INC($T110:$T$633,0.66), "Medium", "High"))</f>
        <v>Medium</v>
      </c>
      <c r="V110" s="10">
        <v>0.157</v>
      </c>
      <c r="W110" s="10">
        <f t="shared" si="18"/>
        <v>0.157</v>
      </c>
      <c r="X110" s="12">
        <v>27</v>
      </c>
      <c r="Y110" s="8">
        <f t="shared" si="11"/>
        <v>22201.762229999997</v>
      </c>
      <c r="Z110" s="8">
        <f t="shared" si="12"/>
        <v>17526.509999999998</v>
      </c>
      <c r="AA110" s="8">
        <f t="shared" si="19"/>
        <v>4675.2522299999982</v>
      </c>
      <c r="AB110" s="10">
        <f t="shared" si="20"/>
        <v>0.21058023149543473</v>
      </c>
      <c r="AC110" s="14">
        <f>_xlfn.MINIFS($C$2:$C$633, $J$2:$J$633, J110)</f>
        <v>44988</v>
      </c>
      <c r="AD110">
        <f>DATEDIF(AC110, C110, "m")</f>
        <v>6</v>
      </c>
      <c r="AE110" s="8">
        <f t="shared" si="21"/>
        <v>822.28748999999982</v>
      </c>
    </row>
    <row r="111" spans="1:31" x14ac:dyDescent="0.3">
      <c r="A111" s="4" t="s">
        <v>492</v>
      </c>
      <c r="B111" s="6">
        <v>45123</v>
      </c>
      <c r="C111" s="14">
        <v>45123</v>
      </c>
      <c r="D111" s="14" t="str">
        <f t="shared" si="13"/>
        <v>Q3 -2023</v>
      </c>
      <c r="E111" s="6">
        <v>45151</v>
      </c>
      <c r="F111" s="6">
        <f t="shared" si="14"/>
        <v>45151</v>
      </c>
      <c r="G111" s="12">
        <f t="shared" si="15"/>
        <v>28</v>
      </c>
      <c r="H111" s="12">
        <f t="shared" si="16"/>
        <v>0</v>
      </c>
      <c r="I111" s="4" t="s">
        <v>649</v>
      </c>
      <c r="J111" s="4" t="s">
        <v>658</v>
      </c>
      <c r="K111" s="4" t="s">
        <v>693</v>
      </c>
      <c r="L111" t="str">
        <f t="shared" si="17"/>
        <v>Europe&gt;United Kingdom&gt;Manchester</v>
      </c>
      <c r="M111" s="4" t="s">
        <v>703</v>
      </c>
      <c r="N111" s="4" t="s">
        <v>708</v>
      </c>
      <c r="O111" s="4" t="s">
        <v>713</v>
      </c>
      <c r="P111" s="4" t="s">
        <v>731</v>
      </c>
      <c r="Q111" s="4" t="s">
        <v>1211</v>
      </c>
      <c r="R111" s="8">
        <v>1039.03</v>
      </c>
      <c r="S111" s="8">
        <v>2545.81</v>
      </c>
      <c r="T111" s="8">
        <v>2545.81</v>
      </c>
      <c r="U111" s="8" t="str">
        <f>IF(T111&lt;=_xlfn.PERCENTILE.INC($T111:$T$633,0.33), "Low", IF(T111&lt;=_xlfn.PERCENTILE.INC($T111:$T$633,0.66), "Medium", "High"))</f>
        <v>High</v>
      </c>
      <c r="V111" s="10">
        <v>0.216</v>
      </c>
      <c r="W111" s="10">
        <f t="shared" si="18"/>
        <v>0.216</v>
      </c>
      <c r="X111" s="12">
        <v>21</v>
      </c>
      <c r="Y111" s="8">
        <f t="shared" si="11"/>
        <v>41914.215840000004</v>
      </c>
      <c r="Z111" s="8">
        <f t="shared" si="12"/>
        <v>21819.63</v>
      </c>
      <c r="AA111" s="8">
        <f t="shared" si="19"/>
        <v>20094.585840000003</v>
      </c>
      <c r="AB111" s="10">
        <f t="shared" si="20"/>
        <v>0.47942172929364774</v>
      </c>
      <c r="AC111" s="14">
        <f>_xlfn.MINIFS($C$2:$C$633, $J$2:$J$633, J111)</f>
        <v>44945</v>
      </c>
      <c r="AD111">
        <f>DATEDIF(AC111, C111, "m")</f>
        <v>5</v>
      </c>
      <c r="AE111" s="8">
        <f t="shared" si="21"/>
        <v>1995.9150400000003</v>
      </c>
    </row>
    <row r="112" spans="1:31" x14ac:dyDescent="0.3">
      <c r="A112" s="4" t="s">
        <v>359</v>
      </c>
      <c r="B112" s="6">
        <v>45261</v>
      </c>
      <c r="C112" s="14">
        <v>45261</v>
      </c>
      <c r="D112" s="14" t="str">
        <f t="shared" si="13"/>
        <v>Q4 -2023</v>
      </c>
      <c r="E112" s="6">
        <v>45278</v>
      </c>
      <c r="F112" s="6">
        <f t="shared" si="14"/>
        <v>45278</v>
      </c>
      <c r="G112" s="12">
        <f t="shared" si="15"/>
        <v>17</v>
      </c>
      <c r="H112" s="12">
        <f t="shared" si="16"/>
        <v>0</v>
      </c>
      <c r="I112" s="4" t="s">
        <v>647</v>
      </c>
      <c r="J112" s="4" t="s">
        <v>652</v>
      </c>
      <c r="K112" s="4" t="s">
        <v>694</v>
      </c>
      <c r="L112" t="str">
        <f t="shared" si="17"/>
        <v>Asia&gt;Japan&gt;Nagoya</v>
      </c>
      <c r="M112" s="4" t="s">
        <v>705</v>
      </c>
      <c r="N112" s="4" t="s">
        <v>711</v>
      </c>
      <c r="O112" s="4" t="s">
        <v>725</v>
      </c>
      <c r="P112" s="4" t="s">
        <v>731</v>
      </c>
      <c r="Q112" s="4" t="s">
        <v>1079</v>
      </c>
      <c r="R112" s="8">
        <v>1495.79</v>
      </c>
      <c r="S112" s="8">
        <v>2783.12</v>
      </c>
      <c r="T112" s="8">
        <v>2783.12</v>
      </c>
      <c r="U112" s="8" t="str">
        <f>IF(T112&lt;=_xlfn.PERCENTILE.INC($T112:$T$633,0.33), "Low", IF(T112&lt;=_xlfn.PERCENTILE.INC($T112:$T$633,0.66), "Medium", "High"))</f>
        <v>High</v>
      </c>
      <c r="V112" s="10">
        <v>0.02</v>
      </c>
      <c r="W112" s="10">
        <f t="shared" si="18"/>
        <v>0.02</v>
      </c>
      <c r="X112" s="12">
        <v>5</v>
      </c>
      <c r="Y112" s="8">
        <f t="shared" si="11"/>
        <v>13637.287999999999</v>
      </c>
      <c r="Z112" s="8">
        <f t="shared" si="12"/>
        <v>7478.95</v>
      </c>
      <c r="AA112" s="8">
        <f t="shared" si="19"/>
        <v>6158.3379999999988</v>
      </c>
      <c r="AB112" s="10">
        <f t="shared" si="20"/>
        <v>0.45158084217331185</v>
      </c>
      <c r="AC112" s="14">
        <f>_xlfn.MINIFS($C$2:$C$633, $J$2:$J$633, J112)</f>
        <v>44988</v>
      </c>
      <c r="AD112">
        <f>DATEDIF(AC112, C112, "m")</f>
        <v>8</v>
      </c>
      <c r="AE112" s="8">
        <f t="shared" si="21"/>
        <v>2727.4575999999997</v>
      </c>
    </row>
    <row r="113" spans="1:31" x14ac:dyDescent="0.3">
      <c r="A113" s="4" t="s">
        <v>514</v>
      </c>
      <c r="B113" s="6">
        <v>45048</v>
      </c>
      <c r="C113" s="14">
        <v>45048</v>
      </c>
      <c r="D113" s="14" t="str">
        <f t="shared" si="13"/>
        <v>Q2 -2023</v>
      </c>
      <c r="E113" s="6">
        <v>45062</v>
      </c>
      <c r="F113" s="6">
        <f t="shared" si="14"/>
        <v>45062</v>
      </c>
      <c r="G113" s="12">
        <f t="shared" si="15"/>
        <v>14</v>
      </c>
      <c r="H113" s="12">
        <f t="shared" si="16"/>
        <v>0</v>
      </c>
      <c r="I113" s="4" t="s">
        <v>647</v>
      </c>
      <c r="J113" s="4" t="s">
        <v>654</v>
      </c>
      <c r="K113" s="4" t="s">
        <v>668</v>
      </c>
      <c r="L113" t="str">
        <f t="shared" si="17"/>
        <v>Asia&gt;India&gt;Bengaluru</v>
      </c>
      <c r="M113" s="4" t="s">
        <v>703</v>
      </c>
      <c r="N113" s="4" t="s">
        <v>707</v>
      </c>
      <c r="O113" s="4" t="s">
        <v>716</v>
      </c>
      <c r="P113" s="4" t="s">
        <v>732</v>
      </c>
      <c r="Q113" s="4" t="s">
        <v>1233</v>
      </c>
      <c r="R113" s="8">
        <v>475.37</v>
      </c>
      <c r="S113" s="8">
        <v>963.73</v>
      </c>
      <c r="T113" s="8">
        <v>963.73</v>
      </c>
      <c r="U113" s="8" t="str">
        <f>IF(T113&lt;=_xlfn.PERCENTILE.INC($T113:$T$633,0.33), "Low", IF(T113&lt;=_xlfn.PERCENTILE.INC($T113:$T$633,0.66), "Medium", "High"))</f>
        <v>Medium</v>
      </c>
      <c r="V113" s="10">
        <v>4.1000000000000002E-2</v>
      </c>
      <c r="W113" s="10">
        <f t="shared" si="18"/>
        <v>4.1000000000000002E-2</v>
      </c>
      <c r="X113" s="12">
        <v>22</v>
      </c>
      <c r="Y113" s="8">
        <f t="shared" si="11"/>
        <v>20332.775539999999</v>
      </c>
      <c r="Z113" s="8">
        <f t="shared" si="12"/>
        <v>10458.14</v>
      </c>
      <c r="AA113" s="8">
        <f t="shared" si="19"/>
        <v>9874.6355399999993</v>
      </c>
      <c r="AB113" s="10">
        <f t="shared" si="20"/>
        <v>0.48565113604750881</v>
      </c>
      <c r="AC113" s="14">
        <f>_xlfn.MINIFS($C$2:$C$633, $J$2:$J$633, J113)</f>
        <v>44955</v>
      </c>
      <c r="AD113">
        <f>DATEDIF(AC113, C113, "m")</f>
        <v>3</v>
      </c>
      <c r="AE113" s="8">
        <f t="shared" si="21"/>
        <v>924.21706999999992</v>
      </c>
    </row>
    <row r="114" spans="1:31" x14ac:dyDescent="0.3">
      <c r="A114" s="4" t="s">
        <v>212</v>
      </c>
      <c r="B114" s="6">
        <v>44956</v>
      </c>
      <c r="C114" s="14">
        <v>44956</v>
      </c>
      <c r="D114" s="14" t="str">
        <f t="shared" si="13"/>
        <v>Q1 -2023</v>
      </c>
      <c r="E114" s="6">
        <v>44978</v>
      </c>
      <c r="F114" s="6">
        <f t="shared" si="14"/>
        <v>44978</v>
      </c>
      <c r="G114" s="12">
        <f t="shared" si="15"/>
        <v>22</v>
      </c>
      <c r="H114" s="12">
        <f t="shared" si="16"/>
        <v>0</v>
      </c>
      <c r="I114" s="4" t="s">
        <v>649</v>
      </c>
      <c r="J114" s="4" t="s">
        <v>656</v>
      </c>
      <c r="K114" s="4" t="s">
        <v>684</v>
      </c>
      <c r="L114" t="str">
        <f t="shared" si="17"/>
        <v>Europe&gt;Germany&gt;Munich</v>
      </c>
      <c r="M114" s="4" t="s">
        <v>705</v>
      </c>
      <c r="N114" s="4" t="s">
        <v>709</v>
      </c>
      <c r="O114" s="4" t="s">
        <v>715</v>
      </c>
      <c r="P114" s="4" t="s">
        <v>729</v>
      </c>
      <c r="Q114" s="4" t="s">
        <v>932</v>
      </c>
      <c r="R114" s="8">
        <v>1142.8800000000001</v>
      </c>
      <c r="S114" s="8">
        <v>1465.29</v>
      </c>
      <c r="T114" s="8">
        <v>1465.29</v>
      </c>
      <c r="U114" s="8" t="str">
        <f>IF(T114&lt;=_xlfn.PERCENTILE.INC($T114:$T$633,0.33), "Low", IF(T114&lt;=_xlfn.PERCENTILE.INC($T114:$T$633,0.66), "Medium", "High"))</f>
        <v>Medium</v>
      </c>
      <c r="V114" s="10">
        <v>0.186</v>
      </c>
      <c r="W114" s="10">
        <f t="shared" si="18"/>
        <v>0.186</v>
      </c>
      <c r="X114" s="12">
        <v>7</v>
      </c>
      <c r="Y114" s="8">
        <f t="shared" si="11"/>
        <v>8349.2224200000001</v>
      </c>
      <c r="Z114" s="8">
        <f t="shared" si="12"/>
        <v>8000.1600000000008</v>
      </c>
      <c r="AA114" s="8">
        <f t="shared" si="19"/>
        <v>349.06241999999929</v>
      </c>
      <c r="AB114" s="10">
        <f t="shared" si="20"/>
        <v>4.1807775915017401E-2</v>
      </c>
      <c r="AC114" s="14">
        <f>_xlfn.MINIFS($C$2:$C$633, $J$2:$J$633, J114)</f>
        <v>44948</v>
      </c>
      <c r="AD114">
        <f>DATEDIF(AC114, C114, "m")</f>
        <v>0</v>
      </c>
      <c r="AE114" s="8">
        <f t="shared" si="21"/>
        <v>1192.7460599999999</v>
      </c>
    </row>
    <row r="115" spans="1:31" x14ac:dyDescent="0.3">
      <c r="A115" s="4" t="s">
        <v>136</v>
      </c>
      <c r="B115" s="6">
        <v>45249</v>
      </c>
      <c r="C115" s="14">
        <v>45249</v>
      </c>
      <c r="D115" s="14" t="str">
        <f t="shared" si="13"/>
        <v>Q4 -2023</v>
      </c>
      <c r="E115" s="6">
        <v>45273</v>
      </c>
      <c r="F115" s="6">
        <f t="shared" si="14"/>
        <v>45273</v>
      </c>
      <c r="G115" s="12">
        <f t="shared" si="15"/>
        <v>24</v>
      </c>
      <c r="H115" s="12">
        <f t="shared" si="16"/>
        <v>0</v>
      </c>
      <c r="I115" s="4" t="s">
        <v>649</v>
      </c>
      <c r="J115" s="4" t="s">
        <v>657</v>
      </c>
      <c r="K115" s="4" t="s">
        <v>679</v>
      </c>
      <c r="L115" t="str">
        <f t="shared" si="17"/>
        <v>Europe&gt;France&gt;Lyon</v>
      </c>
      <c r="M115" s="4" t="s">
        <v>703</v>
      </c>
      <c r="N115" s="4" t="s">
        <v>711</v>
      </c>
      <c r="O115" s="4" t="s">
        <v>722</v>
      </c>
      <c r="P115" s="4" t="s">
        <v>732</v>
      </c>
      <c r="Q115" s="4" t="s">
        <v>855</v>
      </c>
      <c r="R115" s="8">
        <v>1297.42</v>
      </c>
      <c r="S115" s="8">
        <v>2742.97</v>
      </c>
      <c r="T115" s="8">
        <v>2742.97</v>
      </c>
      <c r="U115" s="8" t="str">
        <f>IF(T115&lt;=_xlfn.PERCENTILE.INC($T115:$T$633,0.33), "Low", IF(T115&lt;=_xlfn.PERCENTILE.INC($T115:$T$633,0.66), "Medium", "High"))</f>
        <v>High</v>
      </c>
      <c r="V115" s="10">
        <v>6.9000000000000006E-2</v>
      </c>
      <c r="W115" s="10">
        <f t="shared" si="18"/>
        <v>6.9000000000000006E-2</v>
      </c>
      <c r="X115" s="12">
        <v>9</v>
      </c>
      <c r="Y115" s="8">
        <f t="shared" si="11"/>
        <v>22983.34563</v>
      </c>
      <c r="Z115" s="8">
        <f t="shared" si="12"/>
        <v>11676.78</v>
      </c>
      <c r="AA115" s="8">
        <f t="shared" si="19"/>
        <v>11306.565629999999</v>
      </c>
      <c r="AB115" s="10">
        <f t="shared" si="20"/>
        <v>0.49194602961727291</v>
      </c>
      <c r="AC115" s="14">
        <f>_xlfn.MINIFS($C$2:$C$633, $J$2:$J$633, J115)</f>
        <v>44936</v>
      </c>
      <c r="AD115">
        <f>DATEDIF(AC115, C115, "m")</f>
        <v>10</v>
      </c>
      <c r="AE115" s="8">
        <f t="shared" si="21"/>
        <v>2553.70507</v>
      </c>
    </row>
    <row r="116" spans="1:31" x14ac:dyDescent="0.3">
      <c r="A116" s="4" t="s">
        <v>460</v>
      </c>
      <c r="B116" s="6">
        <v>45284</v>
      </c>
      <c r="C116" s="14">
        <v>45284</v>
      </c>
      <c r="D116" s="14" t="str">
        <f t="shared" si="13"/>
        <v>Q4 -2023</v>
      </c>
      <c r="E116" s="6">
        <v>45304</v>
      </c>
      <c r="F116" s="6">
        <f t="shared" si="14"/>
        <v>45304</v>
      </c>
      <c r="G116" s="12">
        <f t="shared" si="15"/>
        <v>20</v>
      </c>
      <c r="H116" s="12">
        <f t="shared" si="16"/>
        <v>0</v>
      </c>
      <c r="I116" s="4" t="s">
        <v>647</v>
      </c>
      <c r="J116" s="4" t="s">
        <v>652</v>
      </c>
      <c r="K116" s="4" t="s">
        <v>694</v>
      </c>
      <c r="L116" t="str">
        <f t="shared" si="17"/>
        <v>Asia&gt;Japan&gt;Nagoya</v>
      </c>
      <c r="M116" s="4" t="s">
        <v>702</v>
      </c>
      <c r="N116" s="4" t="s">
        <v>711</v>
      </c>
      <c r="O116" s="4" t="s">
        <v>717</v>
      </c>
      <c r="P116" s="4" t="s">
        <v>731</v>
      </c>
      <c r="Q116" s="4" t="s">
        <v>1179</v>
      </c>
      <c r="R116" s="8">
        <v>625.37</v>
      </c>
      <c r="S116" s="8">
        <v>1319.04</v>
      </c>
      <c r="T116" s="8">
        <v>1319.04</v>
      </c>
      <c r="U116" s="8" t="str">
        <f>IF(T116&lt;=_xlfn.PERCENTILE.INC($T116:$T$633,0.33), "Low", IF(T116&lt;=_xlfn.PERCENTILE.INC($T116:$T$633,0.66), "Medium", "High"))</f>
        <v>Medium</v>
      </c>
      <c r="V116" s="10">
        <v>7.3999999999999996E-2</v>
      </c>
      <c r="W116" s="10">
        <f t="shared" si="18"/>
        <v>7.3999999999999996E-2</v>
      </c>
      <c r="X116" s="12">
        <v>8</v>
      </c>
      <c r="Y116" s="8">
        <f t="shared" si="11"/>
        <v>9771.4483199999995</v>
      </c>
      <c r="Z116" s="8">
        <f t="shared" si="12"/>
        <v>5002.96</v>
      </c>
      <c r="AA116" s="8">
        <f t="shared" si="19"/>
        <v>4768.4883199999995</v>
      </c>
      <c r="AB116" s="10">
        <f t="shared" si="20"/>
        <v>0.48800220436513547</v>
      </c>
      <c r="AC116" s="14">
        <f>_xlfn.MINIFS($C$2:$C$633, $J$2:$J$633, J116)</f>
        <v>44988</v>
      </c>
      <c r="AD116">
        <f>DATEDIF(AC116, C116, "m")</f>
        <v>9</v>
      </c>
      <c r="AE116" s="8">
        <f t="shared" si="21"/>
        <v>1221.4310399999999</v>
      </c>
    </row>
    <row r="117" spans="1:31" x14ac:dyDescent="0.3">
      <c r="A117" s="4" t="s">
        <v>470</v>
      </c>
      <c r="B117" s="6">
        <v>45265</v>
      </c>
      <c r="C117" s="14">
        <v>45265</v>
      </c>
      <c r="D117" s="14" t="str">
        <f t="shared" si="13"/>
        <v>Q4 -2023</v>
      </c>
      <c r="E117" s="6">
        <v>45272</v>
      </c>
      <c r="F117" s="6">
        <f t="shared" si="14"/>
        <v>45272</v>
      </c>
      <c r="G117" s="12">
        <f t="shared" si="15"/>
        <v>7</v>
      </c>
      <c r="H117" s="12">
        <f t="shared" si="16"/>
        <v>1</v>
      </c>
      <c r="I117" s="4" t="s">
        <v>648</v>
      </c>
      <c r="J117" s="4" t="s">
        <v>655</v>
      </c>
      <c r="K117" s="4" t="s">
        <v>672</v>
      </c>
      <c r="L117" t="str">
        <f t="shared" si="17"/>
        <v>Americas&gt;Brazil&gt;Brasília</v>
      </c>
      <c r="M117" s="4" t="s">
        <v>701</v>
      </c>
      <c r="N117" s="4" t="s">
        <v>711</v>
      </c>
      <c r="O117" s="4" t="s">
        <v>721</v>
      </c>
      <c r="P117" s="4" t="s">
        <v>730</v>
      </c>
      <c r="Q117" s="4" t="s">
        <v>1189</v>
      </c>
      <c r="R117" s="8">
        <v>307.43</v>
      </c>
      <c r="S117" s="8">
        <v>495.19</v>
      </c>
      <c r="T117" s="8">
        <v>495.19</v>
      </c>
      <c r="U117" s="8" t="str">
        <f>IF(T117&lt;=_xlfn.PERCENTILE.INC($T117:$T$633,0.33), "Low", IF(T117&lt;=_xlfn.PERCENTILE.INC($T117:$T$633,0.66), "Medium", "High"))</f>
        <v>Low</v>
      </c>
      <c r="V117" s="10">
        <v>0</v>
      </c>
      <c r="W117" s="10">
        <f t="shared" si="18"/>
        <v>0</v>
      </c>
      <c r="X117" s="12">
        <v>42</v>
      </c>
      <c r="Y117" s="8">
        <f t="shared" si="11"/>
        <v>20797.98</v>
      </c>
      <c r="Z117" s="8">
        <f t="shared" si="12"/>
        <v>12912.06</v>
      </c>
      <c r="AA117" s="8">
        <f t="shared" si="19"/>
        <v>7885.92</v>
      </c>
      <c r="AB117" s="10">
        <f t="shared" si="20"/>
        <v>0.37916759223732305</v>
      </c>
      <c r="AC117" s="14">
        <f>_xlfn.MINIFS($C$2:$C$633, $J$2:$J$633, J117)</f>
        <v>44955</v>
      </c>
      <c r="AD117">
        <f>DATEDIF(AC117, C117, "m")</f>
        <v>10</v>
      </c>
      <c r="AE117" s="8">
        <f t="shared" si="21"/>
        <v>495.19</v>
      </c>
    </row>
    <row r="118" spans="1:31" x14ac:dyDescent="0.3">
      <c r="A118" s="4" t="s">
        <v>217</v>
      </c>
      <c r="B118" s="6">
        <v>44946</v>
      </c>
      <c r="C118" s="14">
        <v>44946</v>
      </c>
      <c r="D118" s="14" t="str">
        <f t="shared" si="13"/>
        <v>Q1 -2023</v>
      </c>
      <c r="E118" s="6">
        <v>44960</v>
      </c>
      <c r="F118" s="6">
        <f t="shared" si="14"/>
        <v>44960</v>
      </c>
      <c r="G118" s="12">
        <f t="shared" si="15"/>
        <v>14</v>
      </c>
      <c r="H118" s="12">
        <f t="shared" si="16"/>
        <v>0</v>
      </c>
      <c r="I118" s="4" t="s">
        <v>646</v>
      </c>
      <c r="J118" s="4" t="s">
        <v>650</v>
      </c>
      <c r="K118" s="4" t="s">
        <v>662</v>
      </c>
      <c r="L118" t="str">
        <f t="shared" si="17"/>
        <v>Africa&gt;Kenya&gt;Kisumu</v>
      </c>
      <c r="M118" s="4" t="s">
        <v>701</v>
      </c>
      <c r="N118" s="4" t="s">
        <v>707</v>
      </c>
      <c r="O118" s="4" t="s">
        <v>724</v>
      </c>
      <c r="P118" s="4" t="s">
        <v>729</v>
      </c>
      <c r="Q118" s="4" t="s">
        <v>937</v>
      </c>
      <c r="R118" s="8">
        <v>884.36</v>
      </c>
      <c r="S118" s="8">
        <v>1545.34</v>
      </c>
      <c r="T118" s="8">
        <v>1545.34</v>
      </c>
      <c r="U118" s="8" t="str">
        <f>IF(T118&lt;=_xlfn.PERCENTILE.INC($T118:$T$633,0.33), "Low", IF(T118&lt;=_xlfn.PERCENTILE.INC($T118:$T$633,0.66), "Medium", "High"))</f>
        <v>Medium</v>
      </c>
      <c r="V118" s="10">
        <v>0.24299999999999999</v>
      </c>
      <c r="W118" s="10">
        <f t="shared" si="18"/>
        <v>0.24299999999999999</v>
      </c>
      <c r="X118" s="12">
        <v>41</v>
      </c>
      <c r="Y118" s="8">
        <f t="shared" si="11"/>
        <v>47962.717579999997</v>
      </c>
      <c r="Z118" s="8">
        <f t="shared" si="12"/>
        <v>36258.76</v>
      </c>
      <c r="AA118" s="8">
        <f t="shared" si="19"/>
        <v>11703.957579999995</v>
      </c>
      <c r="AB118" s="10">
        <f t="shared" si="20"/>
        <v>0.24402198562827965</v>
      </c>
      <c r="AC118" s="14">
        <f>_xlfn.MINIFS($C$2:$C$633, $J$2:$J$633, J118)</f>
        <v>44946</v>
      </c>
      <c r="AD118">
        <f>DATEDIF(AC118, C118, "m")</f>
        <v>0</v>
      </c>
      <c r="AE118" s="8">
        <f t="shared" si="21"/>
        <v>1169.8223799999998</v>
      </c>
    </row>
    <row r="119" spans="1:31" x14ac:dyDescent="0.3">
      <c r="A119" s="4" t="s">
        <v>489</v>
      </c>
      <c r="B119" s="6">
        <v>45069</v>
      </c>
      <c r="C119" s="14">
        <v>45069</v>
      </c>
      <c r="D119" s="14" t="str">
        <f t="shared" si="13"/>
        <v>Q2 -2023</v>
      </c>
      <c r="E119" s="6">
        <v>45071</v>
      </c>
      <c r="F119" s="6">
        <f t="shared" si="14"/>
        <v>45071</v>
      </c>
      <c r="G119" s="12">
        <f t="shared" si="15"/>
        <v>2</v>
      </c>
      <c r="H119" s="12">
        <f t="shared" si="16"/>
        <v>1</v>
      </c>
      <c r="I119" s="4" t="s">
        <v>648</v>
      </c>
      <c r="J119" s="4" t="s">
        <v>655</v>
      </c>
      <c r="K119" s="4" t="s">
        <v>692</v>
      </c>
      <c r="L119" t="str">
        <f t="shared" si="17"/>
        <v>Americas&gt;Brazil&gt;Rio de Janeiro</v>
      </c>
      <c r="M119" s="4" t="s">
        <v>706</v>
      </c>
      <c r="N119" s="4" t="s">
        <v>707</v>
      </c>
      <c r="O119" s="4" t="s">
        <v>724</v>
      </c>
      <c r="P119" s="4" t="s">
        <v>728</v>
      </c>
      <c r="Q119" s="4" t="s">
        <v>1208</v>
      </c>
      <c r="R119" s="8">
        <v>690.49</v>
      </c>
      <c r="S119" s="8">
        <v>1290.29</v>
      </c>
      <c r="T119" s="8">
        <v>1290.29</v>
      </c>
      <c r="U119" s="8" t="str">
        <f>IF(T119&lt;=_xlfn.PERCENTILE.INC($T119:$T$633,0.33), "Low", IF(T119&lt;=_xlfn.PERCENTILE.INC($T119:$T$633,0.66), "Medium", "High"))</f>
        <v>Medium</v>
      </c>
      <c r="V119" s="10">
        <v>4.2000000000000003E-2</v>
      </c>
      <c r="W119" s="10">
        <f t="shared" si="18"/>
        <v>4.2000000000000003E-2</v>
      </c>
      <c r="X119" s="12">
        <v>22</v>
      </c>
      <c r="Y119" s="8">
        <f t="shared" si="11"/>
        <v>27194.152039999997</v>
      </c>
      <c r="Z119" s="8">
        <f t="shared" si="12"/>
        <v>15190.78</v>
      </c>
      <c r="AA119" s="8">
        <f t="shared" si="19"/>
        <v>12003.372039999997</v>
      </c>
      <c r="AB119" s="10">
        <f t="shared" si="20"/>
        <v>0.44139534199647718</v>
      </c>
      <c r="AC119" s="14">
        <f>_xlfn.MINIFS($C$2:$C$633, $J$2:$J$633, J119)</f>
        <v>44955</v>
      </c>
      <c r="AD119">
        <f>DATEDIF(AC119, C119, "m")</f>
        <v>3</v>
      </c>
      <c r="AE119" s="8">
        <f t="shared" si="21"/>
        <v>1236.09782</v>
      </c>
    </row>
    <row r="120" spans="1:31" x14ac:dyDescent="0.3">
      <c r="A120" s="4" t="s">
        <v>316</v>
      </c>
      <c r="B120" s="6">
        <v>45125</v>
      </c>
      <c r="C120" s="14">
        <v>45125</v>
      </c>
      <c r="D120" s="14" t="str">
        <f t="shared" si="13"/>
        <v>Q3 -2023</v>
      </c>
      <c r="E120" s="6">
        <v>45129</v>
      </c>
      <c r="F120" s="6">
        <f t="shared" si="14"/>
        <v>45129</v>
      </c>
      <c r="G120" s="12">
        <f t="shared" si="15"/>
        <v>4</v>
      </c>
      <c r="H120" s="12">
        <f t="shared" si="16"/>
        <v>1</v>
      </c>
      <c r="I120" s="4" t="s">
        <v>648</v>
      </c>
      <c r="J120" s="4" t="s">
        <v>655</v>
      </c>
      <c r="K120" s="4" t="s">
        <v>670</v>
      </c>
      <c r="L120" t="str">
        <f t="shared" si="17"/>
        <v>Americas&gt;Brazil&gt;São Paulo</v>
      </c>
      <c r="M120" s="4" t="s">
        <v>704</v>
      </c>
      <c r="N120" s="4" t="s">
        <v>711</v>
      </c>
      <c r="O120" s="4" t="s">
        <v>721</v>
      </c>
      <c r="P120" s="4" t="s">
        <v>729</v>
      </c>
      <c r="Q120" s="4" t="s">
        <v>1036</v>
      </c>
      <c r="R120" s="8">
        <v>1269.55</v>
      </c>
      <c r="S120" s="8">
        <v>2071.1</v>
      </c>
      <c r="T120" s="8">
        <v>2071.1</v>
      </c>
      <c r="U120" s="8" t="str">
        <f>IF(T120&lt;=_xlfn.PERCENTILE.INC($T120:$T$633,0.33), "Low", IF(T120&lt;=_xlfn.PERCENTILE.INC($T120:$T$633,0.66), "Medium", "High"))</f>
        <v>High</v>
      </c>
      <c r="V120" s="10">
        <v>0.129</v>
      </c>
      <c r="W120" s="10">
        <f t="shared" si="18"/>
        <v>0.129</v>
      </c>
      <c r="X120" s="12">
        <v>22</v>
      </c>
      <c r="Y120" s="8">
        <f t="shared" si="11"/>
        <v>39686.4182</v>
      </c>
      <c r="Z120" s="8">
        <f t="shared" si="12"/>
        <v>27930.1</v>
      </c>
      <c r="AA120" s="8">
        <f t="shared" si="19"/>
        <v>11756.318200000002</v>
      </c>
      <c r="AB120" s="10">
        <f t="shared" si="20"/>
        <v>0.29623026549672354</v>
      </c>
      <c r="AC120" s="14">
        <f>_xlfn.MINIFS($C$2:$C$633, $J$2:$J$633, J120)</f>
        <v>44955</v>
      </c>
      <c r="AD120">
        <f>DATEDIF(AC120, C120, "m")</f>
        <v>5</v>
      </c>
      <c r="AE120" s="8">
        <f t="shared" si="21"/>
        <v>1803.9281000000001</v>
      </c>
    </row>
    <row r="121" spans="1:31" x14ac:dyDescent="0.3">
      <c r="A121" s="4" t="s">
        <v>397</v>
      </c>
      <c r="B121" s="6">
        <v>45097</v>
      </c>
      <c r="C121" s="14">
        <v>45097</v>
      </c>
      <c r="D121" s="14" t="str">
        <f t="shared" si="13"/>
        <v>Q2 -2023</v>
      </c>
      <c r="E121" s="6">
        <v>45115</v>
      </c>
      <c r="F121" s="6">
        <f t="shared" si="14"/>
        <v>45115</v>
      </c>
      <c r="G121" s="12">
        <f t="shared" si="15"/>
        <v>18</v>
      </c>
      <c r="H121" s="12">
        <f t="shared" si="16"/>
        <v>0</v>
      </c>
      <c r="I121" s="4" t="s">
        <v>648</v>
      </c>
      <c r="J121" s="4" t="s">
        <v>660</v>
      </c>
      <c r="K121" s="4" t="s">
        <v>700</v>
      </c>
      <c r="L121" t="str">
        <f t="shared" si="17"/>
        <v>Americas&gt;USA&gt;New York</v>
      </c>
      <c r="M121" s="4" t="s">
        <v>704</v>
      </c>
      <c r="N121" s="4" t="s">
        <v>709</v>
      </c>
      <c r="O121" s="4" t="s">
        <v>719</v>
      </c>
      <c r="P121" s="4" t="s">
        <v>729</v>
      </c>
      <c r="Q121" s="4" t="s">
        <v>1116</v>
      </c>
      <c r="R121" s="8">
        <v>1145.53</v>
      </c>
      <c r="S121" s="8">
        <v>1278.3</v>
      </c>
      <c r="T121" s="8">
        <v>1278.3</v>
      </c>
      <c r="U121" s="8" t="str">
        <f>IF(T121&lt;=_xlfn.PERCENTILE.INC($T121:$T$633,0.33), "Low", IF(T121&lt;=_xlfn.PERCENTILE.INC($T121:$T$633,0.66), "Medium", "High"))</f>
        <v>Medium</v>
      </c>
      <c r="V121" s="10">
        <v>0.09</v>
      </c>
      <c r="W121" s="10">
        <f t="shared" si="18"/>
        <v>0.09</v>
      </c>
      <c r="X121" s="12">
        <v>41</v>
      </c>
      <c r="Y121" s="8">
        <f t="shared" si="11"/>
        <v>47693.373</v>
      </c>
      <c r="Z121" s="8">
        <f t="shared" si="12"/>
        <v>46966.729999999996</v>
      </c>
      <c r="AA121" s="8">
        <f t="shared" si="19"/>
        <v>726.64300000000367</v>
      </c>
      <c r="AB121" s="10">
        <f t="shared" si="20"/>
        <v>1.5235722581416158E-2</v>
      </c>
      <c r="AC121" s="14">
        <f>_xlfn.MINIFS($C$2:$C$633, $J$2:$J$633, J121)</f>
        <v>44939</v>
      </c>
      <c r="AD121">
        <f>DATEDIF(AC121, C121, "m")</f>
        <v>5</v>
      </c>
      <c r="AE121" s="8">
        <f t="shared" si="21"/>
        <v>1163.2529999999999</v>
      </c>
    </row>
    <row r="122" spans="1:31" x14ac:dyDescent="0.3">
      <c r="A122" s="4" t="s">
        <v>167</v>
      </c>
      <c r="B122" s="6">
        <v>45267</v>
      </c>
      <c r="C122" s="14">
        <v>45267</v>
      </c>
      <c r="D122" s="14" t="str">
        <f t="shared" si="13"/>
        <v>Q4 -2023</v>
      </c>
      <c r="E122" s="6">
        <v>45265</v>
      </c>
      <c r="F122" s="6">
        <f t="shared" si="14"/>
        <v>45272</v>
      </c>
      <c r="G122" s="12">
        <f t="shared" si="15"/>
        <v>5</v>
      </c>
      <c r="H122" s="12">
        <f t="shared" si="16"/>
        <v>1</v>
      </c>
      <c r="I122" s="4" t="s">
        <v>647</v>
      </c>
      <c r="J122" s="4" t="s">
        <v>652</v>
      </c>
      <c r="K122" s="4" t="s">
        <v>689</v>
      </c>
      <c r="L122" t="str">
        <f t="shared" si="17"/>
        <v>Asia&gt;Japan&gt;Tokyo</v>
      </c>
      <c r="M122" s="4" t="s">
        <v>703</v>
      </c>
      <c r="N122" s="4" t="s">
        <v>709</v>
      </c>
      <c r="O122" s="4" t="s">
        <v>722</v>
      </c>
      <c r="P122" s="4" t="s">
        <v>728</v>
      </c>
      <c r="Q122" s="4" t="s">
        <v>886</v>
      </c>
      <c r="R122" s="8">
        <v>1097.5899999999999</v>
      </c>
      <c r="S122" s="8">
        <v>845.55</v>
      </c>
      <c r="T122" s="8">
        <v>845.55</v>
      </c>
      <c r="U122" s="8" t="str">
        <f>IF(T122&lt;=_xlfn.PERCENTILE.INC($T122:$T$633,0.33), "Low", IF(T122&lt;=_xlfn.PERCENTILE.INC($T122:$T$633,0.66), "Medium", "High"))</f>
        <v>Medium</v>
      </c>
      <c r="V122" s="10">
        <v>0.184</v>
      </c>
      <c r="W122" s="10">
        <f t="shared" si="18"/>
        <v>0.184</v>
      </c>
      <c r="X122" s="12">
        <v>6</v>
      </c>
      <c r="Y122" s="8">
        <f t="shared" si="11"/>
        <v>4139.8127999999997</v>
      </c>
      <c r="Z122" s="8">
        <f t="shared" si="12"/>
        <v>6585.5399999999991</v>
      </c>
      <c r="AA122" s="8">
        <f t="shared" si="19"/>
        <v>-2445.7271999999994</v>
      </c>
      <c r="AB122" s="10">
        <f t="shared" si="20"/>
        <v>-0.59078207594314402</v>
      </c>
      <c r="AC122" s="14">
        <f>_xlfn.MINIFS($C$2:$C$633, $J$2:$J$633, J122)</f>
        <v>44988</v>
      </c>
      <c r="AD122">
        <f>DATEDIF(AC122, C122, "m")</f>
        <v>9</v>
      </c>
      <c r="AE122" s="8">
        <f t="shared" si="21"/>
        <v>689.96879999999999</v>
      </c>
    </row>
    <row r="123" spans="1:31" x14ac:dyDescent="0.3">
      <c r="A123" s="4" t="s">
        <v>500</v>
      </c>
      <c r="B123" s="6">
        <v>45224</v>
      </c>
      <c r="C123" s="14">
        <v>45224</v>
      </c>
      <c r="D123" s="14" t="str">
        <f t="shared" si="13"/>
        <v>Q4 -2023</v>
      </c>
      <c r="E123" s="6">
        <v>45254</v>
      </c>
      <c r="F123" s="6">
        <f t="shared" si="14"/>
        <v>45254</v>
      </c>
      <c r="G123" s="12">
        <f t="shared" si="15"/>
        <v>30</v>
      </c>
      <c r="H123" s="12">
        <f t="shared" si="16"/>
        <v>0</v>
      </c>
      <c r="I123" s="4" t="s">
        <v>649</v>
      </c>
      <c r="J123" s="4" t="s">
        <v>657</v>
      </c>
      <c r="K123" s="4" t="s">
        <v>690</v>
      </c>
      <c r="L123" t="str">
        <f t="shared" si="17"/>
        <v>Europe&gt;France&gt;Paris</v>
      </c>
      <c r="M123" s="4" t="s">
        <v>706</v>
      </c>
      <c r="N123" s="4" t="s">
        <v>710</v>
      </c>
      <c r="O123" s="4" t="s">
        <v>712</v>
      </c>
      <c r="P123" s="4" t="s">
        <v>730</v>
      </c>
      <c r="Q123" s="4" t="s">
        <v>1219</v>
      </c>
      <c r="R123" s="8">
        <v>287.85000000000002</v>
      </c>
      <c r="S123" s="8">
        <v>602.91999999999996</v>
      </c>
      <c r="T123" s="8">
        <v>602.91999999999996</v>
      </c>
      <c r="U123" s="8" t="str">
        <f>IF(T123&lt;=_xlfn.PERCENTILE.INC($T123:$T$633,0.33), "Low", IF(T123&lt;=_xlfn.PERCENTILE.INC($T123:$T$633,0.66), "Medium", "High"))</f>
        <v>Low</v>
      </c>
      <c r="V123" s="10">
        <v>0.222</v>
      </c>
      <c r="W123" s="10">
        <f t="shared" si="18"/>
        <v>0.222</v>
      </c>
      <c r="X123" s="12">
        <v>11</v>
      </c>
      <c r="Y123" s="8">
        <f t="shared" si="11"/>
        <v>5159.7893599999998</v>
      </c>
      <c r="Z123" s="8">
        <f t="shared" si="12"/>
        <v>3166.3500000000004</v>
      </c>
      <c r="AA123" s="8">
        <f t="shared" si="19"/>
        <v>1993.4393599999994</v>
      </c>
      <c r="AB123" s="10">
        <f t="shared" si="20"/>
        <v>0.38634122847216373</v>
      </c>
      <c r="AC123" s="14">
        <f>_xlfn.MINIFS($C$2:$C$633, $J$2:$J$633, J123)</f>
        <v>44936</v>
      </c>
      <c r="AD123">
        <f>DATEDIF(AC123, C123, "m")</f>
        <v>9</v>
      </c>
      <c r="AE123" s="8">
        <f t="shared" si="21"/>
        <v>469.07175999999998</v>
      </c>
    </row>
    <row r="124" spans="1:31" x14ac:dyDescent="0.3">
      <c r="A124" s="4" t="s">
        <v>311</v>
      </c>
      <c r="B124" s="6">
        <v>45097</v>
      </c>
      <c r="C124" s="14">
        <v>45097</v>
      </c>
      <c r="D124" s="14" t="str">
        <f t="shared" si="13"/>
        <v>Q2 -2023</v>
      </c>
      <c r="E124" s="6">
        <v>45115</v>
      </c>
      <c r="F124" s="6">
        <f t="shared" si="14"/>
        <v>45115</v>
      </c>
      <c r="G124" s="12">
        <f t="shared" si="15"/>
        <v>18</v>
      </c>
      <c r="H124" s="12">
        <f t="shared" si="16"/>
        <v>0</v>
      </c>
      <c r="I124" s="4" t="s">
        <v>648</v>
      </c>
      <c r="J124" s="4" t="s">
        <v>660</v>
      </c>
      <c r="K124" s="4" t="s">
        <v>697</v>
      </c>
      <c r="L124" t="str">
        <f t="shared" si="17"/>
        <v>Americas&gt;USA&gt;Austin</v>
      </c>
      <c r="M124" s="4" t="s">
        <v>703</v>
      </c>
      <c r="N124" s="4" t="s">
        <v>711</v>
      </c>
      <c r="O124" s="4" t="s">
        <v>721</v>
      </c>
      <c r="P124" s="4" t="s">
        <v>732</v>
      </c>
      <c r="Q124" s="4" t="s">
        <v>1031</v>
      </c>
      <c r="R124" s="8">
        <v>337</v>
      </c>
      <c r="S124" s="8">
        <v>511.03</v>
      </c>
      <c r="T124" s="8">
        <v>511.03</v>
      </c>
      <c r="U124" s="8" t="str">
        <f>IF(T124&lt;=_xlfn.PERCENTILE.INC($T124:$T$633,0.33), "Low", IF(T124&lt;=_xlfn.PERCENTILE.INC($T124:$T$633,0.66), "Medium", "High"))</f>
        <v>Low</v>
      </c>
      <c r="V124" s="10">
        <v>0.108</v>
      </c>
      <c r="W124" s="10">
        <f t="shared" si="18"/>
        <v>0.108</v>
      </c>
      <c r="X124" s="12">
        <v>7</v>
      </c>
      <c r="Y124" s="8">
        <f t="shared" si="11"/>
        <v>3190.8713200000002</v>
      </c>
      <c r="Z124" s="8">
        <f t="shared" si="12"/>
        <v>2359</v>
      </c>
      <c r="AA124" s="8">
        <f t="shared" si="19"/>
        <v>831.8713200000002</v>
      </c>
      <c r="AB124" s="10">
        <f t="shared" si="20"/>
        <v>0.26070349963219458</v>
      </c>
      <c r="AC124" s="14">
        <f>_xlfn.MINIFS($C$2:$C$633, $J$2:$J$633, J124)</f>
        <v>44939</v>
      </c>
      <c r="AD124">
        <f>DATEDIF(AC124, C124, "m")</f>
        <v>5</v>
      </c>
      <c r="AE124" s="8">
        <f t="shared" si="21"/>
        <v>455.83876000000004</v>
      </c>
    </row>
    <row r="125" spans="1:31" x14ac:dyDescent="0.3">
      <c r="A125" s="4" t="s">
        <v>139</v>
      </c>
      <c r="B125" s="6">
        <v>45159</v>
      </c>
      <c r="C125" s="14">
        <v>45159</v>
      </c>
      <c r="D125" s="14" t="str">
        <f t="shared" si="13"/>
        <v>Q3 -2023</v>
      </c>
      <c r="E125" s="6">
        <v>45173</v>
      </c>
      <c r="F125" s="6">
        <f t="shared" si="14"/>
        <v>45173</v>
      </c>
      <c r="G125" s="12">
        <f t="shared" si="15"/>
        <v>14</v>
      </c>
      <c r="H125" s="12">
        <f t="shared" si="16"/>
        <v>0</v>
      </c>
      <c r="I125" s="4" t="s">
        <v>648</v>
      </c>
      <c r="J125" s="4" t="s">
        <v>653</v>
      </c>
      <c r="K125" s="4" t="s">
        <v>681</v>
      </c>
      <c r="L125" t="str">
        <f t="shared" si="17"/>
        <v>Americas&gt;Canada&gt;Montreal</v>
      </c>
      <c r="M125" s="4" t="s">
        <v>702</v>
      </c>
      <c r="N125" s="4" t="s">
        <v>710</v>
      </c>
      <c r="O125" s="4" t="s">
        <v>721</v>
      </c>
      <c r="P125" s="4" t="s">
        <v>727</v>
      </c>
      <c r="Q125" s="4" t="s">
        <v>858</v>
      </c>
      <c r="R125" s="8">
        <v>178.19</v>
      </c>
      <c r="S125" s="8">
        <v>284.43</v>
      </c>
      <c r="T125" s="8">
        <v>284.43</v>
      </c>
      <c r="U125" s="8" t="str">
        <f>IF(T125&lt;=_xlfn.PERCENTILE.INC($T125:$T$633,0.33), "Low", IF(T125&lt;=_xlfn.PERCENTILE.INC($T125:$T$633,0.66), "Medium", "High"))</f>
        <v>Low</v>
      </c>
      <c r="V125" s="10">
        <v>8.8999999999999996E-2</v>
      </c>
      <c r="W125" s="10">
        <f t="shared" si="18"/>
        <v>8.8999999999999996E-2</v>
      </c>
      <c r="X125" s="12">
        <v>8</v>
      </c>
      <c r="Y125" s="8">
        <f t="shared" si="11"/>
        <v>2072.9258400000003</v>
      </c>
      <c r="Z125" s="8">
        <f t="shared" si="12"/>
        <v>1425.52</v>
      </c>
      <c r="AA125" s="8">
        <f t="shared" si="19"/>
        <v>647.40584000000035</v>
      </c>
      <c r="AB125" s="10">
        <f t="shared" si="20"/>
        <v>0.31231500302972742</v>
      </c>
      <c r="AC125" s="14">
        <f>_xlfn.MINIFS($C$2:$C$633, $J$2:$J$633, J125)</f>
        <v>44928</v>
      </c>
      <c r="AD125">
        <f>DATEDIF(AC125, C125, "m")</f>
        <v>7</v>
      </c>
      <c r="AE125" s="8">
        <f t="shared" si="21"/>
        <v>259.11573000000004</v>
      </c>
    </row>
    <row r="126" spans="1:31" x14ac:dyDescent="0.3">
      <c r="A126" s="4" t="s">
        <v>244</v>
      </c>
      <c r="B126" s="6">
        <v>45069</v>
      </c>
      <c r="C126" s="14">
        <v>45069</v>
      </c>
      <c r="D126" s="14" t="str">
        <f t="shared" si="13"/>
        <v>Q2 -2023</v>
      </c>
      <c r="E126" s="6">
        <v>45087</v>
      </c>
      <c r="F126" s="6">
        <f t="shared" si="14"/>
        <v>45087</v>
      </c>
      <c r="G126" s="12">
        <f t="shared" si="15"/>
        <v>18</v>
      </c>
      <c r="H126" s="12">
        <f t="shared" si="16"/>
        <v>0</v>
      </c>
      <c r="I126" s="4" t="s">
        <v>647</v>
      </c>
      <c r="J126" s="4" t="s">
        <v>659</v>
      </c>
      <c r="K126" s="4" t="s">
        <v>685</v>
      </c>
      <c r="L126" t="str">
        <f t="shared" si="17"/>
        <v>Asia&gt;China&gt;Shanghai</v>
      </c>
      <c r="M126" s="4" t="s">
        <v>701</v>
      </c>
      <c r="N126" s="4" t="s">
        <v>710</v>
      </c>
      <c r="O126" s="4" t="s">
        <v>718</v>
      </c>
      <c r="P126" s="4" t="s">
        <v>727</v>
      </c>
      <c r="Q126" s="4" t="s">
        <v>964</v>
      </c>
      <c r="R126" s="8">
        <v>54.62</v>
      </c>
      <c r="S126" s="8">
        <v>48.94</v>
      </c>
      <c r="T126" s="8">
        <v>48.94</v>
      </c>
      <c r="U126" s="8" t="str">
        <f>IF(T126&lt;=_xlfn.PERCENTILE.INC($T126:$T$633,0.33), "Low", IF(T126&lt;=_xlfn.PERCENTILE.INC($T126:$T$633,0.66), "Medium", "High"))</f>
        <v>Low</v>
      </c>
      <c r="V126" s="10">
        <v>0.14799999999999999</v>
      </c>
      <c r="W126" s="10">
        <f t="shared" si="18"/>
        <v>0.14799999999999999</v>
      </c>
      <c r="X126" s="12">
        <v>16</v>
      </c>
      <c r="Y126" s="8">
        <f t="shared" si="11"/>
        <v>667.15008</v>
      </c>
      <c r="Z126" s="8">
        <f t="shared" si="12"/>
        <v>873.92</v>
      </c>
      <c r="AA126" s="8">
        <f t="shared" si="19"/>
        <v>-206.76991999999996</v>
      </c>
      <c r="AB126" s="10">
        <f t="shared" si="20"/>
        <v>-0.3099301434543783</v>
      </c>
      <c r="AC126" s="14">
        <f>_xlfn.MINIFS($C$2:$C$633, $J$2:$J$633, J126)</f>
        <v>44938</v>
      </c>
      <c r="AD126">
        <f>DATEDIF(AC126, C126, "m")</f>
        <v>4</v>
      </c>
      <c r="AE126" s="8">
        <f t="shared" si="21"/>
        <v>41.69688</v>
      </c>
    </row>
    <row r="127" spans="1:31" x14ac:dyDescent="0.3">
      <c r="A127" s="4" t="s">
        <v>493</v>
      </c>
      <c r="B127" s="6">
        <v>45032</v>
      </c>
      <c r="C127" s="14">
        <v>45032</v>
      </c>
      <c r="D127" s="14" t="str">
        <f t="shared" si="13"/>
        <v>Q2 -2023</v>
      </c>
      <c r="E127" s="6">
        <v>45035</v>
      </c>
      <c r="F127" s="6">
        <f t="shared" si="14"/>
        <v>45035</v>
      </c>
      <c r="G127" s="12">
        <f t="shared" si="15"/>
        <v>3</v>
      </c>
      <c r="H127" s="12">
        <f t="shared" si="16"/>
        <v>1</v>
      </c>
      <c r="I127" s="4" t="s">
        <v>649</v>
      </c>
      <c r="J127" s="4" t="s">
        <v>656</v>
      </c>
      <c r="K127" s="4" t="s">
        <v>684</v>
      </c>
      <c r="L127" t="str">
        <f t="shared" si="17"/>
        <v>Europe&gt;Germany&gt;Munich</v>
      </c>
      <c r="M127" s="4" t="s">
        <v>701</v>
      </c>
      <c r="N127" s="4" t="s">
        <v>711</v>
      </c>
      <c r="O127" s="4" t="s">
        <v>717</v>
      </c>
      <c r="P127" s="4" t="s">
        <v>733</v>
      </c>
      <c r="Q127" s="4" t="s">
        <v>1212</v>
      </c>
      <c r="R127" s="8">
        <v>553.61</v>
      </c>
      <c r="S127" s="8">
        <v>699.47</v>
      </c>
      <c r="T127" s="8">
        <v>699.47</v>
      </c>
      <c r="U127" s="8" t="str">
        <f>IF(T127&lt;=_xlfn.PERCENTILE.INC($T127:$T$633,0.33), "Low", IF(T127&lt;=_xlfn.PERCENTILE.INC($T127:$T$633,0.66), "Medium", "High"))</f>
        <v>Low</v>
      </c>
      <c r="V127" s="10">
        <v>0.02</v>
      </c>
      <c r="W127" s="10">
        <f t="shared" si="18"/>
        <v>0.02</v>
      </c>
      <c r="X127" s="12">
        <v>33</v>
      </c>
      <c r="Y127" s="8">
        <f t="shared" si="11"/>
        <v>22620.859800000002</v>
      </c>
      <c r="Z127" s="8">
        <f t="shared" si="12"/>
        <v>18269.13</v>
      </c>
      <c r="AA127" s="8">
        <f t="shared" si="19"/>
        <v>4351.729800000001</v>
      </c>
      <c r="AB127" s="10">
        <f t="shared" si="20"/>
        <v>0.19237685209472014</v>
      </c>
      <c r="AC127" s="14">
        <f>_xlfn.MINIFS($C$2:$C$633, $J$2:$J$633, J127)</f>
        <v>44948</v>
      </c>
      <c r="AD127">
        <f>DATEDIF(AC127, C127, "m")</f>
        <v>2</v>
      </c>
      <c r="AE127" s="8">
        <f t="shared" si="21"/>
        <v>685.48060000000009</v>
      </c>
    </row>
    <row r="128" spans="1:31" x14ac:dyDescent="0.3">
      <c r="A128" s="4" t="s">
        <v>299</v>
      </c>
      <c r="B128" s="6">
        <v>45101</v>
      </c>
      <c r="C128" s="14">
        <v>45101</v>
      </c>
      <c r="D128" s="14" t="str">
        <f t="shared" si="13"/>
        <v>Q2 -2023</v>
      </c>
      <c r="E128" s="6">
        <v>45128</v>
      </c>
      <c r="F128" s="6">
        <f t="shared" si="14"/>
        <v>45128</v>
      </c>
      <c r="G128" s="12">
        <f t="shared" si="15"/>
        <v>27</v>
      </c>
      <c r="H128" s="12">
        <f t="shared" si="16"/>
        <v>0</v>
      </c>
      <c r="I128" s="4" t="s">
        <v>647</v>
      </c>
      <c r="J128" s="4" t="s">
        <v>652</v>
      </c>
      <c r="K128" s="4" t="s">
        <v>694</v>
      </c>
      <c r="L128" t="str">
        <f t="shared" si="17"/>
        <v>Asia&gt;Japan&gt;Nagoya</v>
      </c>
      <c r="M128" s="4" t="s">
        <v>704</v>
      </c>
      <c r="N128" s="4" t="s">
        <v>709</v>
      </c>
      <c r="O128" s="4" t="s">
        <v>713</v>
      </c>
      <c r="P128" s="4" t="s">
        <v>730</v>
      </c>
      <c r="Q128" s="4" t="s">
        <v>1019</v>
      </c>
      <c r="R128" s="8">
        <v>554.76</v>
      </c>
      <c r="S128" s="8">
        <v>728.69</v>
      </c>
      <c r="T128" s="8">
        <v>728.69</v>
      </c>
      <c r="U128" s="8" t="str">
        <f>IF(T128&lt;=_xlfn.PERCENTILE.INC($T128:$T$633,0.33), "Low", IF(T128&lt;=_xlfn.PERCENTILE.INC($T128:$T$633,0.66), "Medium", "High"))</f>
        <v>Low</v>
      </c>
      <c r="V128" s="10">
        <v>0.22</v>
      </c>
      <c r="W128" s="10">
        <f t="shared" si="18"/>
        <v>0.22</v>
      </c>
      <c r="X128" s="12">
        <v>7</v>
      </c>
      <c r="Y128" s="8">
        <f t="shared" si="11"/>
        <v>3978.6474000000003</v>
      </c>
      <c r="Z128" s="8">
        <f t="shared" si="12"/>
        <v>3883.3199999999997</v>
      </c>
      <c r="AA128" s="8">
        <f t="shared" si="19"/>
        <v>95.32740000000058</v>
      </c>
      <c r="AB128" s="10">
        <f t="shared" si="20"/>
        <v>2.395975074343119E-2</v>
      </c>
      <c r="AC128" s="14">
        <f>_xlfn.MINIFS($C$2:$C$633, $J$2:$J$633, J128)</f>
        <v>44988</v>
      </c>
      <c r="AD128">
        <f>DATEDIF(AC128, C128, "m")</f>
        <v>3</v>
      </c>
      <c r="AE128" s="8">
        <f t="shared" si="21"/>
        <v>568.37819999999999</v>
      </c>
    </row>
    <row r="129" spans="1:31" x14ac:dyDescent="0.3">
      <c r="A129" s="4" t="s">
        <v>152</v>
      </c>
      <c r="B129" s="6">
        <v>45016</v>
      </c>
      <c r="C129" s="14">
        <v>45016</v>
      </c>
      <c r="D129" s="14" t="str">
        <f t="shared" si="13"/>
        <v>Q1 -2023</v>
      </c>
      <c r="E129" s="6">
        <v>45028</v>
      </c>
      <c r="F129" s="6">
        <f t="shared" si="14"/>
        <v>45028</v>
      </c>
      <c r="G129" s="12">
        <f t="shared" si="15"/>
        <v>12</v>
      </c>
      <c r="H129" s="12">
        <f t="shared" si="16"/>
        <v>0</v>
      </c>
      <c r="I129" s="4" t="s">
        <v>646</v>
      </c>
      <c r="J129" s="4" t="s">
        <v>650</v>
      </c>
      <c r="K129" s="4" t="s">
        <v>675</v>
      </c>
      <c r="L129" t="str">
        <f t="shared" si="17"/>
        <v>Africa&gt;Kenya&gt;Mombasa</v>
      </c>
      <c r="M129" s="4" t="s">
        <v>705</v>
      </c>
      <c r="N129" s="4" t="s">
        <v>708</v>
      </c>
      <c r="O129" s="4" t="s">
        <v>712</v>
      </c>
      <c r="P129" s="4" t="s">
        <v>730</v>
      </c>
      <c r="Q129" s="4" t="s">
        <v>871</v>
      </c>
      <c r="R129" s="8">
        <v>304.22000000000003</v>
      </c>
      <c r="S129" s="8">
        <v>393.31</v>
      </c>
      <c r="T129" s="8">
        <v>393.31</v>
      </c>
      <c r="U129" s="8" t="str">
        <f>IF(T129&lt;=_xlfn.PERCENTILE.INC($T129:$T$633,0.33), "Low", IF(T129&lt;=_xlfn.PERCENTILE.INC($T129:$T$633,0.66), "Medium", "High"))</f>
        <v>Low</v>
      </c>
      <c r="V129" s="10">
        <v>0.26500000000000001</v>
      </c>
      <c r="W129" s="10">
        <f t="shared" si="18"/>
        <v>0.26500000000000001</v>
      </c>
      <c r="X129" s="12">
        <v>15</v>
      </c>
      <c r="Y129" s="8">
        <f t="shared" si="11"/>
        <v>4336.2427499999994</v>
      </c>
      <c r="Z129" s="8">
        <f t="shared" si="12"/>
        <v>4563.3</v>
      </c>
      <c r="AA129" s="8">
        <f t="shared" si="19"/>
        <v>-227.05725000000075</v>
      </c>
      <c r="AB129" s="10">
        <f t="shared" si="20"/>
        <v>-5.2362670424759034E-2</v>
      </c>
      <c r="AC129" s="14">
        <f>_xlfn.MINIFS($C$2:$C$633, $J$2:$J$633, J129)</f>
        <v>44946</v>
      </c>
      <c r="AD129">
        <f>DATEDIF(AC129, C129, "m")</f>
        <v>2</v>
      </c>
      <c r="AE129" s="8">
        <f t="shared" si="21"/>
        <v>289.08284999999995</v>
      </c>
    </row>
    <row r="130" spans="1:31" x14ac:dyDescent="0.3">
      <c r="A130" s="4" t="s">
        <v>231</v>
      </c>
      <c r="B130" s="6">
        <v>44948</v>
      </c>
      <c r="C130" s="14">
        <v>44948</v>
      </c>
      <c r="D130" s="14" t="str">
        <f t="shared" si="13"/>
        <v>Q1 -2023</v>
      </c>
      <c r="E130" s="6">
        <v>44947</v>
      </c>
      <c r="F130" s="6">
        <f t="shared" si="14"/>
        <v>44954</v>
      </c>
      <c r="G130" s="12">
        <f t="shared" si="15"/>
        <v>6</v>
      </c>
      <c r="H130" s="12">
        <f t="shared" si="16"/>
        <v>1</v>
      </c>
      <c r="I130" s="4" t="s">
        <v>649</v>
      </c>
      <c r="J130" s="4" t="s">
        <v>656</v>
      </c>
      <c r="K130" s="4" t="s">
        <v>684</v>
      </c>
      <c r="L130" t="str">
        <f t="shared" si="17"/>
        <v>Europe&gt;Germany&gt;Munich</v>
      </c>
      <c r="M130" s="4" t="s">
        <v>701</v>
      </c>
      <c r="N130" s="4" t="s">
        <v>711</v>
      </c>
      <c r="O130" s="4" t="s">
        <v>721</v>
      </c>
      <c r="P130" s="4" t="s">
        <v>732</v>
      </c>
      <c r="Q130" s="4" t="s">
        <v>951</v>
      </c>
      <c r="R130" s="8">
        <v>150.86000000000001</v>
      </c>
      <c r="S130" s="8">
        <v>346.96</v>
      </c>
      <c r="T130" s="8">
        <v>346.96</v>
      </c>
      <c r="U130" s="8" t="str">
        <f>IF(T130&lt;=_xlfn.PERCENTILE.INC($T130:$T$633,0.33), "Low", IF(T130&lt;=_xlfn.PERCENTILE.INC($T130:$T$633,0.66), "Medium", "High"))</f>
        <v>Low</v>
      </c>
      <c r="V130" s="10">
        <v>0.19600000000000001</v>
      </c>
      <c r="W130" s="10">
        <f t="shared" si="18"/>
        <v>0.19600000000000001</v>
      </c>
      <c r="X130" s="12">
        <v>8</v>
      </c>
      <c r="Y130" s="8">
        <f t="shared" ref="Y130:Y193" si="22">(T130*X130*(1-W130))</f>
        <v>2231.6467200000002</v>
      </c>
      <c r="Z130" s="8">
        <f t="shared" ref="Z130:Z193" si="23">R130*X130</f>
        <v>1206.8800000000001</v>
      </c>
      <c r="AA130" s="8">
        <f t="shared" si="19"/>
        <v>1024.7667200000001</v>
      </c>
      <c r="AB130" s="10">
        <f t="shared" si="20"/>
        <v>0.45919755614365343</v>
      </c>
      <c r="AC130" s="14">
        <f>_xlfn.MINIFS($C$2:$C$633, $J$2:$J$633, J130)</f>
        <v>44948</v>
      </c>
      <c r="AD130">
        <f>DATEDIF(AC130, C130, "m")</f>
        <v>0</v>
      </c>
      <c r="AE130" s="8">
        <f t="shared" si="21"/>
        <v>278.95584000000002</v>
      </c>
    </row>
    <row r="131" spans="1:31" x14ac:dyDescent="0.3">
      <c r="A131" s="4" t="s">
        <v>402</v>
      </c>
      <c r="B131" s="6">
        <v>45199</v>
      </c>
      <c r="C131" s="14">
        <v>45199</v>
      </c>
      <c r="D131" s="14" t="str">
        <f t="shared" ref="D131:D194" si="24">IF(MONTH(C131) &lt;=3, "Q1", IF(MONTH(C131)&lt;=6, "Q2", IF(MONTH(C131)&lt;=9, "Q3", "Q4")))&amp; " -" &amp; YEAR(C131)</f>
        <v>Q3 -2023</v>
      </c>
      <c r="E131" s="6">
        <v>45202</v>
      </c>
      <c r="F131" s="6">
        <f t="shared" ref="F131:F194" si="25">IF(E131&lt;B131, E131 + 7, E131)</f>
        <v>45202</v>
      </c>
      <c r="G131" s="12">
        <f t="shared" ref="G131:G194" si="26">DATEDIF(B131, F131,"D")</f>
        <v>3</v>
      </c>
      <c r="H131" s="12">
        <f t="shared" ref="H131:H194" si="27">IF(G131&lt;=7,1,0)</f>
        <v>1</v>
      </c>
      <c r="I131" s="4" t="s">
        <v>647</v>
      </c>
      <c r="J131" s="4" t="s">
        <v>659</v>
      </c>
      <c r="K131" s="4" t="s">
        <v>699</v>
      </c>
      <c r="L131" t="str">
        <f t="shared" ref="L131:L194" si="28">I131&amp;"&gt;"&amp;J131 &amp;"&gt;"&amp;K131</f>
        <v>Asia&gt;China&gt;Beijing</v>
      </c>
      <c r="M131" s="4" t="s">
        <v>703</v>
      </c>
      <c r="N131" s="4" t="s">
        <v>707</v>
      </c>
      <c r="O131" s="4" t="s">
        <v>713</v>
      </c>
      <c r="P131" s="4" t="s">
        <v>731</v>
      </c>
      <c r="Q131" s="4" t="s">
        <v>1121</v>
      </c>
      <c r="R131" s="8">
        <v>1019.36</v>
      </c>
      <c r="S131" s="8">
        <v>972.91</v>
      </c>
      <c r="T131" s="8">
        <v>972.91</v>
      </c>
      <c r="U131" s="8" t="str">
        <f>IF(T131&lt;=_xlfn.PERCENTILE.INC($T131:$T$633,0.33), "Low", IF(T131&lt;=_xlfn.PERCENTILE.INC($T131:$T$633,0.66), "Medium", "High"))</f>
        <v>Medium</v>
      </c>
      <c r="V131" s="10">
        <v>0.14699999999999999</v>
      </c>
      <c r="W131" s="10">
        <f t="shared" ref="W131:W194" si="29">IF(V131&gt;0.3,0.3,V131)</f>
        <v>0.14699999999999999</v>
      </c>
      <c r="X131" s="12">
        <v>17</v>
      </c>
      <c r="Y131" s="8">
        <f t="shared" si="22"/>
        <v>14108.16791</v>
      </c>
      <c r="Z131" s="8">
        <f t="shared" si="23"/>
        <v>17329.12</v>
      </c>
      <c r="AA131" s="8">
        <f t="shared" ref="AA131:AA194" si="30">Y131-Z131</f>
        <v>-3220.9520899999989</v>
      </c>
      <c r="AB131" s="10">
        <f t="shared" ref="AB131:AB194" si="31">IF(Y131 = 0, 0, AA131/Y131)</f>
        <v>-0.22830406545678819</v>
      </c>
      <c r="AC131" s="14">
        <f>_xlfn.MINIFS($C$2:$C$633, $J$2:$J$633, J131)</f>
        <v>44938</v>
      </c>
      <c r="AD131">
        <f>DATEDIF(AC131, C131, "m")</f>
        <v>8</v>
      </c>
      <c r="AE131" s="8">
        <f t="shared" ref="AE131:AE194" si="32">(Y131/X131)</f>
        <v>829.89223000000004</v>
      </c>
    </row>
    <row r="132" spans="1:31" x14ac:dyDescent="0.3">
      <c r="A132" s="4" t="s">
        <v>606</v>
      </c>
      <c r="B132" s="6">
        <v>44984</v>
      </c>
      <c r="C132" s="14">
        <v>44984</v>
      </c>
      <c r="D132" s="14" t="str">
        <f t="shared" si="24"/>
        <v>Q1 -2023</v>
      </c>
      <c r="E132" s="6">
        <v>44983</v>
      </c>
      <c r="F132" s="6">
        <f t="shared" si="25"/>
        <v>44990</v>
      </c>
      <c r="G132" s="12">
        <f t="shared" si="26"/>
        <v>6</v>
      </c>
      <c r="H132" s="12">
        <f t="shared" si="27"/>
        <v>1</v>
      </c>
      <c r="I132" s="4" t="s">
        <v>648</v>
      </c>
      <c r="J132" s="4" t="s">
        <v>660</v>
      </c>
      <c r="K132" s="4" t="s">
        <v>686</v>
      </c>
      <c r="L132" t="str">
        <f t="shared" si="28"/>
        <v>Americas&gt;USA&gt;San Francisco</v>
      </c>
      <c r="M132" s="4" t="s">
        <v>703</v>
      </c>
      <c r="N132" s="4" t="s">
        <v>708</v>
      </c>
      <c r="O132" s="4" t="s">
        <v>716</v>
      </c>
      <c r="P132" s="4" t="s">
        <v>729</v>
      </c>
      <c r="Q132" s="4" t="s">
        <v>1324</v>
      </c>
      <c r="R132" s="8">
        <v>1015.91</v>
      </c>
      <c r="S132" s="8">
        <v>2331.48</v>
      </c>
      <c r="T132" s="8">
        <v>2331.48</v>
      </c>
      <c r="U132" s="8" t="str">
        <f>IF(T132&lt;=_xlfn.PERCENTILE.INC($T132:$T$633,0.33), "Low", IF(T132&lt;=_xlfn.PERCENTILE.INC($T132:$T$633,0.66), "Medium", "High"))</f>
        <v>High</v>
      </c>
      <c r="V132" s="10">
        <v>0.14599999999999999</v>
      </c>
      <c r="W132" s="10">
        <f t="shared" si="29"/>
        <v>0.14599999999999999</v>
      </c>
      <c r="X132" s="12">
        <v>26</v>
      </c>
      <c r="Y132" s="8">
        <f t="shared" si="22"/>
        <v>51768.181920000003</v>
      </c>
      <c r="Z132" s="8">
        <f t="shared" si="23"/>
        <v>26413.66</v>
      </c>
      <c r="AA132" s="8">
        <f t="shared" si="30"/>
        <v>25354.521920000003</v>
      </c>
      <c r="AB132" s="10">
        <f t="shared" si="31"/>
        <v>0.48977037592669626</v>
      </c>
      <c r="AC132" s="14">
        <f>_xlfn.MINIFS($C$2:$C$633, $J$2:$J$633, J132)</f>
        <v>44939</v>
      </c>
      <c r="AD132">
        <f>DATEDIF(AC132, C132, "m")</f>
        <v>1</v>
      </c>
      <c r="AE132" s="8">
        <f t="shared" si="32"/>
        <v>1991.08392</v>
      </c>
    </row>
    <row r="133" spans="1:31" x14ac:dyDescent="0.3">
      <c r="A133" s="4" t="s">
        <v>331</v>
      </c>
      <c r="B133" s="6">
        <v>45244</v>
      </c>
      <c r="C133" s="14">
        <v>45244</v>
      </c>
      <c r="D133" s="14" t="str">
        <f t="shared" si="24"/>
        <v>Q4 -2023</v>
      </c>
      <c r="E133" s="6">
        <v>45260</v>
      </c>
      <c r="F133" s="6">
        <f t="shared" si="25"/>
        <v>45260</v>
      </c>
      <c r="G133" s="12">
        <f t="shared" si="26"/>
        <v>16</v>
      </c>
      <c r="H133" s="12">
        <f t="shared" si="27"/>
        <v>0</v>
      </c>
      <c r="I133" s="4" t="s">
        <v>648</v>
      </c>
      <c r="J133" s="4" t="s">
        <v>655</v>
      </c>
      <c r="K133" s="4" t="s">
        <v>670</v>
      </c>
      <c r="L133" t="str">
        <f t="shared" si="28"/>
        <v>Americas&gt;Brazil&gt;São Paulo</v>
      </c>
      <c r="M133" s="4" t="s">
        <v>706</v>
      </c>
      <c r="N133" s="4" t="s">
        <v>711</v>
      </c>
      <c r="O133" s="4" t="s">
        <v>723</v>
      </c>
      <c r="P133" s="4" t="s">
        <v>729</v>
      </c>
      <c r="Q133" s="4" t="s">
        <v>1051</v>
      </c>
      <c r="R133" s="8">
        <v>1017.92</v>
      </c>
      <c r="S133" s="8">
        <v>1175.25</v>
      </c>
      <c r="T133" s="8">
        <v>1175.25</v>
      </c>
      <c r="U133" s="8" t="str">
        <f>IF(T133&lt;=_xlfn.PERCENTILE.INC($T133:$T$633,0.33), "Low", IF(T133&lt;=_xlfn.PERCENTILE.INC($T133:$T$633,0.66), "Medium", "High"))</f>
        <v>Medium</v>
      </c>
      <c r="V133" s="10">
        <v>7.4999999999999997E-2</v>
      </c>
      <c r="W133" s="10">
        <f t="shared" si="29"/>
        <v>7.4999999999999997E-2</v>
      </c>
      <c r="X133" s="12">
        <v>15</v>
      </c>
      <c r="Y133" s="8">
        <f t="shared" si="22"/>
        <v>16306.59375</v>
      </c>
      <c r="Z133" s="8">
        <f t="shared" si="23"/>
        <v>15268.8</v>
      </c>
      <c r="AA133" s="8">
        <f t="shared" si="30"/>
        <v>1037.7937500000007</v>
      </c>
      <c r="AB133" s="10">
        <f t="shared" si="31"/>
        <v>6.3642583234159542E-2</v>
      </c>
      <c r="AC133" s="14">
        <f>_xlfn.MINIFS($C$2:$C$633, $J$2:$J$633, J133)</f>
        <v>44955</v>
      </c>
      <c r="AD133">
        <f>DATEDIF(AC133, C133, "m")</f>
        <v>9</v>
      </c>
      <c r="AE133" s="8">
        <f t="shared" si="32"/>
        <v>1087.10625</v>
      </c>
    </row>
    <row r="134" spans="1:31" x14ac:dyDescent="0.3">
      <c r="A134" s="4" t="s">
        <v>552</v>
      </c>
      <c r="B134" s="6">
        <v>45114</v>
      </c>
      <c r="C134" s="14">
        <v>45114</v>
      </c>
      <c r="D134" s="14" t="str">
        <f t="shared" si="24"/>
        <v>Q3 -2023</v>
      </c>
      <c r="E134" s="6">
        <v>45120</v>
      </c>
      <c r="F134" s="6">
        <f t="shared" si="25"/>
        <v>45120</v>
      </c>
      <c r="G134" s="12">
        <f t="shared" si="26"/>
        <v>6</v>
      </c>
      <c r="H134" s="12">
        <f t="shared" si="27"/>
        <v>1</v>
      </c>
      <c r="I134" s="4" t="s">
        <v>646</v>
      </c>
      <c r="J134" s="4" t="s">
        <v>661</v>
      </c>
      <c r="K134" s="4" t="s">
        <v>695</v>
      </c>
      <c r="L134" t="str">
        <f t="shared" si="28"/>
        <v>Africa&gt;South Africa&gt;Cape Town</v>
      </c>
      <c r="M134" s="4" t="s">
        <v>705</v>
      </c>
      <c r="N134" s="4" t="s">
        <v>709</v>
      </c>
      <c r="O134" s="4" t="s">
        <v>717</v>
      </c>
      <c r="P134" s="4" t="s">
        <v>733</v>
      </c>
      <c r="Q134" s="4" t="s">
        <v>1270</v>
      </c>
      <c r="R134" s="8">
        <v>612.59</v>
      </c>
      <c r="S134" s="8">
        <v>1424.74</v>
      </c>
      <c r="T134" s="8">
        <v>1424.74</v>
      </c>
      <c r="U134" s="8" t="str">
        <f>IF(T134&lt;=_xlfn.PERCENTILE.INC($T134:$T$633,0.33), "Low", IF(T134&lt;=_xlfn.PERCENTILE.INC($T134:$T$633,0.66), "Medium", "High"))</f>
        <v>Medium</v>
      </c>
      <c r="V134" s="10">
        <v>4.3999999999999997E-2</v>
      </c>
      <c r="W134" s="10">
        <f t="shared" si="29"/>
        <v>4.3999999999999997E-2</v>
      </c>
      <c r="X134" s="12">
        <v>15</v>
      </c>
      <c r="Y134" s="8">
        <f t="shared" si="22"/>
        <v>20430.771599999996</v>
      </c>
      <c r="Z134" s="8">
        <f t="shared" si="23"/>
        <v>9188.85</v>
      </c>
      <c r="AA134" s="8">
        <f t="shared" si="30"/>
        <v>11241.921599999996</v>
      </c>
      <c r="AB134" s="10">
        <f t="shared" si="31"/>
        <v>0.55024459281802152</v>
      </c>
      <c r="AC134" s="14">
        <f>_xlfn.MINIFS($C$2:$C$633, $J$2:$J$633, J134)</f>
        <v>44933</v>
      </c>
      <c r="AD134">
        <f>DATEDIF(AC134, C134, "m")</f>
        <v>6</v>
      </c>
      <c r="AE134" s="8">
        <f t="shared" si="32"/>
        <v>1362.0514399999997</v>
      </c>
    </row>
    <row r="135" spans="1:31" x14ac:dyDescent="0.3">
      <c r="A135" s="4" t="s">
        <v>434</v>
      </c>
      <c r="B135" s="6">
        <v>45211</v>
      </c>
      <c r="C135" s="14">
        <v>45211</v>
      </c>
      <c r="D135" s="14" t="str">
        <f t="shared" si="24"/>
        <v>Q4 -2023</v>
      </c>
      <c r="E135" s="6">
        <v>45228</v>
      </c>
      <c r="F135" s="6">
        <f t="shared" si="25"/>
        <v>45228</v>
      </c>
      <c r="G135" s="12">
        <f t="shared" si="26"/>
        <v>17</v>
      </c>
      <c r="H135" s="12">
        <f t="shared" si="27"/>
        <v>0</v>
      </c>
      <c r="I135" s="4" t="s">
        <v>647</v>
      </c>
      <c r="J135" s="4" t="s">
        <v>652</v>
      </c>
      <c r="K135" s="4" t="s">
        <v>694</v>
      </c>
      <c r="L135" t="str">
        <f t="shared" si="28"/>
        <v>Asia&gt;Japan&gt;Nagoya</v>
      </c>
      <c r="M135" s="4" t="s">
        <v>703</v>
      </c>
      <c r="N135" s="4" t="s">
        <v>711</v>
      </c>
      <c r="O135" s="4" t="s">
        <v>722</v>
      </c>
      <c r="P135" s="4" t="s">
        <v>730</v>
      </c>
      <c r="Q135" s="4" t="s">
        <v>1153</v>
      </c>
      <c r="R135" s="8">
        <v>1102.19</v>
      </c>
      <c r="S135" s="8">
        <v>1711.16</v>
      </c>
      <c r="T135" s="8">
        <v>1711.16</v>
      </c>
      <c r="U135" s="8" t="str">
        <f>IF(T135&lt;=_xlfn.PERCENTILE.INC($T135:$T$633,0.33), "Low", IF(T135&lt;=_xlfn.PERCENTILE.INC($T135:$T$633,0.66), "Medium", "High"))</f>
        <v>High</v>
      </c>
      <c r="V135" s="10">
        <v>0.151</v>
      </c>
      <c r="W135" s="10">
        <f t="shared" si="29"/>
        <v>0.151</v>
      </c>
      <c r="X135" s="12">
        <v>10</v>
      </c>
      <c r="Y135" s="8">
        <f t="shared" si="22"/>
        <v>14527.748400000002</v>
      </c>
      <c r="Z135" s="8">
        <f t="shared" si="23"/>
        <v>11021.900000000001</v>
      </c>
      <c r="AA135" s="8">
        <f t="shared" si="30"/>
        <v>3505.8484000000008</v>
      </c>
      <c r="AB135" s="10">
        <f t="shared" si="31"/>
        <v>0.24132083675127525</v>
      </c>
      <c r="AC135" s="14">
        <f>_xlfn.MINIFS($C$2:$C$633, $J$2:$J$633, J135)</f>
        <v>44988</v>
      </c>
      <c r="AD135">
        <f>DATEDIF(AC135, C135, "m")</f>
        <v>7</v>
      </c>
      <c r="AE135" s="8">
        <f t="shared" si="32"/>
        <v>1452.7748400000003</v>
      </c>
    </row>
    <row r="136" spans="1:31" x14ac:dyDescent="0.3">
      <c r="A136" s="4" t="s">
        <v>276</v>
      </c>
      <c r="B136" s="6">
        <v>45142</v>
      </c>
      <c r="C136" s="14">
        <v>45142</v>
      </c>
      <c r="D136" s="14" t="str">
        <f t="shared" si="24"/>
        <v>Q3 -2023</v>
      </c>
      <c r="E136" s="6">
        <v>45162</v>
      </c>
      <c r="F136" s="6">
        <f t="shared" si="25"/>
        <v>45162</v>
      </c>
      <c r="G136" s="12">
        <f t="shared" si="26"/>
        <v>20</v>
      </c>
      <c r="H136" s="12">
        <f t="shared" si="27"/>
        <v>0</v>
      </c>
      <c r="I136" s="4" t="s">
        <v>648</v>
      </c>
      <c r="J136" s="4" t="s">
        <v>655</v>
      </c>
      <c r="K136" s="4" t="s">
        <v>672</v>
      </c>
      <c r="L136" t="str">
        <f t="shared" si="28"/>
        <v>Americas&gt;Brazil&gt;Brasília</v>
      </c>
      <c r="M136" s="4" t="s">
        <v>703</v>
      </c>
      <c r="N136" s="4" t="s">
        <v>711</v>
      </c>
      <c r="O136" s="4" t="s">
        <v>1424</v>
      </c>
      <c r="P136" s="4" t="s">
        <v>729</v>
      </c>
      <c r="Q136" s="4" t="s">
        <v>996</v>
      </c>
      <c r="R136" s="8">
        <v>582.88</v>
      </c>
      <c r="S136" s="8">
        <v>1044.1400000000001</v>
      </c>
      <c r="T136" s="8">
        <v>1044.1400000000001</v>
      </c>
      <c r="U136" s="8" t="str">
        <f>IF(T136&lt;=_xlfn.PERCENTILE.INC($T136:$T$633,0.33), "Low", IF(T136&lt;=_xlfn.PERCENTILE.INC($T136:$T$633,0.66), "Medium", "High"))</f>
        <v>Medium</v>
      </c>
      <c r="V136" s="10">
        <v>0.216</v>
      </c>
      <c r="W136" s="10">
        <f t="shared" si="29"/>
        <v>0.216</v>
      </c>
      <c r="X136" s="12">
        <v>10</v>
      </c>
      <c r="Y136" s="8">
        <f t="shared" si="22"/>
        <v>8186.057600000001</v>
      </c>
      <c r="Z136" s="8">
        <f t="shared" si="23"/>
        <v>5828.8</v>
      </c>
      <c r="AA136" s="8">
        <f t="shared" si="30"/>
        <v>2357.2576000000008</v>
      </c>
      <c r="AB136" s="10">
        <f t="shared" si="31"/>
        <v>0.28796005539956138</v>
      </c>
      <c r="AC136" s="14">
        <f>_xlfn.MINIFS($C$2:$C$633, $J$2:$J$633, J136)</f>
        <v>44955</v>
      </c>
      <c r="AD136">
        <f>DATEDIF(AC136, C136, "m")</f>
        <v>6</v>
      </c>
      <c r="AE136" s="8">
        <f t="shared" si="32"/>
        <v>818.60576000000015</v>
      </c>
    </row>
    <row r="137" spans="1:31" x14ac:dyDescent="0.3">
      <c r="A137" s="4" t="s">
        <v>281</v>
      </c>
      <c r="B137" s="6">
        <v>45053</v>
      </c>
      <c r="C137" s="14">
        <v>45053</v>
      </c>
      <c r="D137" s="14" t="str">
        <f t="shared" si="24"/>
        <v>Q2 -2023</v>
      </c>
      <c r="E137" s="6">
        <v>45051</v>
      </c>
      <c r="F137" s="6">
        <f t="shared" si="25"/>
        <v>45058</v>
      </c>
      <c r="G137" s="12">
        <f t="shared" si="26"/>
        <v>5</v>
      </c>
      <c r="H137" s="12">
        <f t="shared" si="27"/>
        <v>1</v>
      </c>
      <c r="I137" s="4" t="s">
        <v>646</v>
      </c>
      <c r="J137" s="4" t="s">
        <v>651</v>
      </c>
      <c r="K137" s="4" t="s">
        <v>663</v>
      </c>
      <c r="L137" t="str">
        <f t="shared" si="28"/>
        <v>Africa&gt;Nigeria&gt;Port Harcourt</v>
      </c>
      <c r="M137" s="4" t="s">
        <v>703</v>
      </c>
      <c r="N137" s="4" t="s">
        <v>709</v>
      </c>
      <c r="O137" s="4" t="s">
        <v>720</v>
      </c>
      <c r="P137" s="4" t="s">
        <v>727</v>
      </c>
      <c r="Q137" s="4" t="s">
        <v>1001</v>
      </c>
      <c r="R137" s="8">
        <v>1269.6500000000001</v>
      </c>
      <c r="S137" s="8">
        <v>2462.77</v>
      </c>
      <c r="T137" s="8">
        <v>2462.77</v>
      </c>
      <c r="U137" s="8" t="str">
        <f>IF(T137&lt;=_xlfn.PERCENTILE.INC($T137:$T$633,0.33), "Low", IF(T137&lt;=_xlfn.PERCENTILE.INC($T137:$T$633,0.66), "Medium", "High"))</f>
        <v>High</v>
      </c>
      <c r="V137" s="10">
        <v>0.107</v>
      </c>
      <c r="W137" s="10">
        <f t="shared" si="29"/>
        <v>0.107</v>
      </c>
      <c r="X137" s="12">
        <v>8</v>
      </c>
      <c r="Y137" s="8">
        <f t="shared" si="22"/>
        <v>17594.028880000002</v>
      </c>
      <c r="Z137" s="8">
        <f t="shared" si="23"/>
        <v>10157.200000000001</v>
      </c>
      <c r="AA137" s="8">
        <f t="shared" si="30"/>
        <v>7436.8288800000009</v>
      </c>
      <c r="AB137" s="10">
        <f t="shared" si="31"/>
        <v>0.42269050089225502</v>
      </c>
      <c r="AC137" s="14">
        <f>_xlfn.MINIFS($C$2:$C$633, $J$2:$J$633, J137)</f>
        <v>44941</v>
      </c>
      <c r="AD137">
        <f>DATEDIF(AC137, C137, "m")</f>
        <v>3</v>
      </c>
      <c r="AE137" s="8">
        <f t="shared" si="32"/>
        <v>2199.2536100000002</v>
      </c>
    </row>
    <row r="138" spans="1:31" x14ac:dyDescent="0.3">
      <c r="A138" s="4" t="s">
        <v>274</v>
      </c>
      <c r="B138" s="6">
        <v>45066</v>
      </c>
      <c r="C138" s="14">
        <v>45066</v>
      </c>
      <c r="D138" s="14" t="str">
        <f t="shared" si="24"/>
        <v>Q2 -2023</v>
      </c>
      <c r="E138" s="6">
        <v>45084</v>
      </c>
      <c r="F138" s="6">
        <f t="shared" si="25"/>
        <v>45084</v>
      </c>
      <c r="G138" s="12">
        <f t="shared" si="26"/>
        <v>18</v>
      </c>
      <c r="H138" s="12">
        <f t="shared" si="27"/>
        <v>0</v>
      </c>
      <c r="I138" s="4" t="s">
        <v>646</v>
      </c>
      <c r="J138" s="4" t="s">
        <v>651</v>
      </c>
      <c r="K138" s="4" t="s">
        <v>663</v>
      </c>
      <c r="L138" t="str">
        <f t="shared" si="28"/>
        <v>Africa&gt;Nigeria&gt;Port Harcourt</v>
      </c>
      <c r="M138" s="4" t="s">
        <v>706</v>
      </c>
      <c r="N138" s="4" t="s">
        <v>710</v>
      </c>
      <c r="O138" s="4" t="s">
        <v>718</v>
      </c>
      <c r="P138" s="4" t="s">
        <v>727</v>
      </c>
      <c r="Q138" s="4" t="s">
        <v>994</v>
      </c>
      <c r="R138" s="8">
        <v>1120.06</v>
      </c>
      <c r="S138" s="8">
        <v>2068.21</v>
      </c>
      <c r="T138" s="8">
        <v>2068.21</v>
      </c>
      <c r="U138" s="8" t="str">
        <f>IF(T138&lt;=_xlfn.PERCENTILE.INC($T138:$T$633,0.33), "Low", IF(T138&lt;=_xlfn.PERCENTILE.INC($T138:$T$633,0.66), "Medium", "High"))</f>
        <v>High</v>
      </c>
      <c r="V138" s="10">
        <v>7.8E-2</v>
      </c>
      <c r="W138" s="10">
        <f t="shared" si="29"/>
        <v>7.8E-2</v>
      </c>
      <c r="X138" s="12">
        <v>12</v>
      </c>
      <c r="Y138" s="8">
        <f t="shared" si="22"/>
        <v>22882.675440000003</v>
      </c>
      <c r="Z138" s="8">
        <f t="shared" si="23"/>
        <v>13440.72</v>
      </c>
      <c r="AA138" s="8">
        <f t="shared" si="30"/>
        <v>9441.9554400000034</v>
      </c>
      <c r="AB138" s="10">
        <f t="shared" si="31"/>
        <v>0.41262462795303284</v>
      </c>
      <c r="AC138" s="14">
        <f>_xlfn.MINIFS($C$2:$C$633, $J$2:$J$633, J138)</f>
        <v>44941</v>
      </c>
      <c r="AD138">
        <f>DATEDIF(AC138, C138, "m")</f>
        <v>4</v>
      </c>
      <c r="AE138" s="8">
        <f t="shared" si="32"/>
        <v>1906.8896200000001</v>
      </c>
    </row>
    <row r="139" spans="1:31" x14ac:dyDescent="0.3">
      <c r="A139" s="4" t="s">
        <v>543</v>
      </c>
      <c r="B139" s="6">
        <v>45162</v>
      </c>
      <c r="C139" s="14">
        <v>45162</v>
      </c>
      <c r="D139" s="14" t="str">
        <f t="shared" si="24"/>
        <v>Q3 -2023</v>
      </c>
      <c r="E139" s="6">
        <v>45189</v>
      </c>
      <c r="F139" s="6">
        <f t="shared" si="25"/>
        <v>45189</v>
      </c>
      <c r="G139" s="12">
        <f t="shared" si="26"/>
        <v>27</v>
      </c>
      <c r="H139" s="12">
        <f t="shared" si="27"/>
        <v>0</v>
      </c>
      <c r="I139" s="4" t="s">
        <v>646</v>
      </c>
      <c r="J139" s="4" t="s">
        <v>661</v>
      </c>
      <c r="K139" s="4" t="s">
        <v>687</v>
      </c>
      <c r="L139" t="str">
        <f t="shared" si="28"/>
        <v>Africa&gt;South Africa&gt;Durban</v>
      </c>
      <c r="M139" s="4" t="s">
        <v>705</v>
      </c>
      <c r="N139" s="4" t="s">
        <v>709</v>
      </c>
      <c r="O139" s="4" t="s">
        <v>724</v>
      </c>
      <c r="P139" s="4" t="s">
        <v>728</v>
      </c>
      <c r="Q139" s="4" t="s">
        <v>1262</v>
      </c>
      <c r="R139" s="8">
        <v>1399.64</v>
      </c>
      <c r="S139" s="8">
        <v>3342.11</v>
      </c>
      <c r="T139" s="8">
        <v>3342.11</v>
      </c>
      <c r="U139" s="8" t="str">
        <f>IF(T139&lt;=_xlfn.PERCENTILE.INC($T139:$T$633,0.33), "Low", IF(T139&lt;=_xlfn.PERCENTILE.INC($T139:$T$633,0.66), "Medium", "High"))</f>
        <v>High</v>
      </c>
      <c r="V139" s="10">
        <v>0</v>
      </c>
      <c r="W139" s="10">
        <f t="shared" si="29"/>
        <v>0</v>
      </c>
      <c r="X139" s="12">
        <v>10</v>
      </c>
      <c r="Y139" s="8">
        <f t="shared" si="22"/>
        <v>33421.1</v>
      </c>
      <c r="Z139" s="8">
        <f t="shared" si="23"/>
        <v>13996.400000000001</v>
      </c>
      <c r="AA139" s="8">
        <f t="shared" si="30"/>
        <v>19424.699999999997</v>
      </c>
      <c r="AB139" s="10">
        <f t="shared" si="31"/>
        <v>0.58121067229983447</v>
      </c>
      <c r="AC139" s="14">
        <f>_xlfn.MINIFS($C$2:$C$633, $J$2:$J$633, J139)</f>
        <v>44933</v>
      </c>
      <c r="AD139">
        <f>DATEDIF(AC139, C139, "m")</f>
        <v>7</v>
      </c>
      <c r="AE139" s="8">
        <f t="shared" si="32"/>
        <v>3342.1099999999997</v>
      </c>
    </row>
    <row r="140" spans="1:31" x14ac:dyDescent="0.3">
      <c r="A140" s="4" t="s">
        <v>54</v>
      </c>
      <c r="B140" s="6">
        <v>45094</v>
      </c>
      <c r="C140" s="14">
        <v>45094</v>
      </c>
      <c r="D140" s="14" t="str">
        <f t="shared" si="24"/>
        <v>Q2 -2023</v>
      </c>
      <c r="E140" s="6">
        <v>45101</v>
      </c>
      <c r="F140" s="6">
        <f t="shared" si="25"/>
        <v>45101</v>
      </c>
      <c r="G140" s="12">
        <f t="shared" si="26"/>
        <v>7</v>
      </c>
      <c r="H140" s="12">
        <f t="shared" si="27"/>
        <v>1</v>
      </c>
      <c r="I140" s="4" t="s">
        <v>648</v>
      </c>
      <c r="J140" s="4" t="s">
        <v>660</v>
      </c>
      <c r="K140" s="4" t="s">
        <v>686</v>
      </c>
      <c r="L140" t="str">
        <f t="shared" si="28"/>
        <v>Americas&gt;USA&gt;San Francisco</v>
      </c>
      <c r="M140" s="4" t="s">
        <v>701</v>
      </c>
      <c r="N140" s="4" t="s">
        <v>707</v>
      </c>
      <c r="O140" s="4" t="s">
        <v>714</v>
      </c>
      <c r="P140" s="4" t="s">
        <v>728</v>
      </c>
      <c r="Q140" s="4" t="s">
        <v>773</v>
      </c>
      <c r="R140" s="8">
        <v>313.99</v>
      </c>
      <c r="S140" s="8">
        <v>454.42</v>
      </c>
      <c r="T140" s="8">
        <v>454.42</v>
      </c>
      <c r="U140" s="8" t="str">
        <f>IF(T140&lt;=_xlfn.PERCENTILE.INC($T140:$T$633,0.33), "Low", IF(T140&lt;=_xlfn.PERCENTILE.INC($T140:$T$633,0.66), "Medium", "High"))</f>
        <v>Low</v>
      </c>
      <c r="V140" s="10">
        <v>0.129</v>
      </c>
      <c r="W140" s="10">
        <f t="shared" si="29"/>
        <v>0.129</v>
      </c>
      <c r="X140" s="12">
        <v>9</v>
      </c>
      <c r="Y140" s="8">
        <f t="shared" si="22"/>
        <v>3562.1983800000003</v>
      </c>
      <c r="Z140" s="8">
        <f t="shared" si="23"/>
        <v>2825.91</v>
      </c>
      <c r="AA140" s="8">
        <f t="shared" si="30"/>
        <v>736.28838000000042</v>
      </c>
      <c r="AB140" s="10">
        <f t="shared" si="31"/>
        <v>0.20669493988147858</v>
      </c>
      <c r="AC140" s="14">
        <f>_xlfn.MINIFS($C$2:$C$633, $J$2:$J$633, J140)</f>
        <v>44939</v>
      </c>
      <c r="AD140">
        <f>DATEDIF(AC140, C140, "m")</f>
        <v>5</v>
      </c>
      <c r="AE140" s="8">
        <f t="shared" si="32"/>
        <v>395.79982000000001</v>
      </c>
    </row>
    <row r="141" spans="1:31" x14ac:dyDescent="0.3">
      <c r="A141" s="4" t="s">
        <v>228</v>
      </c>
      <c r="B141" s="6">
        <v>45240</v>
      </c>
      <c r="C141" s="14">
        <v>45240</v>
      </c>
      <c r="D141" s="14" t="str">
        <f t="shared" si="24"/>
        <v>Q4 -2023</v>
      </c>
      <c r="E141" s="6">
        <v>45258</v>
      </c>
      <c r="F141" s="6">
        <f t="shared" si="25"/>
        <v>45258</v>
      </c>
      <c r="G141" s="12">
        <f t="shared" si="26"/>
        <v>18</v>
      </c>
      <c r="H141" s="12">
        <f t="shared" si="27"/>
        <v>0</v>
      </c>
      <c r="I141" s="4" t="s">
        <v>648</v>
      </c>
      <c r="J141" s="4" t="s">
        <v>655</v>
      </c>
      <c r="K141" s="4" t="s">
        <v>672</v>
      </c>
      <c r="L141" t="str">
        <f t="shared" si="28"/>
        <v>Americas&gt;Brazil&gt;Brasília</v>
      </c>
      <c r="M141" s="4" t="s">
        <v>702</v>
      </c>
      <c r="N141" s="4" t="s">
        <v>709</v>
      </c>
      <c r="O141" s="4" t="s">
        <v>716</v>
      </c>
      <c r="P141" s="4" t="s">
        <v>733</v>
      </c>
      <c r="Q141" s="4" t="s">
        <v>948</v>
      </c>
      <c r="R141" s="8">
        <v>388.51</v>
      </c>
      <c r="S141" s="8">
        <v>776.46</v>
      </c>
      <c r="T141" s="8">
        <v>776.46</v>
      </c>
      <c r="U141" s="8" t="str">
        <f>IF(T141&lt;=_xlfn.PERCENTILE.INC($T141:$T$633,0.33), "Low", IF(T141&lt;=_xlfn.PERCENTILE.INC($T141:$T$633,0.66), "Medium", "High"))</f>
        <v>Low</v>
      </c>
      <c r="V141" s="10">
        <v>0.157</v>
      </c>
      <c r="W141" s="10">
        <f t="shared" si="29"/>
        <v>0.157</v>
      </c>
      <c r="X141" s="12">
        <v>12</v>
      </c>
      <c r="Y141" s="8">
        <f t="shared" si="22"/>
        <v>7854.6693599999999</v>
      </c>
      <c r="Z141" s="8">
        <f t="shared" si="23"/>
        <v>4662.12</v>
      </c>
      <c r="AA141" s="8">
        <f t="shared" si="30"/>
        <v>3192.54936</v>
      </c>
      <c r="AB141" s="10">
        <f t="shared" si="31"/>
        <v>0.40645241876864946</v>
      </c>
      <c r="AC141" s="14">
        <f>_xlfn.MINIFS($C$2:$C$633, $J$2:$J$633, J141)</f>
        <v>44955</v>
      </c>
      <c r="AD141">
        <f>DATEDIF(AC141, C141, "m")</f>
        <v>9</v>
      </c>
      <c r="AE141" s="8">
        <f t="shared" si="32"/>
        <v>654.55578000000003</v>
      </c>
    </row>
    <row r="142" spans="1:31" x14ac:dyDescent="0.3">
      <c r="A142" s="4" t="s">
        <v>446</v>
      </c>
      <c r="B142" s="6">
        <v>45220</v>
      </c>
      <c r="C142" s="14">
        <v>45220</v>
      </c>
      <c r="D142" s="14" t="str">
        <f t="shared" si="24"/>
        <v>Q4 -2023</v>
      </c>
      <c r="E142" s="6">
        <v>45220</v>
      </c>
      <c r="F142" s="6">
        <f t="shared" si="25"/>
        <v>45220</v>
      </c>
      <c r="G142" s="12">
        <f t="shared" si="26"/>
        <v>0</v>
      </c>
      <c r="H142" s="12">
        <f t="shared" si="27"/>
        <v>1</v>
      </c>
      <c r="I142" s="4" t="s">
        <v>649</v>
      </c>
      <c r="J142" s="4" t="s">
        <v>658</v>
      </c>
      <c r="K142" s="4" t="s">
        <v>693</v>
      </c>
      <c r="L142" t="str">
        <f t="shared" si="28"/>
        <v>Europe&gt;United Kingdom&gt;Manchester</v>
      </c>
      <c r="M142" s="4" t="s">
        <v>706</v>
      </c>
      <c r="N142" s="4" t="s">
        <v>710</v>
      </c>
      <c r="O142" s="4" t="s">
        <v>713</v>
      </c>
      <c r="P142" s="4" t="s">
        <v>732</v>
      </c>
      <c r="Q142" s="4" t="s">
        <v>1165</v>
      </c>
      <c r="R142" s="8">
        <v>384.19</v>
      </c>
      <c r="S142" s="8">
        <v>278.35000000000002</v>
      </c>
      <c r="T142" s="8">
        <v>278.35000000000002</v>
      </c>
      <c r="U142" s="8" t="str">
        <f>IF(T142&lt;=_xlfn.PERCENTILE.INC($T142:$T$633,0.33), "Low", IF(T142&lt;=_xlfn.PERCENTILE.INC($T142:$T$633,0.66), "Medium", "High"))</f>
        <v>Low</v>
      </c>
      <c r="V142" s="10">
        <v>5.6000000000000001E-2</v>
      </c>
      <c r="W142" s="10">
        <f t="shared" si="29"/>
        <v>5.6000000000000001E-2</v>
      </c>
      <c r="X142" s="12">
        <v>10</v>
      </c>
      <c r="Y142" s="8">
        <f t="shared" si="22"/>
        <v>2627.6239999999998</v>
      </c>
      <c r="Z142" s="8">
        <f t="shared" si="23"/>
        <v>3841.9</v>
      </c>
      <c r="AA142" s="8">
        <f t="shared" si="30"/>
        <v>-1214.2760000000003</v>
      </c>
      <c r="AB142" s="10">
        <f t="shared" si="31"/>
        <v>-0.46211938998882657</v>
      </c>
      <c r="AC142" s="14">
        <f>_xlfn.MINIFS($C$2:$C$633, $J$2:$J$633, J142)</f>
        <v>44945</v>
      </c>
      <c r="AD142">
        <f>DATEDIF(AC142, C142, "m")</f>
        <v>9</v>
      </c>
      <c r="AE142" s="8">
        <f t="shared" si="32"/>
        <v>262.76239999999996</v>
      </c>
    </row>
    <row r="143" spans="1:31" x14ac:dyDescent="0.3">
      <c r="A143" s="4" t="s">
        <v>352</v>
      </c>
      <c r="B143" s="6">
        <v>45132</v>
      </c>
      <c r="C143" s="14">
        <v>45132</v>
      </c>
      <c r="D143" s="14" t="str">
        <f t="shared" si="24"/>
        <v>Q3 -2023</v>
      </c>
      <c r="E143" s="6">
        <v>45148</v>
      </c>
      <c r="F143" s="6">
        <f t="shared" si="25"/>
        <v>45148</v>
      </c>
      <c r="G143" s="12">
        <f t="shared" si="26"/>
        <v>16</v>
      </c>
      <c r="H143" s="12">
        <f t="shared" si="27"/>
        <v>0</v>
      </c>
      <c r="I143" s="4" t="s">
        <v>646</v>
      </c>
      <c r="J143" s="4" t="s">
        <v>651</v>
      </c>
      <c r="K143" s="4" t="s">
        <v>663</v>
      </c>
      <c r="L143" t="str">
        <f t="shared" si="28"/>
        <v>Africa&gt;Nigeria&gt;Port Harcourt</v>
      </c>
      <c r="M143" s="4" t="s">
        <v>701</v>
      </c>
      <c r="N143" s="4" t="s">
        <v>710</v>
      </c>
      <c r="O143" s="4" t="s">
        <v>714</v>
      </c>
      <c r="P143" s="4" t="s">
        <v>733</v>
      </c>
      <c r="Q143" s="4" t="s">
        <v>1072</v>
      </c>
      <c r="R143" s="8">
        <v>506.83</v>
      </c>
      <c r="S143" s="8">
        <v>441.74</v>
      </c>
      <c r="T143" s="8">
        <v>441.74</v>
      </c>
      <c r="U143" s="8" t="str">
        <f>IF(T143&lt;=_xlfn.PERCENTILE.INC($T143:$T$633,0.33), "Low", IF(T143&lt;=_xlfn.PERCENTILE.INC($T143:$T$633,0.66), "Medium", "High"))</f>
        <v>Low</v>
      </c>
      <c r="V143" s="10">
        <v>0.24</v>
      </c>
      <c r="W143" s="10">
        <f t="shared" si="29"/>
        <v>0.24</v>
      </c>
      <c r="X143" s="12">
        <v>9</v>
      </c>
      <c r="Y143" s="8">
        <f t="shared" si="22"/>
        <v>3021.5016000000001</v>
      </c>
      <c r="Z143" s="8">
        <f t="shared" si="23"/>
        <v>4561.47</v>
      </c>
      <c r="AA143" s="8">
        <f t="shared" si="30"/>
        <v>-1539.9684000000002</v>
      </c>
      <c r="AB143" s="10">
        <f t="shared" si="31"/>
        <v>-0.50966989393618067</v>
      </c>
      <c r="AC143" s="14">
        <f>_xlfn.MINIFS($C$2:$C$633, $J$2:$J$633, J143)</f>
        <v>44941</v>
      </c>
      <c r="AD143">
        <f>DATEDIF(AC143, C143, "m")</f>
        <v>6</v>
      </c>
      <c r="AE143" s="8">
        <f t="shared" si="32"/>
        <v>335.72239999999999</v>
      </c>
    </row>
    <row r="144" spans="1:31" x14ac:dyDescent="0.3">
      <c r="A144" s="4" t="s">
        <v>191</v>
      </c>
      <c r="B144" s="6">
        <v>45165</v>
      </c>
      <c r="C144" s="14">
        <v>45165</v>
      </c>
      <c r="D144" s="14" t="str">
        <f t="shared" si="24"/>
        <v>Q3 -2023</v>
      </c>
      <c r="E144" s="6">
        <v>45180</v>
      </c>
      <c r="F144" s="6">
        <f t="shared" si="25"/>
        <v>45180</v>
      </c>
      <c r="G144" s="12">
        <f t="shared" si="26"/>
        <v>15</v>
      </c>
      <c r="H144" s="12">
        <f t="shared" si="27"/>
        <v>0</v>
      </c>
      <c r="I144" s="4" t="s">
        <v>649</v>
      </c>
      <c r="J144" s="4" t="s">
        <v>658</v>
      </c>
      <c r="K144" s="4" t="s">
        <v>683</v>
      </c>
      <c r="L144" t="str">
        <f t="shared" si="28"/>
        <v>Europe&gt;United Kingdom&gt;London</v>
      </c>
      <c r="M144" s="4" t="s">
        <v>704</v>
      </c>
      <c r="N144" s="4" t="s">
        <v>709</v>
      </c>
      <c r="O144" s="4" t="s">
        <v>725</v>
      </c>
      <c r="P144" s="4" t="s">
        <v>728</v>
      </c>
      <c r="Q144" s="4" t="s">
        <v>910</v>
      </c>
      <c r="R144" s="8">
        <v>943.79</v>
      </c>
      <c r="S144" s="8">
        <v>1913.76</v>
      </c>
      <c r="T144" s="8">
        <v>1913.76</v>
      </c>
      <c r="U144" s="8" t="str">
        <f>IF(T144&lt;=_xlfn.PERCENTILE.INC($T144:$T$633,0.33), "Low", IF(T144&lt;=_xlfn.PERCENTILE.INC($T144:$T$633,0.66), "Medium", "High"))</f>
        <v>High</v>
      </c>
      <c r="V144" s="10">
        <v>9.0999999999999998E-2</v>
      </c>
      <c r="W144" s="10">
        <f t="shared" si="29"/>
        <v>9.0999999999999998E-2</v>
      </c>
      <c r="X144" s="12">
        <v>9</v>
      </c>
      <c r="Y144" s="8">
        <f t="shared" si="22"/>
        <v>15656.47056</v>
      </c>
      <c r="Z144" s="8">
        <f t="shared" si="23"/>
        <v>8494.11</v>
      </c>
      <c r="AA144" s="8">
        <f t="shared" si="30"/>
        <v>7162.3605599999992</v>
      </c>
      <c r="AB144" s="10">
        <f t="shared" si="31"/>
        <v>0.45746967891338081</v>
      </c>
      <c r="AC144" s="14">
        <f>_xlfn.MINIFS($C$2:$C$633, $J$2:$J$633, J144)</f>
        <v>44945</v>
      </c>
      <c r="AD144">
        <f>DATEDIF(AC144, C144, "m")</f>
        <v>7</v>
      </c>
      <c r="AE144" s="8">
        <f t="shared" si="32"/>
        <v>1739.6078399999999</v>
      </c>
    </row>
    <row r="145" spans="1:31" x14ac:dyDescent="0.3">
      <c r="A145" s="4" t="s">
        <v>624</v>
      </c>
      <c r="B145" s="6">
        <v>45032</v>
      </c>
      <c r="C145" s="14">
        <v>45032</v>
      </c>
      <c r="D145" s="14" t="str">
        <f t="shared" si="24"/>
        <v>Q2 -2023</v>
      </c>
      <c r="E145" s="6">
        <v>45039</v>
      </c>
      <c r="F145" s="6">
        <f t="shared" si="25"/>
        <v>45039</v>
      </c>
      <c r="G145" s="12">
        <f t="shared" si="26"/>
        <v>7</v>
      </c>
      <c r="H145" s="12">
        <f t="shared" si="27"/>
        <v>1</v>
      </c>
      <c r="I145" s="4" t="s">
        <v>648</v>
      </c>
      <c r="J145" s="4" t="s">
        <v>660</v>
      </c>
      <c r="K145" s="4" t="s">
        <v>697</v>
      </c>
      <c r="L145" t="str">
        <f t="shared" si="28"/>
        <v>Americas&gt;USA&gt;Austin</v>
      </c>
      <c r="M145" s="4" t="s">
        <v>701</v>
      </c>
      <c r="N145" s="4" t="s">
        <v>710</v>
      </c>
      <c r="O145" s="4" t="s">
        <v>719</v>
      </c>
      <c r="P145" s="4" t="s">
        <v>728</v>
      </c>
      <c r="Q145" s="4" t="s">
        <v>1342</v>
      </c>
      <c r="R145" s="8">
        <v>1099.1500000000001</v>
      </c>
      <c r="S145" s="8">
        <v>1431.37</v>
      </c>
      <c r="T145" s="8">
        <v>1431.37</v>
      </c>
      <c r="U145" s="8" t="str">
        <f>IF(T145&lt;=_xlfn.PERCENTILE.INC($T145:$T$633,0.33), "Low", IF(T145&lt;=_xlfn.PERCENTILE.INC($T145:$T$633,0.66), "Medium", "High"))</f>
        <v>Medium</v>
      </c>
      <c r="V145" s="10">
        <v>0.104</v>
      </c>
      <c r="W145" s="10">
        <f t="shared" si="29"/>
        <v>0.104</v>
      </c>
      <c r="X145" s="12">
        <v>8</v>
      </c>
      <c r="Y145" s="8">
        <f t="shared" si="22"/>
        <v>10260.060159999999</v>
      </c>
      <c r="Z145" s="8">
        <f t="shared" si="23"/>
        <v>8793.2000000000007</v>
      </c>
      <c r="AA145" s="8">
        <f t="shared" si="30"/>
        <v>1466.8601599999984</v>
      </c>
      <c r="AB145" s="10">
        <f t="shared" si="31"/>
        <v>0.14296798821109433</v>
      </c>
      <c r="AC145" s="14">
        <f>_xlfn.MINIFS($C$2:$C$633, $J$2:$J$633, J145)</f>
        <v>44939</v>
      </c>
      <c r="AD145">
        <f>DATEDIF(AC145, C145, "m")</f>
        <v>3</v>
      </c>
      <c r="AE145" s="8">
        <f t="shared" si="32"/>
        <v>1282.5075199999999</v>
      </c>
    </row>
    <row r="146" spans="1:31" x14ac:dyDescent="0.3">
      <c r="A146" s="4" t="s">
        <v>306</v>
      </c>
      <c r="B146" s="6">
        <v>45220</v>
      </c>
      <c r="C146" s="14">
        <v>45220</v>
      </c>
      <c r="D146" s="14" t="str">
        <f t="shared" si="24"/>
        <v>Q4 -2023</v>
      </c>
      <c r="E146" s="6">
        <v>45239</v>
      </c>
      <c r="F146" s="6">
        <f t="shared" si="25"/>
        <v>45239</v>
      </c>
      <c r="G146" s="12">
        <f t="shared" si="26"/>
        <v>19</v>
      </c>
      <c r="H146" s="12">
        <f t="shared" si="27"/>
        <v>0</v>
      </c>
      <c r="I146" s="4" t="s">
        <v>649</v>
      </c>
      <c r="J146" s="4" t="s">
        <v>658</v>
      </c>
      <c r="K146" s="4" t="s">
        <v>683</v>
      </c>
      <c r="L146" t="str">
        <f t="shared" si="28"/>
        <v>Europe&gt;United Kingdom&gt;London</v>
      </c>
      <c r="M146" s="4" t="s">
        <v>703</v>
      </c>
      <c r="N146" s="4" t="s">
        <v>711</v>
      </c>
      <c r="O146" s="4" t="s">
        <v>720</v>
      </c>
      <c r="P146" s="4" t="s">
        <v>733</v>
      </c>
      <c r="Q146" s="4" t="s">
        <v>1026</v>
      </c>
      <c r="R146" s="8">
        <v>1142.48</v>
      </c>
      <c r="S146" s="8">
        <v>2105.5300000000002</v>
      </c>
      <c r="T146" s="8">
        <v>2105.5300000000002</v>
      </c>
      <c r="U146" s="8" t="str">
        <f>IF(T146&lt;=_xlfn.PERCENTILE.INC($T146:$T$633,0.33), "Low", IF(T146&lt;=_xlfn.PERCENTILE.INC($T146:$T$633,0.66), "Medium", "High"))</f>
        <v>High</v>
      </c>
      <c r="V146" s="10">
        <v>0.20699999999999999</v>
      </c>
      <c r="W146" s="10">
        <f t="shared" si="29"/>
        <v>0.20699999999999999</v>
      </c>
      <c r="X146" s="12">
        <v>14</v>
      </c>
      <c r="Y146" s="8">
        <f t="shared" si="22"/>
        <v>23375.594060000003</v>
      </c>
      <c r="Z146" s="8">
        <f t="shared" si="23"/>
        <v>15994.720000000001</v>
      </c>
      <c r="AA146" s="8">
        <f t="shared" si="30"/>
        <v>7380.8740600000019</v>
      </c>
      <c r="AB146" s="10">
        <f t="shared" si="31"/>
        <v>0.31575129346680658</v>
      </c>
      <c r="AC146" s="14">
        <f>_xlfn.MINIFS($C$2:$C$633, $J$2:$J$633, J146)</f>
        <v>44945</v>
      </c>
      <c r="AD146">
        <f>DATEDIF(AC146, C146, "m")</f>
        <v>9</v>
      </c>
      <c r="AE146" s="8">
        <f t="shared" si="32"/>
        <v>1669.6852900000001</v>
      </c>
    </row>
    <row r="147" spans="1:31" x14ac:dyDescent="0.3">
      <c r="A147" s="4" t="s">
        <v>423</v>
      </c>
      <c r="B147" s="6">
        <v>45276</v>
      </c>
      <c r="C147" s="14">
        <v>45276</v>
      </c>
      <c r="D147" s="14" t="str">
        <f t="shared" si="24"/>
        <v>Q4 -2023</v>
      </c>
      <c r="E147" s="6">
        <v>45279</v>
      </c>
      <c r="F147" s="6">
        <f t="shared" si="25"/>
        <v>45279</v>
      </c>
      <c r="G147" s="12">
        <f t="shared" si="26"/>
        <v>3</v>
      </c>
      <c r="H147" s="12">
        <f t="shared" si="27"/>
        <v>1</v>
      </c>
      <c r="I147" s="4" t="s">
        <v>647</v>
      </c>
      <c r="J147" s="4" t="s">
        <v>659</v>
      </c>
      <c r="K147" s="4" t="s">
        <v>699</v>
      </c>
      <c r="L147" t="str">
        <f t="shared" si="28"/>
        <v>Asia&gt;China&gt;Beijing</v>
      </c>
      <c r="M147" s="4" t="s">
        <v>702</v>
      </c>
      <c r="N147" s="4" t="s">
        <v>707</v>
      </c>
      <c r="O147" s="4" t="s">
        <v>720</v>
      </c>
      <c r="P147" s="4" t="s">
        <v>733</v>
      </c>
      <c r="Q147" s="4" t="s">
        <v>1142</v>
      </c>
      <c r="R147" s="8">
        <v>1415.05</v>
      </c>
      <c r="S147" s="8">
        <v>1972.38</v>
      </c>
      <c r="T147" s="8">
        <v>1972.38</v>
      </c>
      <c r="U147" s="8" t="str">
        <f>IF(T147&lt;=_xlfn.PERCENTILE.INC($T147:$T$633,0.33), "Low", IF(T147&lt;=_xlfn.PERCENTILE.INC($T147:$T$633,0.66), "Medium", "High"))</f>
        <v>High</v>
      </c>
      <c r="V147" s="10">
        <v>0</v>
      </c>
      <c r="W147" s="10">
        <f t="shared" si="29"/>
        <v>0</v>
      </c>
      <c r="X147" s="12">
        <v>12</v>
      </c>
      <c r="Y147" s="8">
        <f t="shared" si="22"/>
        <v>23668.560000000001</v>
      </c>
      <c r="Z147" s="8">
        <f t="shared" si="23"/>
        <v>16980.599999999999</v>
      </c>
      <c r="AA147" s="8">
        <f t="shared" si="30"/>
        <v>6687.9600000000028</v>
      </c>
      <c r="AB147" s="10">
        <f t="shared" si="31"/>
        <v>0.28256725377462771</v>
      </c>
      <c r="AC147" s="14">
        <f>_xlfn.MINIFS($C$2:$C$633, $J$2:$J$633, J147)</f>
        <v>44938</v>
      </c>
      <c r="AD147">
        <f>DATEDIF(AC147, C147, "m")</f>
        <v>11</v>
      </c>
      <c r="AE147" s="8">
        <f t="shared" si="32"/>
        <v>1972.38</v>
      </c>
    </row>
    <row r="148" spans="1:31" x14ac:dyDescent="0.3">
      <c r="A148" s="4" t="s">
        <v>399</v>
      </c>
      <c r="B148" s="6">
        <v>45066</v>
      </c>
      <c r="C148" s="14">
        <v>45066</v>
      </c>
      <c r="D148" s="14" t="str">
        <f t="shared" si="24"/>
        <v>Q2 -2023</v>
      </c>
      <c r="E148" s="6">
        <v>45096</v>
      </c>
      <c r="F148" s="6">
        <f t="shared" si="25"/>
        <v>45096</v>
      </c>
      <c r="G148" s="12">
        <f t="shared" si="26"/>
        <v>30</v>
      </c>
      <c r="H148" s="12">
        <f t="shared" si="27"/>
        <v>0</v>
      </c>
      <c r="I148" s="4" t="s">
        <v>647</v>
      </c>
      <c r="J148" s="4" t="s">
        <v>654</v>
      </c>
      <c r="K148" s="4" t="s">
        <v>680</v>
      </c>
      <c r="L148" t="str">
        <f t="shared" si="28"/>
        <v>Asia&gt;India&gt;Delhi</v>
      </c>
      <c r="M148" s="4" t="s">
        <v>703</v>
      </c>
      <c r="N148" s="4" t="s">
        <v>709</v>
      </c>
      <c r="O148" s="4" t="s">
        <v>722</v>
      </c>
      <c r="P148" s="4" t="s">
        <v>731</v>
      </c>
      <c r="Q148" s="4" t="s">
        <v>1118</v>
      </c>
      <c r="R148" s="8">
        <v>1161.2</v>
      </c>
      <c r="S148" s="8">
        <v>878.73</v>
      </c>
      <c r="T148" s="8">
        <v>878.73</v>
      </c>
      <c r="U148" s="8" t="str">
        <f>IF(T148&lt;=_xlfn.PERCENTILE.INC($T148:$T$633,0.33), "Low", IF(T148&lt;=_xlfn.PERCENTILE.INC($T148:$T$633,0.66), "Medium", "High"))</f>
        <v>Medium</v>
      </c>
      <c r="V148" s="10">
        <v>0.19</v>
      </c>
      <c r="W148" s="10">
        <f t="shared" si="29"/>
        <v>0.19</v>
      </c>
      <c r="X148" s="12">
        <v>31</v>
      </c>
      <c r="Y148" s="8">
        <f t="shared" si="22"/>
        <v>22064.910300000003</v>
      </c>
      <c r="Z148" s="8">
        <f t="shared" si="23"/>
        <v>35997.200000000004</v>
      </c>
      <c r="AA148" s="8">
        <f t="shared" si="30"/>
        <v>-13932.289700000001</v>
      </c>
      <c r="AB148" s="10">
        <f t="shared" si="31"/>
        <v>-0.63142290227212028</v>
      </c>
      <c r="AC148" s="14">
        <f>_xlfn.MINIFS($C$2:$C$633, $J$2:$J$633, J148)</f>
        <v>44955</v>
      </c>
      <c r="AD148">
        <f>DATEDIF(AC148, C148, "m")</f>
        <v>3</v>
      </c>
      <c r="AE148" s="8">
        <f t="shared" si="32"/>
        <v>711.77130000000011</v>
      </c>
    </row>
    <row r="149" spans="1:31" x14ac:dyDescent="0.3">
      <c r="A149" s="4" t="s">
        <v>611</v>
      </c>
      <c r="B149" s="6">
        <v>44933</v>
      </c>
      <c r="C149" s="14">
        <v>44933</v>
      </c>
      <c r="D149" s="14" t="str">
        <f t="shared" si="24"/>
        <v>Q1 -2023</v>
      </c>
      <c r="E149" s="6">
        <v>44956</v>
      </c>
      <c r="F149" s="6">
        <f t="shared" si="25"/>
        <v>44956</v>
      </c>
      <c r="G149" s="12">
        <f t="shared" si="26"/>
        <v>23</v>
      </c>
      <c r="H149" s="12">
        <f t="shared" si="27"/>
        <v>0</v>
      </c>
      <c r="I149" s="4" t="s">
        <v>646</v>
      </c>
      <c r="J149" s="4" t="s">
        <v>661</v>
      </c>
      <c r="K149" s="4" t="s">
        <v>695</v>
      </c>
      <c r="L149" t="str">
        <f t="shared" si="28"/>
        <v>Africa&gt;South Africa&gt;Cape Town</v>
      </c>
      <c r="M149" s="4" t="s">
        <v>704</v>
      </c>
      <c r="N149" s="4" t="s">
        <v>708</v>
      </c>
      <c r="O149" s="4" t="s">
        <v>720</v>
      </c>
      <c r="P149" s="4" t="s">
        <v>728</v>
      </c>
      <c r="Q149" s="4" t="s">
        <v>1329</v>
      </c>
      <c r="R149" s="8">
        <v>299.02</v>
      </c>
      <c r="S149" s="8">
        <v>724.7</v>
      </c>
      <c r="T149" s="8">
        <v>724.7</v>
      </c>
      <c r="U149" s="8" t="str">
        <f>IF(T149&lt;=_xlfn.PERCENTILE.INC($T149:$T$633,0.33), "Low", IF(T149&lt;=_xlfn.PERCENTILE.INC($T149:$T$633,0.66), "Medium", "High"))</f>
        <v>Low</v>
      </c>
      <c r="V149" s="10">
        <v>0.14000000000000001</v>
      </c>
      <c r="W149" s="10">
        <f t="shared" si="29"/>
        <v>0.14000000000000001</v>
      </c>
      <c r="X149" s="12">
        <v>5</v>
      </c>
      <c r="Y149" s="8">
        <f t="shared" si="22"/>
        <v>3116.21</v>
      </c>
      <c r="Z149" s="8">
        <f t="shared" si="23"/>
        <v>1495.1</v>
      </c>
      <c r="AA149" s="8">
        <f t="shared" si="30"/>
        <v>1621.1100000000001</v>
      </c>
      <c r="AB149" s="10">
        <f t="shared" si="31"/>
        <v>0.52021847051386139</v>
      </c>
      <c r="AC149" s="14">
        <f>_xlfn.MINIFS($C$2:$C$633, $J$2:$J$633, J149)</f>
        <v>44933</v>
      </c>
      <c r="AD149">
        <f>DATEDIF(AC149, C149, "m")</f>
        <v>0</v>
      </c>
      <c r="AE149" s="8">
        <f t="shared" si="32"/>
        <v>623.24199999999996</v>
      </c>
    </row>
    <row r="150" spans="1:31" x14ac:dyDescent="0.3">
      <c r="A150" s="4" t="s">
        <v>541</v>
      </c>
      <c r="B150" s="6">
        <v>44938</v>
      </c>
      <c r="C150" s="14">
        <v>44938</v>
      </c>
      <c r="D150" s="14" t="str">
        <f t="shared" si="24"/>
        <v>Q1 -2023</v>
      </c>
      <c r="E150" s="6">
        <v>44952</v>
      </c>
      <c r="F150" s="6">
        <f t="shared" si="25"/>
        <v>44952</v>
      </c>
      <c r="G150" s="12">
        <f t="shared" si="26"/>
        <v>14</v>
      </c>
      <c r="H150" s="12">
        <f t="shared" si="27"/>
        <v>0</v>
      </c>
      <c r="I150" s="4" t="s">
        <v>647</v>
      </c>
      <c r="J150" s="4" t="s">
        <v>659</v>
      </c>
      <c r="K150" s="4" t="s">
        <v>676</v>
      </c>
      <c r="L150" t="str">
        <f t="shared" si="28"/>
        <v>Asia&gt;China&gt;Shenzhen</v>
      </c>
      <c r="M150" s="4" t="s">
        <v>703</v>
      </c>
      <c r="N150" s="4" t="s">
        <v>707</v>
      </c>
      <c r="O150" s="4" t="s">
        <v>724</v>
      </c>
      <c r="P150" s="4" t="s">
        <v>728</v>
      </c>
      <c r="Q150" s="4" t="s">
        <v>1260</v>
      </c>
      <c r="R150" s="8">
        <v>1083.0899999999999</v>
      </c>
      <c r="S150" s="8">
        <v>1425.87</v>
      </c>
      <c r="T150" s="8">
        <v>1425.87</v>
      </c>
      <c r="U150" s="8" t="str">
        <f>IF(T150&lt;=_xlfn.PERCENTILE.INC($T150:$T$633,0.33), "Low", IF(T150&lt;=_xlfn.PERCENTILE.INC($T150:$T$633,0.66), "Medium", "High"))</f>
        <v>Medium</v>
      </c>
      <c r="V150" s="10">
        <v>0</v>
      </c>
      <c r="W150" s="10">
        <f t="shared" si="29"/>
        <v>0</v>
      </c>
      <c r="X150" s="12">
        <v>8</v>
      </c>
      <c r="Y150" s="8">
        <f t="shared" si="22"/>
        <v>11406.96</v>
      </c>
      <c r="Z150" s="8">
        <f t="shared" si="23"/>
        <v>8664.7199999999993</v>
      </c>
      <c r="AA150" s="8">
        <f t="shared" si="30"/>
        <v>2742.24</v>
      </c>
      <c r="AB150" s="10">
        <f t="shared" si="31"/>
        <v>0.24040059752992909</v>
      </c>
      <c r="AC150" s="14">
        <f>_xlfn.MINIFS($C$2:$C$633, $J$2:$J$633, J150)</f>
        <v>44938</v>
      </c>
      <c r="AD150">
        <f>DATEDIF(AC150, C150, "m")</f>
        <v>0</v>
      </c>
      <c r="AE150" s="8">
        <f t="shared" si="32"/>
        <v>1425.87</v>
      </c>
    </row>
    <row r="151" spans="1:31" x14ac:dyDescent="0.3">
      <c r="A151" s="4" t="s">
        <v>213</v>
      </c>
      <c r="B151" s="6">
        <v>45030</v>
      </c>
      <c r="C151" s="14">
        <v>45030</v>
      </c>
      <c r="D151" s="14" t="str">
        <f t="shared" si="24"/>
        <v>Q2 -2023</v>
      </c>
      <c r="E151" s="6">
        <v>45059</v>
      </c>
      <c r="F151" s="6">
        <f t="shared" si="25"/>
        <v>45059</v>
      </c>
      <c r="G151" s="12">
        <f t="shared" si="26"/>
        <v>29</v>
      </c>
      <c r="H151" s="12">
        <f t="shared" si="27"/>
        <v>0</v>
      </c>
      <c r="I151" s="4" t="s">
        <v>649</v>
      </c>
      <c r="J151" s="4" t="s">
        <v>656</v>
      </c>
      <c r="K151" s="4" t="s">
        <v>698</v>
      </c>
      <c r="L151" t="str">
        <f t="shared" si="28"/>
        <v>Europe&gt;Germany&gt;Frankfurt</v>
      </c>
      <c r="M151" s="4" t="s">
        <v>704</v>
      </c>
      <c r="N151" s="4" t="s">
        <v>711</v>
      </c>
      <c r="O151" s="4" t="s">
        <v>713</v>
      </c>
      <c r="P151" s="4" t="s">
        <v>728</v>
      </c>
      <c r="Q151" s="4" t="s">
        <v>933</v>
      </c>
      <c r="R151" s="8">
        <v>1320.33</v>
      </c>
      <c r="S151" s="8">
        <v>2645.23</v>
      </c>
      <c r="T151" s="8">
        <v>2645.23</v>
      </c>
      <c r="U151" s="8" t="str">
        <f>IF(T151&lt;=_xlfn.PERCENTILE.INC($T151:$T$633,0.33), "Low", IF(T151&lt;=_xlfn.PERCENTILE.INC($T151:$T$633,0.66), "Medium", "High"))</f>
        <v>High</v>
      </c>
      <c r="V151" s="10">
        <v>0.155</v>
      </c>
      <c r="W151" s="10">
        <f t="shared" si="29"/>
        <v>0.155</v>
      </c>
      <c r="X151" s="12">
        <v>25</v>
      </c>
      <c r="Y151" s="8">
        <f t="shared" si="22"/>
        <v>55880.483749999999</v>
      </c>
      <c r="Z151" s="8">
        <f t="shared" si="23"/>
        <v>33008.25</v>
      </c>
      <c r="AA151" s="8">
        <f t="shared" si="30"/>
        <v>22872.233749999999</v>
      </c>
      <c r="AB151" s="10">
        <f t="shared" si="31"/>
        <v>0.40930629470436536</v>
      </c>
      <c r="AC151" s="14">
        <f>_xlfn.MINIFS($C$2:$C$633, $J$2:$J$633, J151)</f>
        <v>44948</v>
      </c>
      <c r="AD151">
        <f>DATEDIF(AC151, C151, "m")</f>
        <v>2</v>
      </c>
      <c r="AE151" s="8">
        <f t="shared" si="32"/>
        <v>2235.2193499999998</v>
      </c>
    </row>
    <row r="152" spans="1:31" x14ac:dyDescent="0.3">
      <c r="A152" s="4" t="s">
        <v>475</v>
      </c>
      <c r="B152" s="6">
        <v>45063</v>
      </c>
      <c r="C152" s="14">
        <v>45063</v>
      </c>
      <c r="D152" s="14" t="str">
        <f t="shared" si="24"/>
        <v>Q2 -2023</v>
      </c>
      <c r="E152" s="6">
        <v>45092</v>
      </c>
      <c r="F152" s="6">
        <f t="shared" si="25"/>
        <v>45092</v>
      </c>
      <c r="G152" s="12">
        <f t="shared" si="26"/>
        <v>29</v>
      </c>
      <c r="H152" s="12">
        <f t="shared" si="27"/>
        <v>0</v>
      </c>
      <c r="I152" s="4" t="s">
        <v>646</v>
      </c>
      <c r="J152" s="4" t="s">
        <v>661</v>
      </c>
      <c r="K152" s="4" t="s">
        <v>687</v>
      </c>
      <c r="L152" t="str">
        <f t="shared" si="28"/>
        <v>Africa&gt;South Africa&gt;Durban</v>
      </c>
      <c r="M152" s="4" t="s">
        <v>706</v>
      </c>
      <c r="N152" s="4" t="s">
        <v>707</v>
      </c>
      <c r="O152" s="4" t="s">
        <v>723</v>
      </c>
      <c r="P152" s="4" t="s">
        <v>733</v>
      </c>
      <c r="Q152" s="4" t="s">
        <v>1194</v>
      </c>
      <c r="R152" s="8">
        <v>40.89</v>
      </c>
      <c r="S152" s="8">
        <v>62.82</v>
      </c>
      <c r="T152" s="8">
        <v>62.82</v>
      </c>
      <c r="U152" s="8" t="str">
        <f>IF(T152&lt;=_xlfn.PERCENTILE.INC($T152:$T$633,0.33), "Low", IF(T152&lt;=_xlfn.PERCENTILE.INC($T152:$T$633,0.66), "Medium", "High"))</f>
        <v>Low</v>
      </c>
      <c r="V152" s="10">
        <v>0.129</v>
      </c>
      <c r="W152" s="10">
        <f t="shared" si="29"/>
        <v>0.129</v>
      </c>
      <c r="X152" s="12">
        <v>17</v>
      </c>
      <c r="Y152" s="8">
        <f t="shared" si="22"/>
        <v>930.17574000000002</v>
      </c>
      <c r="Z152" s="8">
        <f t="shared" si="23"/>
        <v>695.13</v>
      </c>
      <c r="AA152" s="8">
        <f t="shared" si="30"/>
        <v>235.04574000000002</v>
      </c>
      <c r="AB152" s="10">
        <f t="shared" si="31"/>
        <v>0.25268960465470752</v>
      </c>
      <c r="AC152" s="14">
        <f>_xlfn.MINIFS($C$2:$C$633, $J$2:$J$633, J152)</f>
        <v>44933</v>
      </c>
      <c r="AD152">
        <f>DATEDIF(AC152, C152, "m")</f>
        <v>4</v>
      </c>
      <c r="AE152" s="8">
        <f t="shared" si="32"/>
        <v>54.71622</v>
      </c>
    </row>
    <row r="153" spans="1:31" x14ac:dyDescent="0.3">
      <c r="A153" s="4" t="s">
        <v>236</v>
      </c>
      <c r="B153" s="6">
        <v>45164</v>
      </c>
      <c r="C153" s="14">
        <v>45164</v>
      </c>
      <c r="D153" s="14" t="str">
        <f t="shared" si="24"/>
        <v>Q3 -2023</v>
      </c>
      <c r="E153" s="6">
        <v>45179</v>
      </c>
      <c r="F153" s="6">
        <f t="shared" si="25"/>
        <v>45179</v>
      </c>
      <c r="G153" s="12">
        <f t="shared" si="26"/>
        <v>15</v>
      </c>
      <c r="H153" s="12">
        <f t="shared" si="27"/>
        <v>0</v>
      </c>
      <c r="I153" s="4" t="s">
        <v>646</v>
      </c>
      <c r="J153" s="4" t="s">
        <v>661</v>
      </c>
      <c r="K153" s="4" t="s">
        <v>695</v>
      </c>
      <c r="L153" t="str">
        <f t="shared" si="28"/>
        <v>Africa&gt;South Africa&gt;Cape Town</v>
      </c>
      <c r="M153" s="4" t="s">
        <v>703</v>
      </c>
      <c r="N153" s="4" t="s">
        <v>711</v>
      </c>
      <c r="O153" s="4" t="s">
        <v>725</v>
      </c>
      <c r="P153" s="4" t="s">
        <v>727</v>
      </c>
      <c r="Q153" s="4" t="s">
        <v>956</v>
      </c>
      <c r="R153" s="8">
        <v>241.14</v>
      </c>
      <c r="S153" s="8">
        <v>496.52</v>
      </c>
      <c r="T153" s="8">
        <v>496.52</v>
      </c>
      <c r="U153" s="8" t="str">
        <f>IF(T153&lt;=_xlfn.PERCENTILE.INC($T153:$T$633,0.33), "Low", IF(T153&lt;=_xlfn.PERCENTILE.INC($T153:$T$633,0.66), "Medium", "High"))</f>
        <v>Low</v>
      </c>
      <c r="V153" s="10">
        <v>9.2999999999999999E-2</v>
      </c>
      <c r="W153" s="10">
        <f t="shared" si="29"/>
        <v>9.2999999999999999E-2</v>
      </c>
      <c r="X153" s="12">
        <v>10</v>
      </c>
      <c r="Y153" s="8">
        <f t="shared" si="22"/>
        <v>4503.4363999999996</v>
      </c>
      <c r="Z153" s="8">
        <f t="shared" si="23"/>
        <v>2411.3999999999996</v>
      </c>
      <c r="AA153" s="8">
        <f t="shared" si="30"/>
        <v>2092.0364</v>
      </c>
      <c r="AB153" s="10">
        <f t="shared" si="31"/>
        <v>0.46454223268257994</v>
      </c>
      <c r="AC153" s="14">
        <f>_xlfn.MINIFS($C$2:$C$633, $J$2:$J$633, J153)</f>
        <v>44933</v>
      </c>
      <c r="AD153">
        <f>DATEDIF(AC153, C153, "m")</f>
        <v>7</v>
      </c>
      <c r="AE153" s="8">
        <f t="shared" si="32"/>
        <v>450.34363999999994</v>
      </c>
    </row>
    <row r="154" spans="1:31" x14ac:dyDescent="0.3">
      <c r="A154" s="4" t="s">
        <v>591</v>
      </c>
      <c r="B154" s="6">
        <v>45140</v>
      </c>
      <c r="C154" s="14">
        <v>45140</v>
      </c>
      <c r="D154" s="14" t="str">
        <f t="shared" si="24"/>
        <v>Q3 -2023</v>
      </c>
      <c r="E154" s="6">
        <v>45157</v>
      </c>
      <c r="F154" s="6">
        <f t="shared" si="25"/>
        <v>45157</v>
      </c>
      <c r="G154" s="12">
        <f t="shared" si="26"/>
        <v>17</v>
      </c>
      <c r="H154" s="12">
        <f t="shared" si="27"/>
        <v>0</v>
      </c>
      <c r="I154" s="4" t="s">
        <v>648</v>
      </c>
      <c r="J154" s="4" t="s">
        <v>653</v>
      </c>
      <c r="K154" s="4" t="s">
        <v>688</v>
      </c>
      <c r="L154" t="str">
        <f t="shared" si="28"/>
        <v>Americas&gt;Canada&gt;Vancouver</v>
      </c>
      <c r="M154" s="4" t="s">
        <v>701</v>
      </c>
      <c r="N154" s="4" t="s">
        <v>708</v>
      </c>
      <c r="O154" s="4" t="s">
        <v>721</v>
      </c>
      <c r="P154" s="4" t="s">
        <v>729</v>
      </c>
      <c r="Q154" s="4" t="s">
        <v>1309</v>
      </c>
      <c r="R154" s="8">
        <v>175.38</v>
      </c>
      <c r="S154" s="8">
        <v>347.9</v>
      </c>
      <c r="T154" s="8">
        <v>347.9</v>
      </c>
      <c r="U154" s="8" t="str">
        <f>IF(T154&lt;=_xlfn.PERCENTILE.INC($T154:$T$633,0.33), "Low", IF(T154&lt;=_xlfn.PERCENTILE.INC($T154:$T$633,0.66), "Medium", "High"))</f>
        <v>Low</v>
      </c>
      <c r="V154" s="10">
        <v>7.1999999999999995E-2</v>
      </c>
      <c r="W154" s="10">
        <f t="shared" si="29"/>
        <v>7.1999999999999995E-2</v>
      </c>
      <c r="X154" s="12">
        <v>43</v>
      </c>
      <c r="Y154" s="8">
        <f t="shared" si="22"/>
        <v>13882.6016</v>
      </c>
      <c r="Z154" s="8">
        <f t="shared" si="23"/>
        <v>7541.34</v>
      </c>
      <c r="AA154" s="8">
        <f t="shared" si="30"/>
        <v>6341.2615999999998</v>
      </c>
      <c r="AB154" s="10">
        <f t="shared" si="31"/>
        <v>0.45677761148169804</v>
      </c>
      <c r="AC154" s="14">
        <f>_xlfn.MINIFS($C$2:$C$633, $J$2:$J$633, J154)</f>
        <v>44928</v>
      </c>
      <c r="AD154">
        <f>DATEDIF(AC154, C154, "m")</f>
        <v>7</v>
      </c>
      <c r="AE154" s="8">
        <f t="shared" si="32"/>
        <v>322.85120000000001</v>
      </c>
    </row>
    <row r="155" spans="1:31" x14ac:dyDescent="0.3">
      <c r="A155" s="4" t="s">
        <v>294</v>
      </c>
      <c r="B155" s="6">
        <v>45092</v>
      </c>
      <c r="C155" s="14">
        <v>45092</v>
      </c>
      <c r="D155" s="14" t="str">
        <f t="shared" si="24"/>
        <v>Q2 -2023</v>
      </c>
      <c r="E155" s="6">
        <v>45100</v>
      </c>
      <c r="F155" s="6">
        <f t="shared" si="25"/>
        <v>45100</v>
      </c>
      <c r="G155" s="12">
        <f t="shared" si="26"/>
        <v>8</v>
      </c>
      <c r="H155" s="12">
        <f t="shared" si="27"/>
        <v>0</v>
      </c>
      <c r="I155" s="4" t="s">
        <v>648</v>
      </c>
      <c r="J155" s="4" t="s">
        <v>660</v>
      </c>
      <c r="K155" s="4" t="s">
        <v>686</v>
      </c>
      <c r="L155" t="str">
        <f t="shared" si="28"/>
        <v>Americas&gt;USA&gt;San Francisco</v>
      </c>
      <c r="M155" s="4" t="s">
        <v>704</v>
      </c>
      <c r="N155" s="4" t="s">
        <v>710</v>
      </c>
      <c r="O155" s="4" t="s">
        <v>719</v>
      </c>
      <c r="P155" s="4" t="s">
        <v>732</v>
      </c>
      <c r="Q155" s="4" t="s">
        <v>1014</v>
      </c>
      <c r="R155" s="8">
        <v>1097.0899999999999</v>
      </c>
      <c r="S155" s="8">
        <v>2182.31</v>
      </c>
      <c r="T155" s="8">
        <v>2182.31</v>
      </c>
      <c r="U155" s="8" t="str">
        <f>IF(T155&lt;=_xlfn.PERCENTILE.INC($T155:$T$633,0.33), "Low", IF(T155&lt;=_xlfn.PERCENTILE.INC($T155:$T$633,0.66), "Medium", "High"))</f>
        <v>High</v>
      </c>
      <c r="V155" s="10">
        <v>0.112</v>
      </c>
      <c r="W155" s="10">
        <f t="shared" si="29"/>
        <v>0.112</v>
      </c>
      <c r="X155" s="12">
        <v>9</v>
      </c>
      <c r="Y155" s="8">
        <f t="shared" si="22"/>
        <v>17441.021520000002</v>
      </c>
      <c r="Z155" s="8">
        <f t="shared" si="23"/>
        <v>9873.81</v>
      </c>
      <c r="AA155" s="8">
        <f t="shared" si="30"/>
        <v>7567.2115200000026</v>
      </c>
      <c r="AB155" s="10">
        <f t="shared" si="31"/>
        <v>0.43387432962699546</v>
      </c>
      <c r="AC155" s="14">
        <f>_xlfn.MINIFS($C$2:$C$633, $J$2:$J$633, J155)</f>
        <v>44939</v>
      </c>
      <c r="AD155">
        <f>DATEDIF(AC155, C155, "m")</f>
        <v>5</v>
      </c>
      <c r="AE155" s="8">
        <f t="shared" si="32"/>
        <v>1937.8912800000003</v>
      </c>
    </row>
    <row r="156" spans="1:31" x14ac:dyDescent="0.3">
      <c r="A156" s="4" t="s">
        <v>90</v>
      </c>
      <c r="B156" s="6">
        <v>45187</v>
      </c>
      <c r="C156" s="14">
        <v>45187</v>
      </c>
      <c r="D156" s="14" t="str">
        <f t="shared" si="24"/>
        <v>Q3 -2023</v>
      </c>
      <c r="E156" s="6">
        <v>45207</v>
      </c>
      <c r="F156" s="6">
        <f t="shared" si="25"/>
        <v>45207</v>
      </c>
      <c r="G156" s="12">
        <f t="shared" si="26"/>
        <v>20</v>
      </c>
      <c r="H156" s="12">
        <f t="shared" si="27"/>
        <v>0</v>
      </c>
      <c r="I156" s="4" t="s">
        <v>647</v>
      </c>
      <c r="J156" s="4" t="s">
        <v>654</v>
      </c>
      <c r="K156" s="4" t="s">
        <v>680</v>
      </c>
      <c r="L156" t="str">
        <f t="shared" si="28"/>
        <v>Asia&gt;India&gt;Delhi</v>
      </c>
      <c r="M156" s="4" t="s">
        <v>705</v>
      </c>
      <c r="N156" s="4" t="s">
        <v>711</v>
      </c>
      <c r="O156" s="4" t="s">
        <v>717</v>
      </c>
      <c r="P156" s="4" t="s">
        <v>727</v>
      </c>
      <c r="Q156" s="4" t="s">
        <v>809</v>
      </c>
      <c r="R156" s="8">
        <v>825.64</v>
      </c>
      <c r="S156" s="8">
        <v>1108.43</v>
      </c>
      <c r="T156" s="8">
        <v>1108.43</v>
      </c>
      <c r="U156" s="8" t="str">
        <f>IF(T156&lt;=_xlfn.PERCENTILE.INC($T156:$T$633,0.33), "Low", IF(T156&lt;=_xlfn.PERCENTILE.INC($T156:$T$633,0.66), "Medium", "High"))</f>
        <v>Medium</v>
      </c>
      <c r="V156" s="10">
        <v>0.114</v>
      </c>
      <c r="W156" s="10">
        <f t="shared" si="29"/>
        <v>0.114</v>
      </c>
      <c r="X156" s="12">
        <v>7</v>
      </c>
      <c r="Y156" s="8">
        <f t="shared" si="22"/>
        <v>6874.4828600000001</v>
      </c>
      <c r="Z156" s="8">
        <f t="shared" si="23"/>
        <v>5779.48</v>
      </c>
      <c r="AA156" s="8">
        <f t="shared" si="30"/>
        <v>1095.0028600000005</v>
      </c>
      <c r="AB156" s="10">
        <f t="shared" si="31"/>
        <v>0.15928512475773349</v>
      </c>
      <c r="AC156" s="14">
        <f>_xlfn.MINIFS($C$2:$C$633, $J$2:$J$633, J156)</f>
        <v>44955</v>
      </c>
      <c r="AD156">
        <f>DATEDIF(AC156, C156, "m")</f>
        <v>7</v>
      </c>
      <c r="AE156" s="8">
        <f t="shared" si="32"/>
        <v>982.06898000000001</v>
      </c>
    </row>
    <row r="157" spans="1:31" x14ac:dyDescent="0.3">
      <c r="A157" s="4" t="s">
        <v>20</v>
      </c>
      <c r="B157" s="6">
        <v>44928</v>
      </c>
      <c r="C157" s="14">
        <v>44928</v>
      </c>
      <c r="D157" s="14" t="str">
        <f t="shared" si="24"/>
        <v>Q1 -2023</v>
      </c>
      <c r="E157" s="6">
        <v>44931</v>
      </c>
      <c r="F157" s="6">
        <f t="shared" si="25"/>
        <v>44931</v>
      </c>
      <c r="G157" s="12">
        <f t="shared" si="26"/>
        <v>3</v>
      </c>
      <c r="H157" s="12">
        <f t="shared" si="27"/>
        <v>1</v>
      </c>
      <c r="I157" s="4" t="s">
        <v>648</v>
      </c>
      <c r="J157" s="4" t="s">
        <v>653</v>
      </c>
      <c r="K157" s="4" t="s">
        <v>667</v>
      </c>
      <c r="L157" t="str">
        <f t="shared" si="28"/>
        <v>Americas&gt;Canada&gt;Toronto</v>
      </c>
      <c r="M157" s="4" t="s">
        <v>701</v>
      </c>
      <c r="N157" s="4" t="s">
        <v>710</v>
      </c>
      <c r="O157" s="4" t="s">
        <v>717</v>
      </c>
      <c r="P157" s="4" t="s">
        <v>731</v>
      </c>
      <c r="Q157" s="4" t="s">
        <v>739</v>
      </c>
      <c r="R157" s="8">
        <v>315.87</v>
      </c>
      <c r="S157" s="8">
        <v>591.67999999999995</v>
      </c>
      <c r="T157" s="8">
        <v>591.67999999999995</v>
      </c>
      <c r="U157" s="8" t="str">
        <f>IF(T157&lt;=_xlfn.PERCENTILE.INC($T157:$T$633,0.33), "Low", IF(T157&lt;=_xlfn.PERCENTILE.INC($T157:$T$633,0.66), "Medium", "High"))</f>
        <v>Low</v>
      </c>
      <c r="V157" s="10">
        <v>0</v>
      </c>
      <c r="W157" s="10">
        <f t="shared" si="29"/>
        <v>0</v>
      </c>
      <c r="X157" s="12">
        <v>7</v>
      </c>
      <c r="Y157" s="8">
        <f t="shared" si="22"/>
        <v>4141.7599999999993</v>
      </c>
      <c r="Z157" s="8">
        <f t="shared" si="23"/>
        <v>2211.09</v>
      </c>
      <c r="AA157" s="8">
        <f t="shared" si="30"/>
        <v>1930.6699999999992</v>
      </c>
      <c r="AB157" s="10">
        <f t="shared" si="31"/>
        <v>0.46614724175229844</v>
      </c>
      <c r="AC157" s="14">
        <f>_xlfn.MINIFS($C$2:$C$633, $J$2:$J$633, J157)</f>
        <v>44928</v>
      </c>
      <c r="AD157">
        <f>DATEDIF(AC157, C157, "m")</f>
        <v>0</v>
      </c>
      <c r="AE157" s="8">
        <f t="shared" si="32"/>
        <v>591.67999999999995</v>
      </c>
    </row>
    <row r="158" spans="1:31" x14ac:dyDescent="0.3">
      <c r="A158" s="4" t="s">
        <v>604</v>
      </c>
      <c r="B158" s="6">
        <v>45019</v>
      </c>
      <c r="C158" s="14">
        <v>45019</v>
      </c>
      <c r="D158" s="14" t="str">
        <f t="shared" si="24"/>
        <v>Q2 -2023</v>
      </c>
      <c r="E158" s="6">
        <v>45032</v>
      </c>
      <c r="F158" s="6">
        <f t="shared" si="25"/>
        <v>45032</v>
      </c>
      <c r="G158" s="12">
        <f t="shared" si="26"/>
        <v>13</v>
      </c>
      <c r="H158" s="12">
        <f t="shared" si="27"/>
        <v>0</v>
      </c>
      <c r="I158" s="4" t="s">
        <v>649</v>
      </c>
      <c r="J158" s="4" t="s">
        <v>657</v>
      </c>
      <c r="K158" s="4" t="s">
        <v>673</v>
      </c>
      <c r="L158" t="str">
        <f t="shared" si="28"/>
        <v>Europe&gt;France&gt;Marseille</v>
      </c>
      <c r="M158" s="4" t="s">
        <v>703</v>
      </c>
      <c r="N158" s="4" t="s">
        <v>709</v>
      </c>
      <c r="O158" s="4" t="s">
        <v>724</v>
      </c>
      <c r="P158" s="4" t="s">
        <v>733</v>
      </c>
      <c r="Q158" s="4" t="s">
        <v>1322</v>
      </c>
      <c r="R158" s="8">
        <v>790.54</v>
      </c>
      <c r="S158" s="8">
        <v>601.49</v>
      </c>
      <c r="T158" s="8">
        <v>601.49</v>
      </c>
      <c r="U158" s="8" t="str">
        <f>IF(T158&lt;=_xlfn.PERCENTILE.INC($T158:$T$633,0.33), "Low", IF(T158&lt;=_xlfn.PERCENTILE.INC($T158:$T$633,0.66), "Medium", "High"))</f>
        <v>Low</v>
      </c>
      <c r="V158" s="10">
        <v>0</v>
      </c>
      <c r="W158" s="10">
        <f t="shared" si="29"/>
        <v>0</v>
      </c>
      <c r="X158" s="12">
        <v>15</v>
      </c>
      <c r="Y158" s="8">
        <f t="shared" si="22"/>
        <v>9022.35</v>
      </c>
      <c r="Z158" s="8">
        <f t="shared" si="23"/>
        <v>11858.099999999999</v>
      </c>
      <c r="AA158" s="8">
        <f t="shared" si="30"/>
        <v>-2835.7499999999982</v>
      </c>
      <c r="AB158" s="10">
        <f t="shared" si="31"/>
        <v>-0.31430281467688553</v>
      </c>
      <c r="AC158" s="14">
        <f>_xlfn.MINIFS($C$2:$C$633, $J$2:$J$633, J158)</f>
        <v>44936</v>
      </c>
      <c r="AD158">
        <f>DATEDIF(AC158, C158, "m")</f>
        <v>2</v>
      </c>
      <c r="AE158" s="8">
        <f t="shared" si="32"/>
        <v>601.49</v>
      </c>
    </row>
    <row r="159" spans="1:31" x14ac:dyDescent="0.3">
      <c r="A159" s="4" t="s">
        <v>481</v>
      </c>
      <c r="B159" s="6">
        <v>45278</v>
      </c>
      <c r="C159" s="14">
        <v>45278</v>
      </c>
      <c r="D159" s="14" t="str">
        <f t="shared" si="24"/>
        <v>Q4 -2023</v>
      </c>
      <c r="E159" s="6">
        <v>45305</v>
      </c>
      <c r="F159" s="6">
        <f t="shared" si="25"/>
        <v>45305</v>
      </c>
      <c r="G159" s="12">
        <f t="shared" si="26"/>
        <v>27</v>
      </c>
      <c r="H159" s="12">
        <f t="shared" si="27"/>
        <v>0</v>
      </c>
      <c r="I159" s="4" t="s">
        <v>647</v>
      </c>
      <c r="J159" s="4" t="s">
        <v>654</v>
      </c>
      <c r="K159" s="4" t="s">
        <v>691</v>
      </c>
      <c r="L159" t="str">
        <f t="shared" si="28"/>
        <v>Asia&gt;India&gt;Mumbai</v>
      </c>
      <c r="M159" s="4" t="s">
        <v>704</v>
      </c>
      <c r="N159" s="4" t="s">
        <v>710</v>
      </c>
      <c r="O159" s="4" t="s">
        <v>726</v>
      </c>
      <c r="P159" s="4" t="s">
        <v>729</v>
      </c>
      <c r="Q159" s="4" t="s">
        <v>1200</v>
      </c>
      <c r="R159" s="8">
        <v>1408.3</v>
      </c>
      <c r="S159" s="8">
        <v>2193.13</v>
      </c>
      <c r="T159" s="8">
        <v>2193.13</v>
      </c>
      <c r="U159" s="8" t="str">
        <f>IF(T159&lt;=_xlfn.PERCENTILE.INC($T159:$T$633,0.33), "Low", IF(T159&lt;=_xlfn.PERCENTILE.INC($T159:$T$633,0.66), "Medium", "High"))</f>
        <v>High</v>
      </c>
      <c r="V159" s="10">
        <v>7.0999999999999994E-2</v>
      </c>
      <c r="W159" s="10">
        <f t="shared" si="29"/>
        <v>7.0999999999999994E-2</v>
      </c>
      <c r="X159" s="12">
        <v>7</v>
      </c>
      <c r="Y159" s="8">
        <f t="shared" si="22"/>
        <v>14261.92439</v>
      </c>
      <c r="Z159" s="8">
        <f t="shared" si="23"/>
        <v>9858.1</v>
      </c>
      <c r="AA159" s="8">
        <f t="shared" si="30"/>
        <v>4403.8243899999998</v>
      </c>
      <c r="AB159" s="10">
        <f t="shared" si="31"/>
        <v>0.30878191957656281</v>
      </c>
      <c r="AC159" s="14">
        <f>_xlfn.MINIFS($C$2:$C$633, $J$2:$J$633, J159)</f>
        <v>44955</v>
      </c>
      <c r="AD159">
        <f>DATEDIF(AC159, C159, "m")</f>
        <v>10</v>
      </c>
      <c r="AE159" s="8">
        <f t="shared" si="32"/>
        <v>2037.41777</v>
      </c>
    </row>
    <row r="160" spans="1:31" x14ac:dyDescent="0.3">
      <c r="A160" s="4" t="s">
        <v>427</v>
      </c>
      <c r="B160" s="6">
        <v>45163</v>
      </c>
      <c r="C160" s="14">
        <v>45163</v>
      </c>
      <c r="D160" s="14" t="str">
        <f t="shared" si="24"/>
        <v>Q3 -2023</v>
      </c>
      <c r="E160" s="6">
        <v>45185</v>
      </c>
      <c r="F160" s="6">
        <f t="shared" si="25"/>
        <v>45185</v>
      </c>
      <c r="G160" s="12">
        <f t="shared" si="26"/>
        <v>22</v>
      </c>
      <c r="H160" s="12">
        <f t="shared" si="27"/>
        <v>0</v>
      </c>
      <c r="I160" s="4" t="s">
        <v>646</v>
      </c>
      <c r="J160" s="4" t="s">
        <v>651</v>
      </c>
      <c r="K160" s="4" t="s">
        <v>669</v>
      </c>
      <c r="L160" t="str">
        <f t="shared" si="28"/>
        <v>Africa&gt;Nigeria&gt;Abuja</v>
      </c>
      <c r="M160" s="4" t="s">
        <v>701</v>
      </c>
      <c r="N160" s="4" t="s">
        <v>709</v>
      </c>
      <c r="O160" s="4" t="s">
        <v>716</v>
      </c>
      <c r="P160" s="4" t="s">
        <v>730</v>
      </c>
      <c r="Q160" s="4" t="s">
        <v>1146</v>
      </c>
      <c r="R160" s="8">
        <v>1196.83</v>
      </c>
      <c r="S160" s="8">
        <v>2513.5100000000002</v>
      </c>
      <c r="T160" s="8">
        <v>2513.5100000000002</v>
      </c>
      <c r="U160" s="8" t="str">
        <f>IF(T160&lt;=_xlfn.PERCENTILE.INC($T160:$T$633,0.33), "Low", IF(T160&lt;=_xlfn.PERCENTILE.INC($T160:$T$633,0.66), "Medium", "High"))</f>
        <v>High</v>
      </c>
      <c r="V160" s="10">
        <v>8.3000000000000004E-2</v>
      </c>
      <c r="W160" s="10">
        <f t="shared" si="29"/>
        <v>8.3000000000000004E-2</v>
      </c>
      <c r="X160" s="12">
        <v>7</v>
      </c>
      <c r="Y160" s="8">
        <f t="shared" si="22"/>
        <v>16134.22069</v>
      </c>
      <c r="Z160" s="8">
        <f t="shared" si="23"/>
        <v>8377.81</v>
      </c>
      <c r="AA160" s="8">
        <f t="shared" si="30"/>
        <v>7756.4106900000006</v>
      </c>
      <c r="AB160" s="10">
        <f t="shared" si="31"/>
        <v>0.48074281609445374</v>
      </c>
      <c r="AC160" s="14">
        <f>_xlfn.MINIFS($C$2:$C$633, $J$2:$J$633, J160)</f>
        <v>44941</v>
      </c>
      <c r="AD160">
        <f>DATEDIF(AC160, C160, "m")</f>
        <v>7</v>
      </c>
      <c r="AE160" s="8">
        <f t="shared" si="32"/>
        <v>2304.8886699999998</v>
      </c>
    </row>
    <row r="161" spans="1:31" x14ac:dyDescent="0.3">
      <c r="A161" s="4" t="s">
        <v>364</v>
      </c>
      <c r="B161" s="6">
        <v>44980</v>
      </c>
      <c r="C161" s="14">
        <v>44980</v>
      </c>
      <c r="D161" s="14" t="str">
        <f t="shared" si="24"/>
        <v>Q1 -2023</v>
      </c>
      <c r="E161" s="6">
        <v>44993</v>
      </c>
      <c r="F161" s="6">
        <f t="shared" si="25"/>
        <v>44993</v>
      </c>
      <c r="G161" s="12">
        <f t="shared" si="26"/>
        <v>13</v>
      </c>
      <c r="H161" s="12">
        <f t="shared" si="27"/>
        <v>0</v>
      </c>
      <c r="I161" s="4" t="s">
        <v>649</v>
      </c>
      <c r="J161" s="4" t="s">
        <v>658</v>
      </c>
      <c r="K161" s="4" t="s">
        <v>693</v>
      </c>
      <c r="L161" t="str">
        <f t="shared" si="28"/>
        <v>Europe&gt;United Kingdom&gt;Manchester</v>
      </c>
      <c r="M161" s="4" t="s">
        <v>705</v>
      </c>
      <c r="N161" s="4" t="s">
        <v>711</v>
      </c>
      <c r="O161" s="4" t="s">
        <v>712</v>
      </c>
      <c r="P161" s="4" t="s">
        <v>728</v>
      </c>
      <c r="Q161" s="4" t="s">
        <v>1084</v>
      </c>
      <c r="R161" s="8">
        <v>307.37</v>
      </c>
      <c r="S161" s="8">
        <v>462.61</v>
      </c>
      <c r="T161" s="8">
        <v>462.61</v>
      </c>
      <c r="U161" s="8" t="str">
        <f>IF(T161&lt;=_xlfn.PERCENTILE.INC($T161:$T$633,0.33), "Low", IF(T161&lt;=_xlfn.PERCENTILE.INC($T161:$T$633,0.66), "Medium", "High"))</f>
        <v>Low</v>
      </c>
      <c r="V161" s="10">
        <v>0.188</v>
      </c>
      <c r="W161" s="10">
        <f t="shared" si="29"/>
        <v>0.188</v>
      </c>
      <c r="X161" s="12">
        <v>11</v>
      </c>
      <c r="Y161" s="8">
        <f t="shared" si="22"/>
        <v>4132.0325200000007</v>
      </c>
      <c r="Z161" s="8">
        <f t="shared" si="23"/>
        <v>3381.07</v>
      </c>
      <c r="AA161" s="8">
        <f t="shared" si="30"/>
        <v>750.9625200000005</v>
      </c>
      <c r="AB161" s="10">
        <f t="shared" si="31"/>
        <v>0.18174167709599739</v>
      </c>
      <c r="AC161" s="14">
        <f>_xlfn.MINIFS($C$2:$C$633, $J$2:$J$633, J161)</f>
        <v>44945</v>
      </c>
      <c r="AD161">
        <f>DATEDIF(AC161, C161, "m")</f>
        <v>1</v>
      </c>
      <c r="AE161" s="8">
        <f t="shared" si="32"/>
        <v>375.63932000000005</v>
      </c>
    </row>
    <row r="162" spans="1:31" x14ac:dyDescent="0.3">
      <c r="A162" s="4" t="s">
        <v>516</v>
      </c>
      <c r="B162" s="6">
        <v>44980</v>
      </c>
      <c r="C162" s="14">
        <v>44980</v>
      </c>
      <c r="D162" s="14" t="str">
        <f t="shared" si="24"/>
        <v>Q1 -2023</v>
      </c>
      <c r="E162" s="6">
        <v>45003</v>
      </c>
      <c r="F162" s="6">
        <f t="shared" si="25"/>
        <v>45003</v>
      </c>
      <c r="G162" s="12">
        <f t="shared" si="26"/>
        <v>23</v>
      </c>
      <c r="H162" s="12">
        <f t="shared" si="27"/>
        <v>0</v>
      </c>
      <c r="I162" s="4" t="s">
        <v>647</v>
      </c>
      <c r="J162" s="4" t="s">
        <v>659</v>
      </c>
      <c r="K162" s="4" t="s">
        <v>699</v>
      </c>
      <c r="L162" t="str">
        <f t="shared" si="28"/>
        <v>Asia&gt;China&gt;Beijing</v>
      </c>
      <c r="M162" s="4" t="s">
        <v>702</v>
      </c>
      <c r="N162" s="4" t="s">
        <v>710</v>
      </c>
      <c r="O162" s="4" t="s">
        <v>723</v>
      </c>
      <c r="P162" s="4" t="s">
        <v>728</v>
      </c>
      <c r="Q162" s="4" t="s">
        <v>1235</v>
      </c>
      <c r="R162" s="8">
        <v>770.11</v>
      </c>
      <c r="S162" s="8">
        <v>1667.82</v>
      </c>
      <c r="T162" s="8">
        <v>1667.82</v>
      </c>
      <c r="U162" s="8" t="str">
        <f>IF(T162&lt;=_xlfn.PERCENTILE.INC($T162:$T$633,0.33), "Low", IF(T162&lt;=_xlfn.PERCENTILE.INC($T162:$T$633,0.66), "Medium", "High"))</f>
        <v>High</v>
      </c>
      <c r="V162" s="10">
        <v>6.9000000000000006E-2</v>
      </c>
      <c r="W162" s="10">
        <f t="shared" si="29"/>
        <v>6.9000000000000006E-2</v>
      </c>
      <c r="X162" s="12">
        <v>7</v>
      </c>
      <c r="Y162" s="8">
        <f t="shared" si="22"/>
        <v>10869.182940000001</v>
      </c>
      <c r="Z162" s="8">
        <f t="shared" si="23"/>
        <v>5390.77</v>
      </c>
      <c r="AA162" s="8">
        <f t="shared" si="30"/>
        <v>5478.4129400000002</v>
      </c>
      <c r="AB162" s="10">
        <f t="shared" si="31"/>
        <v>0.50403171703355287</v>
      </c>
      <c r="AC162" s="14">
        <f>_xlfn.MINIFS($C$2:$C$633, $J$2:$J$633, J162)</f>
        <v>44938</v>
      </c>
      <c r="AD162">
        <f>DATEDIF(AC162, C162, "m")</f>
        <v>1</v>
      </c>
      <c r="AE162" s="8">
        <f t="shared" si="32"/>
        <v>1552.7404200000001</v>
      </c>
    </row>
    <row r="163" spans="1:31" x14ac:dyDescent="0.3">
      <c r="A163" s="4" t="s">
        <v>258</v>
      </c>
      <c r="B163" s="6">
        <v>45035</v>
      </c>
      <c r="C163" s="14">
        <v>45035</v>
      </c>
      <c r="D163" s="14" t="str">
        <f t="shared" si="24"/>
        <v>Q2 -2023</v>
      </c>
      <c r="E163" s="6">
        <v>45044</v>
      </c>
      <c r="F163" s="6">
        <f t="shared" si="25"/>
        <v>45044</v>
      </c>
      <c r="G163" s="12">
        <f t="shared" si="26"/>
        <v>9</v>
      </c>
      <c r="H163" s="12">
        <f t="shared" si="27"/>
        <v>0</v>
      </c>
      <c r="I163" s="4" t="s">
        <v>648</v>
      </c>
      <c r="J163" s="4" t="s">
        <v>655</v>
      </c>
      <c r="K163" s="4" t="s">
        <v>692</v>
      </c>
      <c r="L163" t="str">
        <f t="shared" si="28"/>
        <v>Americas&gt;Brazil&gt;Rio de Janeiro</v>
      </c>
      <c r="M163" s="4" t="s">
        <v>701</v>
      </c>
      <c r="N163" s="4" t="s">
        <v>710</v>
      </c>
      <c r="O163" s="4" t="s">
        <v>724</v>
      </c>
      <c r="P163" s="4" t="s">
        <v>730</v>
      </c>
      <c r="Q163" s="4" t="s">
        <v>978</v>
      </c>
      <c r="R163" s="8">
        <v>1013.54</v>
      </c>
      <c r="S163" s="8">
        <v>927.93</v>
      </c>
      <c r="T163" s="8">
        <v>927.93</v>
      </c>
      <c r="U163" s="8" t="str">
        <f>IF(T163&lt;=_xlfn.PERCENTILE.INC($T163:$T$633,0.33), "Low", IF(T163&lt;=_xlfn.PERCENTILE.INC($T163:$T$633,0.66), "Medium", "High"))</f>
        <v>Medium</v>
      </c>
      <c r="V163" s="10">
        <v>0.17499999999999999</v>
      </c>
      <c r="W163" s="10">
        <f t="shared" si="29"/>
        <v>0.17499999999999999</v>
      </c>
      <c r="X163" s="12">
        <v>16</v>
      </c>
      <c r="Y163" s="8">
        <f t="shared" si="22"/>
        <v>12248.675999999999</v>
      </c>
      <c r="Z163" s="8">
        <f t="shared" si="23"/>
        <v>16216.64</v>
      </c>
      <c r="AA163" s="8">
        <f t="shared" si="30"/>
        <v>-3967.9639999999999</v>
      </c>
      <c r="AB163" s="10">
        <f t="shared" si="31"/>
        <v>-0.32395044166406234</v>
      </c>
      <c r="AC163" s="14">
        <f>_xlfn.MINIFS($C$2:$C$633, $J$2:$J$633, J163)</f>
        <v>44955</v>
      </c>
      <c r="AD163">
        <f>DATEDIF(AC163, C163, "m")</f>
        <v>2</v>
      </c>
      <c r="AE163" s="8">
        <f t="shared" si="32"/>
        <v>765.54224999999997</v>
      </c>
    </row>
    <row r="164" spans="1:31" x14ac:dyDescent="0.3">
      <c r="A164" s="4" t="s">
        <v>83</v>
      </c>
      <c r="B164" s="6">
        <v>45157</v>
      </c>
      <c r="C164" s="14">
        <v>45157</v>
      </c>
      <c r="D164" s="14" t="str">
        <f t="shared" si="24"/>
        <v>Q3 -2023</v>
      </c>
      <c r="E164" s="6">
        <v>45176</v>
      </c>
      <c r="F164" s="6">
        <f t="shared" si="25"/>
        <v>45176</v>
      </c>
      <c r="G164" s="12">
        <f t="shared" si="26"/>
        <v>19</v>
      </c>
      <c r="H164" s="12">
        <f t="shared" si="27"/>
        <v>0</v>
      </c>
      <c r="I164" s="4" t="s">
        <v>646</v>
      </c>
      <c r="J164" s="4" t="s">
        <v>661</v>
      </c>
      <c r="K164" s="4" t="s">
        <v>682</v>
      </c>
      <c r="L164" t="str">
        <f t="shared" si="28"/>
        <v>Africa&gt;South Africa&gt;Johannesburg</v>
      </c>
      <c r="M164" s="4" t="s">
        <v>706</v>
      </c>
      <c r="N164" s="4" t="s">
        <v>707</v>
      </c>
      <c r="O164" s="4" t="s">
        <v>726</v>
      </c>
      <c r="P164" s="4" t="s">
        <v>732</v>
      </c>
      <c r="Q164" s="4" t="s">
        <v>802</v>
      </c>
      <c r="R164" s="8">
        <v>494.61</v>
      </c>
      <c r="S164" s="8">
        <v>605.23</v>
      </c>
      <c r="T164" s="8">
        <v>605.23</v>
      </c>
      <c r="U164" s="8" t="str">
        <f>IF(T164&lt;=_xlfn.PERCENTILE.INC($T164:$T$633,0.33), "Low", IF(T164&lt;=_xlfn.PERCENTILE.INC($T164:$T$633,0.66), "Medium", "High"))</f>
        <v>Low</v>
      </c>
      <c r="V164" s="10">
        <v>0.20399999999999999</v>
      </c>
      <c r="W164" s="10">
        <f t="shared" si="29"/>
        <v>0.20399999999999999</v>
      </c>
      <c r="X164" s="12">
        <v>18</v>
      </c>
      <c r="Y164" s="8">
        <f t="shared" si="22"/>
        <v>8671.7354400000004</v>
      </c>
      <c r="Z164" s="8">
        <f t="shared" si="23"/>
        <v>8902.98</v>
      </c>
      <c r="AA164" s="8">
        <f t="shared" si="30"/>
        <v>-231.24455999999918</v>
      </c>
      <c r="AB164" s="10">
        <f t="shared" si="31"/>
        <v>-2.6666468505639647E-2</v>
      </c>
      <c r="AC164" s="14">
        <f>_xlfn.MINIFS($C$2:$C$633, $J$2:$J$633, J164)</f>
        <v>44933</v>
      </c>
      <c r="AD164">
        <f>DATEDIF(AC164, C164, "m")</f>
        <v>7</v>
      </c>
      <c r="AE164" s="8">
        <f t="shared" si="32"/>
        <v>481.76308</v>
      </c>
    </row>
    <row r="165" spans="1:31" x14ac:dyDescent="0.3">
      <c r="A165" s="4" t="s">
        <v>451</v>
      </c>
      <c r="B165" s="6">
        <v>45037</v>
      </c>
      <c r="C165" s="14">
        <v>45037</v>
      </c>
      <c r="D165" s="14" t="str">
        <f t="shared" si="24"/>
        <v>Q2 -2023</v>
      </c>
      <c r="E165" s="6">
        <v>45035</v>
      </c>
      <c r="F165" s="6">
        <f t="shared" si="25"/>
        <v>45042</v>
      </c>
      <c r="G165" s="12">
        <f t="shared" si="26"/>
        <v>5</v>
      </c>
      <c r="H165" s="12">
        <f t="shared" si="27"/>
        <v>1</v>
      </c>
      <c r="I165" s="4" t="s">
        <v>647</v>
      </c>
      <c r="J165" s="4" t="s">
        <v>652</v>
      </c>
      <c r="K165" s="4" t="s">
        <v>694</v>
      </c>
      <c r="L165" t="str">
        <f t="shared" si="28"/>
        <v>Asia&gt;Japan&gt;Nagoya</v>
      </c>
      <c r="M165" s="4" t="s">
        <v>705</v>
      </c>
      <c r="N165" s="4" t="s">
        <v>711</v>
      </c>
      <c r="O165" s="4" t="s">
        <v>724</v>
      </c>
      <c r="P165" s="4" t="s">
        <v>727</v>
      </c>
      <c r="Q165" s="4" t="s">
        <v>1170</v>
      </c>
      <c r="R165" s="8">
        <v>607.04</v>
      </c>
      <c r="S165" s="8">
        <v>1229.3399999999999</v>
      </c>
      <c r="T165" s="8">
        <v>1229.3399999999999</v>
      </c>
      <c r="U165" s="8" t="str">
        <f>IF(T165&lt;=_xlfn.PERCENTILE.INC($T165:$T$633,0.33), "Low", IF(T165&lt;=_xlfn.PERCENTILE.INC($T165:$T$633,0.66), "Medium", "High"))</f>
        <v>Medium</v>
      </c>
      <c r="V165" s="10">
        <v>0.14699999999999999</v>
      </c>
      <c r="W165" s="10">
        <f t="shared" si="29"/>
        <v>0.14699999999999999</v>
      </c>
      <c r="X165" s="12">
        <v>7</v>
      </c>
      <c r="Y165" s="8">
        <f t="shared" si="22"/>
        <v>7340.3891399999993</v>
      </c>
      <c r="Z165" s="8">
        <f t="shared" si="23"/>
        <v>4249.28</v>
      </c>
      <c r="AA165" s="8">
        <f t="shared" si="30"/>
        <v>3091.1091399999996</v>
      </c>
      <c r="AB165" s="10">
        <f t="shared" si="31"/>
        <v>0.42110970972310058</v>
      </c>
      <c r="AC165" s="14">
        <f>_xlfn.MINIFS($C$2:$C$633, $J$2:$J$633, J165)</f>
        <v>44988</v>
      </c>
      <c r="AD165">
        <f>DATEDIF(AC165, C165, "m")</f>
        <v>1</v>
      </c>
      <c r="AE165" s="8">
        <f t="shared" si="32"/>
        <v>1048.6270199999999</v>
      </c>
    </row>
    <row r="166" spans="1:31" x14ac:dyDescent="0.3">
      <c r="A166" s="4" t="s">
        <v>634</v>
      </c>
      <c r="B166" s="6">
        <v>45177</v>
      </c>
      <c r="C166" s="14">
        <v>45177</v>
      </c>
      <c r="D166" s="14" t="str">
        <f t="shared" si="24"/>
        <v>Q3 -2023</v>
      </c>
      <c r="E166" s="6">
        <v>45183</v>
      </c>
      <c r="F166" s="6">
        <f t="shared" si="25"/>
        <v>45183</v>
      </c>
      <c r="G166" s="12">
        <f t="shared" si="26"/>
        <v>6</v>
      </c>
      <c r="H166" s="12">
        <f t="shared" si="27"/>
        <v>1</v>
      </c>
      <c r="I166" s="4" t="s">
        <v>646</v>
      </c>
      <c r="J166" s="4" t="s">
        <v>650</v>
      </c>
      <c r="K166" s="4" t="s">
        <v>678</v>
      </c>
      <c r="L166" t="str">
        <f t="shared" si="28"/>
        <v>Africa&gt;Kenya&gt;Nakuru</v>
      </c>
      <c r="M166" s="4" t="s">
        <v>702</v>
      </c>
      <c r="N166" s="4" t="s">
        <v>711</v>
      </c>
      <c r="O166" s="4" t="s">
        <v>714</v>
      </c>
      <c r="P166" s="4" t="s">
        <v>733</v>
      </c>
      <c r="Q166" s="4" t="s">
        <v>1352</v>
      </c>
      <c r="R166" s="8">
        <v>251.03</v>
      </c>
      <c r="S166" s="8">
        <v>411.48</v>
      </c>
      <c r="T166" s="8">
        <v>411.48</v>
      </c>
      <c r="U166" s="8" t="str">
        <f>IF(T166&lt;=_xlfn.PERCENTILE.INC($T166:$T$633,0.33), "Low", IF(T166&lt;=_xlfn.PERCENTILE.INC($T166:$T$633,0.66), "Medium", "High"))</f>
        <v>Low</v>
      </c>
      <c r="V166" s="10">
        <v>0.16500000000000001</v>
      </c>
      <c r="W166" s="10">
        <f t="shared" si="29"/>
        <v>0.16500000000000001</v>
      </c>
      <c r="X166" s="12">
        <v>3</v>
      </c>
      <c r="Y166" s="8">
        <f t="shared" si="22"/>
        <v>1030.7574</v>
      </c>
      <c r="Z166" s="8">
        <f t="shared" si="23"/>
        <v>753.09</v>
      </c>
      <c r="AA166" s="8">
        <f t="shared" si="30"/>
        <v>277.66739999999993</v>
      </c>
      <c r="AB166" s="10">
        <f t="shared" si="31"/>
        <v>0.26938191275658069</v>
      </c>
      <c r="AC166" s="14">
        <f>_xlfn.MINIFS($C$2:$C$633, $J$2:$J$633, J166)</f>
        <v>44946</v>
      </c>
      <c r="AD166">
        <f>DATEDIF(AC166, C166, "m")</f>
        <v>7</v>
      </c>
      <c r="AE166" s="8">
        <f t="shared" si="32"/>
        <v>343.58580000000001</v>
      </c>
    </row>
    <row r="167" spans="1:31" x14ac:dyDescent="0.3">
      <c r="A167" s="4" t="s">
        <v>355</v>
      </c>
      <c r="B167" s="6">
        <v>45029</v>
      </c>
      <c r="C167" s="14">
        <v>45029</v>
      </c>
      <c r="D167" s="14" t="str">
        <f t="shared" si="24"/>
        <v>Q2 -2023</v>
      </c>
      <c r="E167" s="6">
        <v>45027</v>
      </c>
      <c r="F167" s="6">
        <f t="shared" si="25"/>
        <v>45034</v>
      </c>
      <c r="G167" s="12">
        <f t="shared" si="26"/>
        <v>5</v>
      </c>
      <c r="H167" s="12">
        <f t="shared" si="27"/>
        <v>1</v>
      </c>
      <c r="I167" s="4" t="s">
        <v>648</v>
      </c>
      <c r="J167" s="4" t="s">
        <v>660</v>
      </c>
      <c r="K167" s="4" t="s">
        <v>686</v>
      </c>
      <c r="L167" t="str">
        <f t="shared" si="28"/>
        <v>Americas&gt;USA&gt;San Francisco</v>
      </c>
      <c r="M167" s="4" t="s">
        <v>702</v>
      </c>
      <c r="N167" s="4" t="s">
        <v>709</v>
      </c>
      <c r="O167" s="4" t="s">
        <v>715</v>
      </c>
      <c r="P167" s="4" t="s">
        <v>729</v>
      </c>
      <c r="Q167" s="4" t="s">
        <v>1075</v>
      </c>
      <c r="R167" s="8">
        <v>32.1</v>
      </c>
      <c r="S167" s="8">
        <v>70.599999999999994</v>
      </c>
      <c r="T167" s="8">
        <v>70.599999999999994</v>
      </c>
      <c r="U167" s="8" t="str">
        <f>IF(T167&lt;=_xlfn.PERCENTILE.INC($T167:$T$633,0.33), "Low", IF(T167&lt;=_xlfn.PERCENTILE.INC($T167:$T$633,0.66), "Medium", "High"))</f>
        <v>Low</v>
      </c>
      <c r="V167" s="10">
        <v>0.28199999999999997</v>
      </c>
      <c r="W167" s="10">
        <f t="shared" si="29"/>
        <v>0.28199999999999997</v>
      </c>
      <c r="X167" s="12">
        <v>22</v>
      </c>
      <c r="Y167" s="8">
        <f t="shared" si="22"/>
        <v>1115.1975999999997</v>
      </c>
      <c r="Z167" s="8">
        <f t="shared" si="23"/>
        <v>706.2</v>
      </c>
      <c r="AA167" s="8">
        <f t="shared" si="30"/>
        <v>408.99759999999969</v>
      </c>
      <c r="AB167" s="10">
        <f t="shared" si="31"/>
        <v>0.36674899587301818</v>
      </c>
      <c r="AC167" s="14">
        <f>_xlfn.MINIFS($C$2:$C$633, $J$2:$J$633, J167)</f>
        <v>44939</v>
      </c>
      <c r="AD167">
        <f>DATEDIF(AC167, C167, "m")</f>
        <v>3</v>
      </c>
      <c r="AE167" s="8">
        <f t="shared" si="32"/>
        <v>50.690799999999989</v>
      </c>
    </row>
    <row r="168" spans="1:31" x14ac:dyDescent="0.3">
      <c r="A168" s="4" t="s">
        <v>459</v>
      </c>
      <c r="B168" s="6">
        <v>45090</v>
      </c>
      <c r="C168" s="14">
        <v>45090</v>
      </c>
      <c r="D168" s="14" t="str">
        <f t="shared" si="24"/>
        <v>Q2 -2023</v>
      </c>
      <c r="E168" s="6">
        <v>45101</v>
      </c>
      <c r="F168" s="6">
        <f t="shared" si="25"/>
        <v>45101</v>
      </c>
      <c r="G168" s="12">
        <f t="shared" si="26"/>
        <v>11</v>
      </c>
      <c r="H168" s="12">
        <f t="shared" si="27"/>
        <v>0</v>
      </c>
      <c r="I168" s="4" t="s">
        <v>648</v>
      </c>
      <c r="J168" s="4" t="s">
        <v>653</v>
      </c>
      <c r="K168" s="4" t="s">
        <v>667</v>
      </c>
      <c r="L168" t="str">
        <f t="shared" si="28"/>
        <v>Americas&gt;Canada&gt;Toronto</v>
      </c>
      <c r="M168" s="4" t="s">
        <v>701</v>
      </c>
      <c r="N168" s="4" t="s">
        <v>708</v>
      </c>
      <c r="O168" s="4" t="s">
        <v>712</v>
      </c>
      <c r="P168" s="4" t="s">
        <v>728</v>
      </c>
      <c r="Q168" s="4" t="s">
        <v>1178</v>
      </c>
      <c r="R168" s="8">
        <v>247.07</v>
      </c>
      <c r="S168" s="8">
        <v>495.19</v>
      </c>
      <c r="T168" s="8">
        <v>495.19</v>
      </c>
      <c r="U168" s="8" t="str">
        <f>IF(T168&lt;=_xlfn.PERCENTILE.INC($T168:$T$633,0.33), "Low", IF(T168&lt;=_xlfn.PERCENTILE.INC($T168:$T$633,0.66), "Medium", "High"))</f>
        <v>Low</v>
      </c>
      <c r="V168" s="10">
        <v>2.8000000000000001E-2</v>
      </c>
      <c r="W168" s="10">
        <f t="shared" si="29"/>
        <v>2.8000000000000001E-2</v>
      </c>
      <c r="X168" s="12">
        <v>4</v>
      </c>
      <c r="Y168" s="8">
        <f t="shared" si="22"/>
        <v>1925.29872</v>
      </c>
      <c r="Z168" s="8">
        <f t="shared" si="23"/>
        <v>988.28</v>
      </c>
      <c r="AA168" s="8">
        <f t="shared" si="30"/>
        <v>937.01872000000003</v>
      </c>
      <c r="AB168" s="10">
        <f t="shared" si="31"/>
        <v>0.48668744764968214</v>
      </c>
      <c r="AC168" s="14">
        <f>_xlfn.MINIFS($C$2:$C$633, $J$2:$J$633, J168)</f>
        <v>44928</v>
      </c>
      <c r="AD168">
        <f>DATEDIF(AC168, C168, "m")</f>
        <v>5</v>
      </c>
      <c r="AE168" s="8">
        <f t="shared" si="32"/>
        <v>481.32468</v>
      </c>
    </row>
    <row r="169" spans="1:31" x14ac:dyDescent="0.3">
      <c r="A169" s="4" t="s">
        <v>465</v>
      </c>
      <c r="B169" s="6">
        <v>44945</v>
      </c>
      <c r="C169" s="14">
        <v>44945</v>
      </c>
      <c r="D169" s="14" t="str">
        <f t="shared" si="24"/>
        <v>Q1 -2023</v>
      </c>
      <c r="E169" s="6">
        <v>44960</v>
      </c>
      <c r="F169" s="6">
        <f t="shared" si="25"/>
        <v>44960</v>
      </c>
      <c r="G169" s="12">
        <f t="shared" si="26"/>
        <v>15</v>
      </c>
      <c r="H169" s="12">
        <f t="shared" si="27"/>
        <v>0</v>
      </c>
      <c r="I169" s="4" t="s">
        <v>649</v>
      </c>
      <c r="J169" s="4" t="s">
        <v>658</v>
      </c>
      <c r="K169" s="4" t="s">
        <v>683</v>
      </c>
      <c r="L169" t="str">
        <f t="shared" si="28"/>
        <v>Europe&gt;United Kingdom&gt;London</v>
      </c>
      <c r="M169" s="4" t="s">
        <v>706</v>
      </c>
      <c r="N169" s="4" t="s">
        <v>710</v>
      </c>
      <c r="O169" s="4" t="s">
        <v>715</v>
      </c>
      <c r="P169" s="4" t="s">
        <v>733</v>
      </c>
      <c r="Q169" s="4" t="s">
        <v>1184</v>
      </c>
      <c r="R169" s="8">
        <v>873.06</v>
      </c>
      <c r="S169" s="8">
        <v>2101.5500000000002</v>
      </c>
      <c r="T169" s="8">
        <v>2101.5500000000002</v>
      </c>
      <c r="U169" s="8" t="str">
        <f>IF(T169&lt;=_xlfn.PERCENTILE.INC($T169:$T$633,0.33), "Low", IF(T169&lt;=_xlfn.PERCENTILE.INC($T169:$T$633,0.66), "Medium", "High"))</f>
        <v>High</v>
      </c>
      <c r="V169" s="10">
        <v>6.6000000000000003E-2</v>
      </c>
      <c r="W169" s="10">
        <f t="shared" si="29"/>
        <v>6.6000000000000003E-2</v>
      </c>
      <c r="X169" s="12">
        <v>10</v>
      </c>
      <c r="Y169" s="8">
        <f t="shared" si="22"/>
        <v>19628.476999999999</v>
      </c>
      <c r="Z169" s="8">
        <f t="shared" si="23"/>
        <v>8730.5999999999985</v>
      </c>
      <c r="AA169" s="8">
        <f t="shared" si="30"/>
        <v>10897.877</v>
      </c>
      <c r="AB169" s="10">
        <f t="shared" si="31"/>
        <v>0.55520746719167269</v>
      </c>
      <c r="AC169" s="14">
        <f>_xlfn.MINIFS($C$2:$C$633, $J$2:$J$633, J169)</f>
        <v>44945</v>
      </c>
      <c r="AD169">
        <f>DATEDIF(AC169, C169, "m")</f>
        <v>0</v>
      </c>
      <c r="AE169" s="8">
        <f t="shared" si="32"/>
        <v>1962.8476999999998</v>
      </c>
    </row>
    <row r="170" spans="1:31" x14ac:dyDescent="0.3">
      <c r="A170" s="4" t="s">
        <v>491</v>
      </c>
      <c r="B170" s="6">
        <v>44999</v>
      </c>
      <c r="C170" s="14">
        <v>44999</v>
      </c>
      <c r="D170" s="14" t="str">
        <f t="shared" si="24"/>
        <v>Q1 -2023</v>
      </c>
      <c r="E170" s="6">
        <v>45003</v>
      </c>
      <c r="F170" s="6">
        <f t="shared" si="25"/>
        <v>45003</v>
      </c>
      <c r="G170" s="12">
        <f t="shared" si="26"/>
        <v>4</v>
      </c>
      <c r="H170" s="12">
        <f t="shared" si="27"/>
        <v>1</v>
      </c>
      <c r="I170" s="4" t="s">
        <v>649</v>
      </c>
      <c r="J170" s="4" t="s">
        <v>656</v>
      </c>
      <c r="K170" s="4" t="s">
        <v>698</v>
      </c>
      <c r="L170" t="str">
        <f t="shared" si="28"/>
        <v>Europe&gt;Germany&gt;Frankfurt</v>
      </c>
      <c r="M170" s="4" t="s">
        <v>706</v>
      </c>
      <c r="N170" s="4" t="s">
        <v>711</v>
      </c>
      <c r="O170" s="4" t="s">
        <v>720</v>
      </c>
      <c r="P170" s="4" t="s">
        <v>727</v>
      </c>
      <c r="Q170" s="4" t="s">
        <v>1210</v>
      </c>
      <c r="R170" s="8">
        <v>472.33</v>
      </c>
      <c r="S170" s="8">
        <v>360.34</v>
      </c>
      <c r="T170" s="8">
        <v>360.34</v>
      </c>
      <c r="U170" s="8" t="str">
        <f>IF(T170&lt;=_xlfn.PERCENTILE.INC($T170:$T$633,0.33), "Low", IF(T170&lt;=_xlfn.PERCENTILE.INC($T170:$T$633,0.66), "Medium", "High"))</f>
        <v>Low</v>
      </c>
      <c r="V170" s="10">
        <v>0.16500000000000001</v>
      </c>
      <c r="W170" s="10">
        <f t="shared" si="29"/>
        <v>0.16500000000000001</v>
      </c>
      <c r="X170" s="12">
        <v>14</v>
      </c>
      <c r="Y170" s="8">
        <f t="shared" si="22"/>
        <v>4212.3745999999992</v>
      </c>
      <c r="Z170" s="8">
        <f t="shared" si="23"/>
        <v>6612.62</v>
      </c>
      <c r="AA170" s="8">
        <f t="shared" si="30"/>
        <v>-2400.2454000000007</v>
      </c>
      <c r="AB170" s="10">
        <f t="shared" si="31"/>
        <v>-0.56980815523861561</v>
      </c>
      <c r="AC170" s="14">
        <f>_xlfn.MINIFS($C$2:$C$633, $J$2:$J$633, J170)</f>
        <v>44948</v>
      </c>
      <c r="AD170">
        <f>DATEDIF(AC170, C170, "m")</f>
        <v>1</v>
      </c>
      <c r="AE170" s="8">
        <f t="shared" si="32"/>
        <v>300.88389999999993</v>
      </c>
    </row>
    <row r="171" spans="1:31" x14ac:dyDescent="0.3">
      <c r="A171" s="4" t="s">
        <v>452</v>
      </c>
      <c r="B171" s="6">
        <v>45290</v>
      </c>
      <c r="C171" s="14">
        <v>45290</v>
      </c>
      <c r="D171" s="14" t="str">
        <f t="shared" si="24"/>
        <v>Q4 -2023</v>
      </c>
      <c r="E171" s="6">
        <v>45299</v>
      </c>
      <c r="F171" s="6">
        <f t="shared" si="25"/>
        <v>45299</v>
      </c>
      <c r="G171" s="12">
        <f t="shared" si="26"/>
        <v>9</v>
      </c>
      <c r="H171" s="12">
        <f t="shared" si="27"/>
        <v>0</v>
      </c>
      <c r="I171" s="4" t="s">
        <v>649</v>
      </c>
      <c r="J171" s="4" t="s">
        <v>657</v>
      </c>
      <c r="K171" s="4" t="s">
        <v>673</v>
      </c>
      <c r="L171" t="str">
        <f t="shared" si="28"/>
        <v>Europe&gt;France&gt;Marseille</v>
      </c>
      <c r="M171" s="4" t="s">
        <v>704</v>
      </c>
      <c r="N171" s="4" t="s">
        <v>709</v>
      </c>
      <c r="O171" s="4" t="s">
        <v>716</v>
      </c>
      <c r="P171" s="4" t="s">
        <v>733</v>
      </c>
      <c r="Q171" s="4" t="s">
        <v>1171</v>
      </c>
      <c r="R171" s="8">
        <v>861.1</v>
      </c>
      <c r="S171" s="8">
        <v>1224.72</v>
      </c>
      <c r="T171" s="8">
        <v>1224.72</v>
      </c>
      <c r="U171" s="8" t="str">
        <f>IF(T171&lt;=_xlfn.PERCENTILE.INC($T171:$T$633,0.33), "Low", IF(T171&lt;=_xlfn.PERCENTILE.INC($T171:$T$633,0.66), "Medium", "High"))</f>
        <v>Medium</v>
      </c>
      <c r="V171" s="10">
        <v>0.17399999999999999</v>
      </c>
      <c r="W171" s="10">
        <f t="shared" si="29"/>
        <v>0.17399999999999999</v>
      </c>
      <c r="X171" s="12">
        <v>24</v>
      </c>
      <c r="Y171" s="8">
        <f t="shared" si="22"/>
        <v>24278.849280000002</v>
      </c>
      <c r="Z171" s="8">
        <f t="shared" si="23"/>
        <v>20666.400000000001</v>
      </c>
      <c r="AA171" s="8">
        <f t="shared" si="30"/>
        <v>3612.4492800000007</v>
      </c>
      <c r="AB171" s="10">
        <f t="shared" si="31"/>
        <v>0.14878997098827909</v>
      </c>
      <c r="AC171" s="14">
        <f>_xlfn.MINIFS($C$2:$C$633, $J$2:$J$633, J171)</f>
        <v>44936</v>
      </c>
      <c r="AD171">
        <f>DATEDIF(AC171, C171, "m")</f>
        <v>11</v>
      </c>
      <c r="AE171" s="8">
        <f t="shared" si="32"/>
        <v>1011.6187200000001</v>
      </c>
    </row>
    <row r="172" spans="1:31" x14ac:dyDescent="0.3">
      <c r="A172" s="4" t="s">
        <v>84</v>
      </c>
      <c r="B172" s="6">
        <v>45037</v>
      </c>
      <c r="C172" s="14">
        <v>45037</v>
      </c>
      <c r="D172" s="14" t="str">
        <f t="shared" si="24"/>
        <v>Q2 -2023</v>
      </c>
      <c r="E172" s="6">
        <v>45056</v>
      </c>
      <c r="F172" s="6">
        <f t="shared" si="25"/>
        <v>45056</v>
      </c>
      <c r="G172" s="12">
        <f t="shared" si="26"/>
        <v>19</v>
      </c>
      <c r="H172" s="12">
        <f t="shared" si="27"/>
        <v>0</v>
      </c>
      <c r="I172" s="4" t="s">
        <v>647</v>
      </c>
      <c r="J172" s="4" t="s">
        <v>659</v>
      </c>
      <c r="K172" s="4" t="s">
        <v>685</v>
      </c>
      <c r="L172" t="str">
        <f t="shared" si="28"/>
        <v>Asia&gt;China&gt;Shanghai</v>
      </c>
      <c r="M172" s="4" t="s">
        <v>701</v>
      </c>
      <c r="N172" s="4" t="s">
        <v>707</v>
      </c>
      <c r="O172" s="4" t="s">
        <v>720</v>
      </c>
      <c r="P172" s="4" t="s">
        <v>727</v>
      </c>
      <c r="Q172" s="4" t="s">
        <v>803</v>
      </c>
      <c r="R172" s="8">
        <v>882.33</v>
      </c>
      <c r="S172" s="8">
        <v>1880.15</v>
      </c>
      <c r="T172" s="8">
        <v>1880.15</v>
      </c>
      <c r="U172" s="8" t="str">
        <f>IF(T172&lt;=_xlfn.PERCENTILE.INC($T172:$T$633,0.33), "Low", IF(T172&lt;=_xlfn.PERCENTILE.INC($T172:$T$633,0.66), "Medium", "High"))</f>
        <v>High</v>
      </c>
      <c r="V172" s="10">
        <v>0.05</v>
      </c>
      <c r="W172" s="10">
        <f t="shared" si="29"/>
        <v>0.05</v>
      </c>
      <c r="X172" s="12">
        <v>5</v>
      </c>
      <c r="Y172" s="8">
        <f t="shared" si="22"/>
        <v>8930.7124999999996</v>
      </c>
      <c r="Z172" s="8">
        <f t="shared" si="23"/>
        <v>4411.6500000000005</v>
      </c>
      <c r="AA172" s="8">
        <f t="shared" si="30"/>
        <v>4519.0624999999991</v>
      </c>
      <c r="AB172" s="10">
        <f t="shared" si="31"/>
        <v>0.50601365792482955</v>
      </c>
      <c r="AC172" s="14">
        <f>_xlfn.MINIFS($C$2:$C$633, $J$2:$J$633, J172)</f>
        <v>44938</v>
      </c>
      <c r="AD172">
        <f>DATEDIF(AC172, C172, "m")</f>
        <v>3</v>
      </c>
      <c r="AE172" s="8">
        <f t="shared" si="32"/>
        <v>1786.1424999999999</v>
      </c>
    </row>
    <row r="173" spans="1:31" x14ac:dyDescent="0.3">
      <c r="A173" s="4" t="s">
        <v>554</v>
      </c>
      <c r="B173" s="6">
        <v>44952</v>
      </c>
      <c r="C173" s="14">
        <v>44952</v>
      </c>
      <c r="D173" s="14" t="str">
        <f t="shared" si="24"/>
        <v>Q1 -2023</v>
      </c>
      <c r="E173" s="6">
        <v>44972</v>
      </c>
      <c r="F173" s="6">
        <f t="shared" si="25"/>
        <v>44972</v>
      </c>
      <c r="G173" s="12">
        <f t="shared" si="26"/>
        <v>20</v>
      </c>
      <c r="H173" s="12">
        <f t="shared" si="27"/>
        <v>0</v>
      </c>
      <c r="I173" s="4" t="s">
        <v>649</v>
      </c>
      <c r="J173" s="4" t="s">
        <v>656</v>
      </c>
      <c r="K173" s="4" t="s">
        <v>671</v>
      </c>
      <c r="L173" t="str">
        <f t="shared" si="28"/>
        <v>Europe&gt;Germany&gt;Berlin</v>
      </c>
      <c r="M173" s="4" t="s">
        <v>705</v>
      </c>
      <c r="N173" s="4" t="s">
        <v>708</v>
      </c>
      <c r="O173" s="4" t="s">
        <v>719</v>
      </c>
      <c r="P173" s="4" t="s">
        <v>729</v>
      </c>
      <c r="Q173" s="4" t="s">
        <v>1272</v>
      </c>
      <c r="R173" s="8">
        <v>492.62</v>
      </c>
      <c r="S173" s="8">
        <v>366.7</v>
      </c>
      <c r="T173" s="8">
        <v>366.7</v>
      </c>
      <c r="U173" s="8" t="str">
        <f>IF(T173&lt;=_xlfn.PERCENTILE.INC($T173:$T$633,0.33), "Low", IF(T173&lt;=_xlfn.PERCENTILE.INC($T173:$T$633,0.66), "Medium", "High"))</f>
        <v>Low</v>
      </c>
      <c r="V173" s="10">
        <v>8.8999999999999996E-2</v>
      </c>
      <c r="W173" s="10">
        <f t="shared" si="29"/>
        <v>8.8999999999999996E-2</v>
      </c>
      <c r="X173" s="12">
        <v>10</v>
      </c>
      <c r="Y173" s="8">
        <f t="shared" si="22"/>
        <v>3340.6370000000002</v>
      </c>
      <c r="Z173" s="8">
        <f t="shared" si="23"/>
        <v>4926.2</v>
      </c>
      <c r="AA173" s="8">
        <f t="shared" si="30"/>
        <v>-1585.5629999999996</v>
      </c>
      <c r="AB173" s="10">
        <f t="shared" si="31"/>
        <v>-0.47462894052840809</v>
      </c>
      <c r="AC173" s="14">
        <f>_xlfn.MINIFS($C$2:$C$633, $J$2:$J$633, J173)</f>
        <v>44948</v>
      </c>
      <c r="AD173">
        <f>DATEDIF(AC173, C173, "m")</f>
        <v>0</v>
      </c>
      <c r="AE173" s="8">
        <f t="shared" si="32"/>
        <v>334.06370000000004</v>
      </c>
    </row>
    <row r="174" spans="1:31" x14ac:dyDescent="0.3">
      <c r="A174" s="4" t="s">
        <v>384</v>
      </c>
      <c r="B174" s="6">
        <v>45286</v>
      </c>
      <c r="C174" s="14">
        <v>45286</v>
      </c>
      <c r="D174" s="14" t="str">
        <f t="shared" si="24"/>
        <v>Q4 -2023</v>
      </c>
      <c r="E174" s="6">
        <v>45294</v>
      </c>
      <c r="F174" s="6">
        <f t="shared" si="25"/>
        <v>45294</v>
      </c>
      <c r="G174" s="12">
        <f t="shared" si="26"/>
        <v>8</v>
      </c>
      <c r="H174" s="12">
        <f t="shared" si="27"/>
        <v>0</v>
      </c>
      <c r="I174" s="4" t="s">
        <v>649</v>
      </c>
      <c r="J174" s="4" t="s">
        <v>657</v>
      </c>
      <c r="K174" s="4" t="s">
        <v>679</v>
      </c>
      <c r="L174" t="str">
        <f t="shared" si="28"/>
        <v>Europe&gt;France&gt;Lyon</v>
      </c>
      <c r="M174" s="4" t="s">
        <v>705</v>
      </c>
      <c r="N174" s="4" t="s">
        <v>707</v>
      </c>
      <c r="O174" s="4" t="s">
        <v>724</v>
      </c>
      <c r="P174" s="4" t="s">
        <v>731</v>
      </c>
      <c r="Q174" s="4" t="s">
        <v>1104</v>
      </c>
      <c r="R174" s="8">
        <v>492.75</v>
      </c>
      <c r="S174" s="8">
        <v>731.29</v>
      </c>
      <c r="T174" s="8">
        <v>731.29</v>
      </c>
      <c r="U174" s="8" t="str">
        <f>IF(T174&lt;=_xlfn.PERCENTILE.INC($T174:$T$633,0.33), "Low", IF(T174&lt;=_xlfn.PERCENTILE.INC($T174:$T$633,0.66), "Medium", "High"))</f>
        <v>Low</v>
      </c>
      <c r="V174" s="10">
        <v>5.8000000000000003E-2</v>
      </c>
      <c r="W174" s="10">
        <f t="shared" si="29"/>
        <v>5.8000000000000003E-2</v>
      </c>
      <c r="X174" s="12">
        <v>6</v>
      </c>
      <c r="Y174" s="8">
        <f t="shared" si="22"/>
        <v>4133.25108</v>
      </c>
      <c r="Z174" s="8">
        <f t="shared" si="23"/>
        <v>2956.5</v>
      </c>
      <c r="AA174" s="8">
        <f t="shared" si="30"/>
        <v>1176.75108</v>
      </c>
      <c r="AB174" s="10">
        <f t="shared" si="31"/>
        <v>0.28470350753528384</v>
      </c>
      <c r="AC174" s="14">
        <f>_xlfn.MINIFS($C$2:$C$633, $J$2:$J$633, J174)</f>
        <v>44936</v>
      </c>
      <c r="AD174">
        <f>DATEDIF(AC174, C174, "m")</f>
        <v>11</v>
      </c>
      <c r="AE174" s="8">
        <f t="shared" si="32"/>
        <v>688.87518</v>
      </c>
    </row>
    <row r="175" spans="1:31" x14ac:dyDescent="0.3">
      <c r="A175" s="4" t="s">
        <v>19</v>
      </c>
      <c r="B175" s="6">
        <v>45266</v>
      </c>
      <c r="C175" s="14">
        <v>45266</v>
      </c>
      <c r="D175" s="14" t="str">
        <f t="shared" si="24"/>
        <v>Q4 -2023</v>
      </c>
      <c r="E175" s="6">
        <v>45291</v>
      </c>
      <c r="F175" s="6">
        <f t="shared" si="25"/>
        <v>45291</v>
      </c>
      <c r="G175" s="12">
        <f t="shared" si="26"/>
        <v>25</v>
      </c>
      <c r="H175" s="12">
        <f t="shared" si="27"/>
        <v>0</v>
      </c>
      <c r="I175" s="4" t="s">
        <v>647</v>
      </c>
      <c r="J175" s="4" t="s">
        <v>652</v>
      </c>
      <c r="K175" s="4" t="s">
        <v>666</v>
      </c>
      <c r="L175" t="str">
        <f t="shared" si="28"/>
        <v>Asia&gt;Japan&gt;Osaka</v>
      </c>
      <c r="M175" s="4" t="s">
        <v>704</v>
      </c>
      <c r="N175" s="4" t="s">
        <v>707</v>
      </c>
      <c r="O175" s="4" t="s">
        <v>716</v>
      </c>
      <c r="P175" s="4" t="s">
        <v>728</v>
      </c>
      <c r="Q175" s="4" t="s">
        <v>738</v>
      </c>
      <c r="R175" s="8">
        <v>663.03</v>
      </c>
      <c r="S175" s="8">
        <v>813.51</v>
      </c>
      <c r="T175" s="8">
        <v>813.51</v>
      </c>
      <c r="U175" s="8" t="str">
        <f>IF(T175&lt;=_xlfn.PERCENTILE.INC($T175:$T$633,0.33), "Low", IF(T175&lt;=_xlfn.PERCENTILE.INC($T175:$T$633,0.66), "Medium", "High"))</f>
        <v>Low</v>
      </c>
      <c r="V175" s="10">
        <v>0.10199999999999999</v>
      </c>
      <c r="W175" s="10">
        <f t="shared" si="29"/>
        <v>0.10199999999999999</v>
      </c>
      <c r="X175" s="12">
        <v>15</v>
      </c>
      <c r="Y175" s="8">
        <f t="shared" si="22"/>
        <v>10957.9797</v>
      </c>
      <c r="Z175" s="8">
        <f t="shared" si="23"/>
        <v>9945.4499999999989</v>
      </c>
      <c r="AA175" s="8">
        <f t="shared" si="30"/>
        <v>1012.529700000001</v>
      </c>
      <c r="AB175" s="10">
        <f t="shared" si="31"/>
        <v>9.2401129379715952E-2</v>
      </c>
      <c r="AC175" s="14">
        <f>_xlfn.MINIFS($C$2:$C$633, $J$2:$J$633, J175)</f>
        <v>44988</v>
      </c>
      <c r="AD175">
        <f>DATEDIF(AC175, C175, "m")</f>
        <v>9</v>
      </c>
      <c r="AE175" s="8">
        <f t="shared" si="32"/>
        <v>730.53197999999998</v>
      </c>
    </row>
    <row r="176" spans="1:31" x14ac:dyDescent="0.3">
      <c r="A176" s="4" t="s">
        <v>353</v>
      </c>
      <c r="B176" s="6">
        <v>45121</v>
      </c>
      <c r="C176" s="14">
        <v>45121</v>
      </c>
      <c r="D176" s="14" t="str">
        <f t="shared" si="24"/>
        <v>Q3 -2023</v>
      </c>
      <c r="E176" s="6">
        <v>45128</v>
      </c>
      <c r="F176" s="6">
        <f t="shared" si="25"/>
        <v>45128</v>
      </c>
      <c r="G176" s="12">
        <f t="shared" si="26"/>
        <v>7</v>
      </c>
      <c r="H176" s="12">
        <f t="shared" si="27"/>
        <v>1</v>
      </c>
      <c r="I176" s="4" t="s">
        <v>646</v>
      </c>
      <c r="J176" s="4" t="s">
        <v>661</v>
      </c>
      <c r="K176" s="4" t="s">
        <v>687</v>
      </c>
      <c r="L176" t="str">
        <f t="shared" si="28"/>
        <v>Africa&gt;South Africa&gt;Durban</v>
      </c>
      <c r="M176" s="4" t="s">
        <v>706</v>
      </c>
      <c r="N176" s="4" t="s">
        <v>709</v>
      </c>
      <c r="O176" s="4" t="s">
        <v>1424</v>
      </c>
      <c r="P176" s="4" t="s">
        <v>732</v>
      </c>
      <c r="Q176" s="4" t="s">
        <v>1073</v>
      </c>
      <c r="R176" s="8">
        <v>620.74</v>
      </c>
      <c r="S176" s="8">
        <v>1330.07</v>
      </c>
      <c r="T176" s="8">
        <v>1330.07</v>
      </c>
      <c r="U176" s="8" t="str">
        <f>IF(T176&lt;=_xlfn.PERCENTILE.INC($T176:$T$633,0.33), "Low", IF(T176&lt;=_xlfn.PERCENTILE.INC($T176:$T$633,0.66), "Medium", "High"))</f>
        <v>Medium</v>
      </c>
      <c r="V176" s="10">
        <v>0.29899999999999999</v>
      </c>
      <c r="W176" s="10">
        <f t="shared" si="29"/>
        <v>0.29899999999999999</v>
      </c>
      <c r="X176" s="12">
        <v>28</v>
      </c>
      <c r="Y176" s="8">
        <f t="shared" si="22"/>
        <v>26106.613960000002</v>
      </c>
      <c r="Z176" s="8">
        <f t="shared" si="23"/>
        <v>17380.72</v>
      </c>
      <c r="AA176" s="8">
        <f t="shared" si="30"/>
        <v>8725.8939600000012</v>
      </c>
      <c r="AB176" s="10">
        <f t="shared" si="31"/>
        <v>0.33424073965967516</v>
      </c>
      <c r="AC176" s="14">
        <f>_xlfn.MINIFS($C$2:$C$633, $J$2:$J$633, J176)</f>
        <v>44933</v>
      </c>
      <c r="AD176">
        <f>DATEDIF(AC176, C176, "m")</f>
        <v>6</v>
      </c>
      <c r="AE176" s="8">
        <f t="shared" si="32"/>
        <v>932.37907000000007</v>
      </c>
    </row>
    <row r="177" spans="1:31" x14ac:dyDescent="0.3">
      <c r="A177" s="4" t="s">
        <v>160</v>
      </c>
      <c r="B177" s="6">
        <v>45260</v>
      </c>
      <c r="C177" s="14">
        <v>45260</v>
      </c>
      <c r="D177" s="14" t="str">
        <f t="shared" si="24"/>
        <v>Q4 -2023</v>
      </c>
      <c r="E177" s="6">
        <v>45259</v>
      </c>
      <c r="F177" s="6">
        <f t="shared" si="25"/>
        <v>45266</v>
      </c>
      <c r="G177" s="12">
        <f t="shared" si="26"/>
        <v>6</v>
      </c>
      <c r="H177" s="12">
        <f t="shared" si="27"/>
        <v>1</v>
      </c>
      <c r="I177" s="4" t="s">
        <v>646</v>
      </c>
      <c r="J177" s="4" t="s">
        <v>661</v>
      </c>
      <c r="K177" s="4" t="s">
        <v>687</v>
      </c>
      <c r="L177" t="str">
        <f t="shared" si="28"/>
        <v>Africa&gt;South Africa&gt;Durban</v>
      </c>
      <c r="M177" s="4" t="s">
        <v>705</v>
      </c>
      <c r="N177" s="4" t="s">
        <v>709</v>
      </c>
      <c r="O177" s="4" t="s">
        <v>718</v>
      </c>
      <c r="P177" s="4" t="s">
        <v>731</v>
      </c>
      <c r="Q177" s="4" t="s">
        <v>879</v>
      </c>
      <c r="R177" s="8">
        <v>275.56</v>
      </c>
      <c r="S177" s="8">
        <v>630.72</v>
      </c>
      <c r="T177" s="8">
        <v>630.72</v>
      </c>
      <c r="U177" s="8" t="str">
        <f>IF(T177&lt;=_xlfn.PERCENTILE.INC($T177:$T$633,0.33), "Low", IF(T177&lt;=_xlfn.PERCENTILE.INC($T177:$T$633,0.66), "Medium", "High"))</f>
        <v>Low</v>
      </c>
      <c r="V177" s="10">
        <v>0.107</v>
      </c>
      <c r="W177" s="10">
        <f t="shared" si="29"/>
        <v>0.107</v>
      </c>
      <c r="X177" s="12">
        <v>23</v>
      </c>
      <c r="Y177" s="8">
        <f t="shared" si="22"/>
        <v>12954.358080000002</v>
      </c>
      <c r="Z177" s="8">
        <f t="shared" si="23"/>
        <v>6337.88</v>
      </c>
      <c r="AA177" s="8">
        <f t="shared" si="30"/>
        <v>6616.4780800000017</v>
      </c>
      <c r="AB177" s="10">
        <f t="shared" si="31"/>
        <v>0.5107530638831933</v>
      </c>
      <c r="AC177" s="14">
        <f>_xlfn.MINIFS($C$2:$C$633, $J$2:$J$633, J177)</f>
        <v>44933</v>
      </c>
      <c r="AD177">
        <f>DATEDIF(AC177, C177, "m")</f>
        <v>10</v>
      </c>
      <c r="AE177" s="8">
        <f t="shared" si="32"/>
        <v>563.23296000000005</v>
      </c>
    </row>
    <row r="178" spans="1:31" x14ac:dyDescent="0.3">
      <c r="A178" s="4" t="s">
        <v>202</v>
      </c>
      <c r="B178" s="6">
        <v>45126</v>
      </c>
      <c r="C178" s="14">
        <v>45126</v>
      </c>
      <c r="D178" s="14" t="str">
        <f t="shared" si="24"/>
        <v>Q3 -2023</v>
      </c>
      <c r="E178" s="6">
        <v>45138</v>
      </c>
      <c r="F178" s="6">
        <f t="shared" si="25"/>
        <v>45138</v>
      </c>
      <c r="G178" s="12">
        <f t="shared" si="26"/>
        <v>12</v>
      </c>
      <c r="H178" s="12">
        <f t="shared" si="27"/>
        <v>0</v>
      </c>
      <c r="I178" s="4" t="s">
        <v>648</v>
      </c>
      <c r="J178" s="4" t="s">
        <v>655</v>
      </c>
      <c r="K178" s="4" t="s">
        <v>692</v>
      </c>
      <c r="L178" t="str">
        <f t="shared" si="28"/>
        <v>Americas&gt;Brazil&gt;Rio de Janeiro</v>
      </c>
      <c r="M178" s="4" t="s">
        <v>701</v>
      </c>
      <c r="N178" s="4" t="s">
        <v>707</v>
      </c>
      <c r="O178" s="4" t="s">
        <v>712</v>
      </c>
      <c r="P178" s="4" t="s">
        <v>732</v>
      </c>
      <c r="Q178" s="4" t="s">
        <v>922</v>
      </c>
      <c r="R178" s="8">
        <v>1334.64</v>
      </c>
      <c r="S178" s="8">
        <v>2273.42</v>
      </c>
      <c r="T178" s="8">
        <v>2273.42</v>
      </c>
      <c r="U178" s="8" t="str">
        <f>IF(T178&lt;=_xlfn.PERCENTILE.INC($T178:$T$633,0.33), "Low", IF(T178&lt;=_xlfn.PERCENTILE.INC($T178:$T$633,0.66), "Medium", "High"))</f>
        <v>High</v>
      </c>
      <c r="V178" s="10">
        <v>0.11799999999999999</v>
      </c>
      <c r="W178" s="10">
        <f t="shared" si="29"/>
        <v>0.11799999999999999</v>
      </c>
      <c r="X178" s="12">
        <v>14</v>
      </c>
      <c r="Y178" s="8">
        <f t="shared" si="22"/>
        <v>28072.190160000002</v>
      </c>
      <c r="Z178" s="8">
        <f t="shared" si="23"/>
        <v>18684.960000000003</v>
      </c>
      <c r="AA178" s="8">
        <f t="shared" si="30"/>
        <v>9387.2301599999992</v>
      </c>
      <c r="AB178" s="10">
        <f t="shared" si="31"/>
        <v>0.33439607335575267</v>
      </c>
      <c r="AC178" s="14">
        <f>_xlfn.MINIFS($C$2:$C$633, $J$2:$J$633, J178)</f>
        <v>44955</v>
      </c>
      <c r="AD178">
        <f>DATEDIF(AC178, C178, "m")</f>
        <v>5</v>
      </c>
      <c r="AE178" s="8">
        <f t="shared" si="32"/>
        <v>2005.1564400000002</v>
      </c>
    </row>
    <row r="179" spans="1:31" x14ac:dyDescent="0.3">
      <c r="A179" s="4" t="s">
        <v>333</v>
      </c>
      <c r="B179" s="6">
        <v>45008</v>
      </c>
      <c r="C179" s="14">
        <v>45008</v>
      </c>
      <c r="D179" s="14" t="str">
        <f t="shared" si="24"/>
        <v>Q1 -2023</v>
      </c>
      <c r="E179" s="6">
        <v>45031</v>
      </c>
      <c r="F179" s="6">
        <f t="shared" si="25"/>
        <v>45031</v>
      </c>
      <c r="G179" s="12">
        <f t="shared" si="26"/>
        <v>23</v>
      </c>
      <c r="H179" s="12">
        <f t="shared" si="27"/>
        <v>0</v>
      </c>
      <c r="I179" s="4" t="s">
        <v>646</v>
      </c>
      <c r="J179" s="4" t="s">
        <v>650</v>
      </c>
      <c r="K179" s="4" t="s">
        <v>675</v>
      </c>
      <c r="L179" t="str">
        <f t="shared" si="28"/>
        <v>Africa&gt;Kenya&gt;Mombasa</v>
      </c>
      <c r="M179" s="4" t="s">
        <v>705</v>
      </c>
      <c r="N179" s="4" t="s">
        <v>707</v>
      </c>
      <c r="O179" s="4" t="s">
        <v>712</v>
      </c>
      <c r="P179" s="4" t="s">
        <v>733</v>
      </c>
      <c r="Q179" s="4" t="s">
        <v>1053</v>
      </c>
      <c r="R179" s="8">
        <v>875.36</v>
      </c>
      <c r="S179" s="8">
        <v>1178.6199999999999</v>
      </c>
      <c r="T179" s="8">
        <v>1178.6199999999999</v>
      </c>
      <c r="U179" s="8" t="str">
        <f>IF(T179&lt;=_xlfn.PERCENTILE.INC($T179:$T$633,0.33), "Low", IF(T179&lt;=_xlfn.PERCENTILE.INC($T179:$T$633,0.66), "Medium", "High"))</f>
        <v>Medium</v>
      </c>
      <c r="V179" s="10">
        <v>0.151</v>
      </c>
      <c r="W179" s="10">
        <f t="shared" si="29"/>
        <v>0.151</v>
      </c>
      <c r="X179" s="12">
        <v>53</v>
      </c>
      <c r="Y179" s="8">
        <f t="shared" si="22"/>
        <v>53034.364139999991</v>
      </c>
      <c r="Z179" s="8">
        <f t="shared" si="23"/>
        <v>46394.080000000002</v>
      </c>
      <c r="AA179" s="8">
        <f t="shared" si="30"/>
        <v>6640.2841399999888</v>
      </c>
      <c r="AB179" s="10">
        <f t="shared" si="31"/>
        <v>0.12520719815685888</v>
      </c>
      <c r="AC179" s="14">
        <f>_xlfn.MINIFS($C$2:$C$633, $J$2:$J$633, J179)</f>
        <v>44946</v>
      </c>
      <c r="AD179">
        <f>DATEDIF(AC179, C179, "m")</f>
        <v>2</v>
      </c>
      <c r="AE179" s="8">
        <f t="shared" si="32"/>
        <v>1000.6483799999999</v>
      </c>
    </row>
    <row r="180" spans="1:31" x14ac:dyDescent="0.3">
      <c r="A180" s="4" t="s">
        <v>403</v>
      </c>
      <c r="B180" s="6">
        <v>45225</v>
      </c>
      <c r="C180" s="14">
        <v>45225</v>
      </c>
      <c r="D180" s="14" t="str">
        <f t="shared" si="24"/>
        <v>Q4 -2023</v>
      </c>
      <c r="E180" s="6">
        <v>45235</v>
      </c>
      <c r="F180" s="6">
        <f t="shared" si="25"/>
        <v>45235</v>
      </c>
      <c r="G180" s="12">
        <f t="shared" si="26"/>
        <v>10</v>
      </c>
      <c r="H180" s="12">
        <f t="shared" si="27"/>
        <v>0</v>
      </c>
      <c r="I180" s="4" t="s">
        <v>646</v>
      </c>
      <c r="J180" s="4" t="s">
        <v>661</v>
      </c>
      <c r="K180" s="4" t="s">
        <v>695</v>
      </c>
      <c r="L180" t="str">
        <f t="shared" si="28"/>
        <v>Africa&gt;South Africa&gt;Cape Town</v>
      </c>
      <c r="M180" s="4" t="s">
        <v>703</v>
      </c>
      <c r="N180" s="4" t="s">
        <v>708</v>
      </c>
      <c r="O180" s="4" t="s">
        <v>714</v>
      </c>
      <c r="P180" s="4" t="s">
        <v>731</v>
      </c>
      <c r="Q180" s="4" t="s">
        <v>1122</v>
      </c>
      <c r="R180" s="8">
        <v>20.38</v>
      </c>
      <c r="S180" s="8">
        <v>42.56</v>
      </c>
      <c r="T180" s="8">
        <v>42.56</v>
      </c>
      <c r="U180" s="8" t="str">
        <f>IF(T180&lt;=_xlfn.PERCENTILE.INC($T180:$T$633,0.33), "Low", IF(T180&lt;=_xlfn.PERCENTILE.INC($T180:$T$633,0.66), "Medium", "High"))</f>
        <v>Low</v>
      </c>
      <c r="V180" s="10">
        <v>7.1999999999999995E-2</v>
      </c>
      <c r="W180" s="10">
        <f t="shared" si="29"/>
        <v>7.1999999999999995E-2</v>
      </c>
      <c r="X180" s="12">
        <v>11</v>
      </c>
      <c r="Y180" s="8">
        <f t="shared" si="22"/>
        <v>434.45248000000004</v>
      </c>
      <c r="Z180" s="8">
        <f t="shared" si="23"/>
        <v>224.17999999999998</v>
      </c>
      <c r="AA180" s="8">
        <f t="shared" si="30"/>
        <v>210.27248000000006</v>
      </c>
      <c r="AB180" s="10">
        <f t="shared" si="31"/>
        <v>0.48399419885921713</v>
      </c>
      <c r="AC180" s="14">
        <f>_xlfn.MINIFS($C$2:$C$633, $J$2:$J$633, J180)</f>
        <v>44933</v>
      </c>
      <c r="AD180">
        <f>DATEDIF(AC180, C180, "m")</f>
        <v>9</v>
      </c>
      <c r="AE180" s="8">
        <f t="shared" si="32"/>
        <v>39.49568</v>
      </c>
    </row>
    <row r="181" spans="1:31" x14ac:dyDescent="0.3">
      <c r="A181" s="4" t="s">
        <v>100</v>
      </c>
      <c r="B181" s="6">
        <v>45282</v>
      </c>
      <c r="C181" s="14">
        <v>45282</v>
      </c>
      <c r="D181" s="14" t="str">
        <f t="shared" si="24"/>
        <v>Q4 -2023</v>
      </c>
      <c r="E181" s="6">
        <v>45283</v>
      </c>
      <c r="F181" s="6">
        <f t="shared" si="25"/>
        <v>45283</v>
      </c>
      <c r="G181" s="12">
        <f t="shared" si="26"/>
        <v>1</v>
      </c>
      <c r="H181" s="12">
        <f t="shared" si="27"/>
        <v>1</v>
      </c>
      <c r="I181" s="4" t="s">
        <v>646</v>
      </c>
      <c r="J181" s="4" t="s">
        <v>661</v>
      </c>
      <c r="K181" s="4" t="s">
        <v>695</v>
      </c>
      <c r="L181" t="str">
        <f t="shared" si="28"/>
        <v>Africa&gt;South Africa&gt;Cape Town</v>
      </c>
      <c r="M181" s="4" t="s">
        <v>703</v>
      </c>
      <c r="N181" s="4" t="s">
        <v>709</v>
      </c>
      <c r="O181" s="4" t="s">
        <v>726</v>
      </c>
      <c r="P181" s="4" t="s">
        <v>727</v>
      </c>
      <c r="Q181" s="4" t="s">
        <v>819</v>
      </c>
      <c r="R181" s="8">
        <v>1186.18</v>
      </c>
      <c r="S181" s="8">
        <v>1285.0899999999999</v>
      </c>
      <c r="T181" s="8">
        <v>1285.0899999999999</v>
      </c>
      <c r="U181" s="8" t="str">
        <f>IF(T181&lt;=_xlfn.PERCENTILE.INC($T181:$T$633,0.33), "Low", IF(T181&lt;=_xlfn.PERCENTILE.INC($T181:$T$633,0.66), "Medium", "High"))</f>
        <v>Medium</v>
      </c>
      <c r="V181" s="10">
        <v>7.0000000000000007E-2</v>
      </c>
      <c r="W181" s="10">
        <f t="shared" si="29"/>
        <v>7.0000000000000007E-2</v>
      </c>
      <c r="X181" s="12">
        <v>11</v>
      </c>
      <c r="Y181" s="8">
        <f t="shared" si="22"/>
        <v>13146.470699999998</v>
      </c>
      <c r="Z181" s="8">
        <f t="shared" si="23"/>
        <v>13047.980000000001</v>
      </c>
      <c r="AA181" s="8">
        <f t="shared" si="30"/>
        <v>98.49069999999665</v>
      </c>
      <c r="AB181" s="10">
        <f t="shared" si="31"/>
        <v>7.4917977796121861E-3</v>
      </c>
      <c r="AC181" s="14">
        <f>_xlfn.MINIFS($C$2:$C$633, $J$2:$J$633, J181)</f>
        <v>44933</v>
      </c>
      <c r="AD181">
        <f>DATEDIF(AC181, C181, "m")</f>
        <v>11</v>
      </c>
      <c r="AE181" s="8">
        <f t="shared" si="32"/>
        <v>1195.1336999999999</v>
      </c>
    </row>
    <row r="182" spans="1:31" x14ac:dyDescent="0.3">
      <c r="A182" s="4" t="s">
        <v>169</v>
      </c>
      <c r="B182" s="6">
        <v>45230</v>
      </c>
      <c r="C182" s="14">
        <v>45230</v>
      </c>
      <c r="D182" s="14" t="str">
        <f t="shared" si="24"/>
        <v>Q4 -2023</v>
      </c>
      <c r="E182" s="6">
        <v>45232</v>
      </c>
      <c r="F182" s="6">
        <f t="shared" si="25"/>
        <v>45232</v>
      </c>
      <c r="G182" s="12">
        <f t="shared" si="26"/>
        <v>2</v>
      </c>
      <c r="H182" s="12">
        <f t="shared" si="27"/>
        <v>1</v>
      </c>
      <c r="I182" s="4" t="s">
        <v>646</v>
      </c>
      <c r="J182" s="4" t="s">
        <v>650</v>
      </c>
      <c r="K182" s="4" t="s">
        <v>662</v>
      </c>
      <c r="L182" t="str">
        <f t="shared" si="28"/>
        <v>Africa&gt;Kenya&gt;Kisumu</v>
      </c>
      <c r="M182" s="4" t="s">
        <v>702</v>
      </c>
      <c r="N182" s="4" t="s">
        <v>707</v>
      </c>
      <c r="O182" s="4" t="s">
        <v>719</v>
      </c>
      <c r="P182" s="4" t="s">
        <v>733</v>
      </c>
      <c r="Q182" s="4" t="s">
        <v>888</v>
      </c>
      <c r="R182" s="8">
        <v>867.89</v>
      </c>
      <c r="S182" s="8">
        <v>1349.94</v>
      </c>
      <c r="T182" s="8">
        <v>1349.94</v>
      </c>
      <c r="U182" s="8" t="str">
        <f>IF(T182&lt;=_xlfn.PERCENTILE.INC($T182:$T$633,0.33), "Low", IF(T182&lt;=_xlfn.PERCENTILE.INC($T182:$T$633,0.66), "Medium", "High"))</f>
        <v>Medium</v>
      </c>
      <c r="V182" s="10">
        <v>0.184</v>
      </c>
      <c r="W182" s="10">
        <f t="shared" si="29"/>
        <v>0.184</v>
      </c>
      <c r="X182" s="12">
        <v>10</v>
      </c>
      <c r="Y182" s="8">
        <f t="shared" si="22"/>
        <v>11015.510400000003</v>
      </c>
      <c r="Z182" s="8">
        <f t="shared" si="23"/>
        <v>8678.9</v>
      </c>
      <c r="AA182" s="8">
        <f t="shared" si="30"/>
        <v>2336.6104000000032</v>
      </c>
      <c r="AB182" s="10">
        <f t="shared" si="31"/>
        <v>0.21212003031652557</v>
      </c>
      <c r="AC182" s="14">
        <f>_xlfn.MINIFS($C$2:$C$633, $J$2:$J$633, J182)</f>
        <v>44946</v>
      </c>
      <c r="AD182">
        <f>DATEDIF(AC182, C182, "m")</f>
        <v>9</v>
      </c>
      <c r="AE182" s="8">
        <f t="shared" si="32"/>
        <v>1101.5510400000003</v>
      </c>
    </row>
    <row r="183" spans="1:31" x14ac:dyDescent="0.3">
      <c r="A183" s="4" t="s">
        <v>456</v>
      </c>
      <c r="B183" s="6">
        <v>45189</v>
      </c>
      <c r="C183" s="14">
        <v>45189</v>
      </c>
      <c r="D183" s="14" t="str">
        <f t="shared" si="24"/>
        <v>Q3 -2023</v>
      </c>
      <c r="E183" s="6">
        <v>45197</v>
      </c>
      <c r="F183" s="6">
        <f t="shared" si="25"/>
        <v>45197</v>
      </c>
      <c r="G183" s="12">
        <f t="shared" si="26"/>
        <v>8</v>
      </c>
      <c r="H183" s="12">
        <f t="shared" si="27"/>
        <v>0</v>
      </c>
      <c r="I183" s="4" t="s">
        <v>647</v>
      </c>
      <c r="J183" s="4" t="s">
        <v>654</v>
      </c>
      <c r="K183" s="4" t="s">
        <v>1422</v>
      </c>
      <c r="L183" t="str">
        <f t="shared" si="28"/>
        <v>Asia&gt;India&gt;Unknown</v>
      </c>
      <c r="M183" s="4" t="s">
        <v>701</v>
      </c>
      <c r="N183" s="4" t="s">
        <v>1423</v>
      </c>
      <c r="O183" s="4" t="s">
        <v>717</v>
      </c>
      <c r="P183" s="4" t="s">
        <v>733</v>
      </c>
      <c r="Q183" s="4" t="s">
        <v>1175</v>
      </c>
      <c r="R183" s="8">
        <v>1362.06</v>
      </c>
      <c r="S183" s="8">
        <v>3398.37</v>
      </c>
      <c r="T183" s="8">
        <v>3398.37</v>
      </c>
      <c r="U183" s="8" t="str">
        <f>IF(T183&lt;=_xlfn.PERCENTILE.INC($T183:$T$633,0.33), "Low", IF(T183&lt;=_xlfn.PERCENTILE.INC($T183:$T$633,0.66), "Medium", "High"))</f>
        <v>High</v>
      </c>
      <c r="V183" s="10">
        <v>0.157</v>
      </c>
      <c r="W183" s="10">
        <f t="shared" si="29"/>
        <v>0.157</v>
      </c>
      <c r="X183" s="12">
        <v>11</v>
      </c>
      <c r="Y183" s="8">
        <f t="shared" si="22"/>
        <v>31513.085009999999</v>
      </c>
      <c r="Z183" s="8">
        <f t="shared" si="23"/>
        <v>14982.66</v>
      </c>
      <c r="AA183" s="8">
        <f t="shared" si="30"/>
        <v>16530.425009999999</v>
      </c>
      <c r="AB183" s="10">
        <f t="shared" si="31"/>
        <v>0.52455749745714919</v>
      </c>
      <c r="AC183" s="14">
        <f>_xlfn.MINIFS($C$2:$C$633, $J$2:$J$633, J183)</f>
        <v>44955</v>
      </c>
      <c r="AD183">
        <f>DATEDIF(AC183, C183, "m")</f>
        <v>7</v>
      </c>
      <c r="AE183" s="8">
        <f t="shared" si="32"/>
        <v>2864.82591</v>
      </c>
    </row>
    <row r="184" spans="1:31" x14ac:dyDescent="0.3">
      <c r="A184" s="4" t="s">
        <v>175</v>
      </c>
      <c r="B184" s="6">
        <v>44977</v>
      </c>
      <c r="C184" s="14">
        <v>44977</v>
      </c>
      <c r="D184" s="14" t="str">
        <f t="shared" si="24"/>
        <v>Q1 -2023</v>
      </c>
      <c r="E184" s="6">
        <v>44989</v>
      </c>
      <c r="F184" s="6">
        <f t="shared" si="25"/>
        <v>44989</v>
      </c>
      <c r="G184" s="12">
        <f t="shared" si="26"/>
        <v>12</v>
      </c>
      <c r="H184" s="12">
        <f t="shared" si="27"/>
        <v>0</v>
      </c>
      <c r="I184" s="4" t="s">
        <v>647</v>
      </c>
      <c r="J184" s="4" t="s">
        <v>654</v>
      </c>
      <c r="K184" s="4" t="s">
        <v>680</v>
      </c>
      <c r="L184" t="str">
        <f t="shared" si="28"/>
        <v>Asia&gt;India&gt;Delhi</v>
      </c>
      <c r="M184" s="4" t="s">
        <v>704</v>
      </c>
      <c r="N184" s="4" t="s">
        <v>710</v>
      </c>
      <c r="O184" s="4" t="s">
        <v>724</v>
      </c>
      <c r="P184" s="4" t="s">
        <v>732</v>
      </c>
      <c r="Q184" s="4" t="s">
        <v>894</v>
      </c>
      <c r="R184" s="8">
        <v>299.75</v>
      </c>
      <c r="S184" s="8">
        <v>523.01</v>
      </c>
      <c r="T184" s="8">
        <v>523.01</v>
      </c>
      <c r="U184" s="8" t="str">
        <f>IF(T184&lt;=_xlfn.PERCENTILE.INC($T184:$T$633,0.33), "Low", IF(T184&lt;=_xlfn.PERCENTILE.INC($T184:$T$633,0.66), "Medium", "High"))</f>
        <v>Low</v>
      </c>
      <c r="V184" s="10">
        <v>0.157</v>
      </c>
      <c r="W184" s="10">
        <f t="shared" si="29"/>
        <v>0.157</v>
      </c>
      <c r="X184" s="12">
        <v>50</v>
      </c>
      <c r="Y184" s="8">
        <f t="shared" si="22"/>
        <v>22044.871499999997</v>
      </c>
      <c r="Z184" s="8">
        <f t="shared" si="23"/>
        <v>14987.5</v>
      </c>
      <c r="AA184" s="8">
        <f t="shared" si="30"/>
        <v>7057.3714999999975</v>
      </c>
      <c r="AB184" s="10">
        <f t="shared" si="31"/>
        <v>0.32013665854210122</v>
      </c>
      <c r="AC184" s="14">
        <f>_xlfn.MINIFS($C$2:$C$633, $J$2:$J$633, J184)</f>
        <v>44955</v>
      </c>
      <c r="AD184">
        <f>DATEDIF(AC184, C184, "m")</f>
        <v>0</v>
      </c>
      <c r="AE184" s="8">
        <f t="shared" si="32"/>
        <v>440.89742999999993</v>
      </c>
    </row>
    <row r="185" spans="1:31" x14ac:dyDescent="0.3">
      <c r="A185" s="4" t="s">
        <v>419</v>
      </c>
      <c r="B185" s="6">
        <v>44991</v>
      </c>
      <c r="C185" s="14">
        <v>44991</v>
      </c>
      <c r="D185" s="14" t="str">
        <f t="shared" si="24"/>
        <v>Q1 -2023</v>
      </c>
      <c r="E185" s="6">
        <v>45020</v>
      </c>
      <c r="F185" s="6">
        <f t="shared" si="25"/>
        <v>45020</v>
      </c>
      <c r="G185" s="12">
        <f t="shared" si="26"/>
        <v>29</v>
      </c>
      <c r="H185" s="12">
        <f t="shared" si="27"/>
        <v>0</v>
      </c>
      <c r="I185" s="4" t="s">
        <v>647</v>
      </c>
      <c r="J185" s="4" t="s">
        <v>659</v>
      </c>
      <c r="K185" s="4" t="s">
        <v>699</v>
      </c>
      <c r="L185" t="str">
        <f t="shared" si="28"/>
        <v>Asia&gt;China&gt;Beijing</v>
      </c>
      <c r="M185" s="4" t="s">
        <v>705</v>
      </c>
      <c r="N185" s="4" t="s">
        <v>711</v>
      </c>
      <c r="O185" s="4" t="s">
        <v>712</v>
      </c>
      <c r="P185" s="4" t="s">
        <v>732</v>
      </c>
      <c r="Q185" s="4" t="s">
        <v>1138</v>
      </c>
      <c r="R185" s="8">
        <v>1126.29</v>
      </c>
      <c r="S185" s="8">
        <v>2050.87</v>
      </c>
      <c r="T185" s="8">
        <v>2050.87</v>
      </c>
      <c r="U185" s="8" t="str">
        <f>IF(T185&lt;=_xlfn.PERCENTILE.INC($T185:$T$633,0.33), "Low", IF(T185&lt;=_xlfn.PERCENTILE.INC($T185:$T$633,0.66), "Medium", "High"))</f>
        <v>High</v>
      </c>
      <c r="V185" s="10">
        <v>6.4000000000000001E-2</v>
      </c>
      <c r="W185" s="10">
        <f t="shared" si="29"/>
        <v>6.4000000000000001E-2</v>
      </c>
      <c r="X185" s="12">
        <v>7</v>
      </c>
      <c r="Y185" s="8">
        <f t="shared" si="22"/>
        <v>13437.300239999999</v>
      </c>
      <c r="Z185" s="8">
        <f t="shared" si="23"/>
        <v>7884.03</v>
      </c>
      <c r="AA185" s="8">
        <f t="shared" si="30"/>
        <v>5553.2702399999989</v>
      </c>
      <c r="AB185" s="10">
        <f t="shared" si="31"/>
        <v>0.41327276616690373</v>
      </c>
      <c r="AC185" s="14">
        <f>_xlfn.MINIFS($C$2:$C$633, $J$2:$J$633, J185)</f>
        <v>44938</v>
      </c>
      <c r="AD185">
        <f>DATEDIF(AC185, C185, "m")</f>
        <v>1</v>
      </c>
      <c r="AE185" s="8">
        <f t="shared" si="32"/>
        <v>1919.6143199999999</v>
      </c>
    </row>
    <row r="186" spans="1:31" x14ac:dyDescent="0.3">
      <c r="A186" s="4" t="s">
        <v>385</v>
      </c>
      <c r="B186" s="6">
        <v>44962</v>
      </c>
      <c r="C186" s="14">
        <v>44962</v>
      </c>
      <c r="D186" s="14" t="str">
        <f t="shared" si="24"/>
        <v>Q1 -2023</v>
      </c>
      <c r="E186" s="6">
        <v>44985</v>
      </c>
      <c r="F186" s="6">
        <f t="shared" si="25"/>
        <v>44985</v>
      </c>
      <c r="G186" s="12">
        <f t="shared" si="26"/>
        <v>23</v>
      </c>
      <c r="H186" s="12">
        <f t="shared" si="27"/>
        <v>0</v>
      </c>
      <c r="I186" s="4" t="s">
        <v>648</v>
      </c>
      <c r="J186" s="4" t="s">
        <v>660</v>
      </c>
      <c r="K186" s="4" t="s">
        <v>697</v>
      </c>
      <c r="L186" t="str">
        <f t="shared" si="28"/>
        <v>Americas&gt;USA&gt;Austin</v>
      </c>
      <c r="M186" s="4" t="s">
        <v>703</v>
      </c>
      <c r="N186" s="4" t="s">
        <v>710</v>
      </c>
      <c r="O186" s="4" t="s">
        <v>716</v>
      </c>
      <c r="P186" s="4" t="s">
        <v>730</v>
      </c>
      <c r="Q186" s="4" t="s">
        <v>1105</v>
      </c>
      <c r="R186" s="8">
        <v>1214.49</v>
      </c>
      <c r="S186" s="8">
        <v>1533.95</v>
      </c>
      <c r="T186" s="8">
        <v>1533.95</v>
      </c>
      <c r="U186" s="8" t="str">
        <f>IF(T186&lt;=_xlfn.PERCENTILE.INC($T186:$T$633,0.33), "Low", IF(T186&lt;=_xlfn.PERCENTILE.INC($T186:$T$633,0.66), "Medium", "High"))</f>
        <v>Medium</v>
      </c>
      <c r="V186" s="10">
        <v>0</v>
      </c>
      <c r="W186" s="10">
        <f t="shared" si="29"/>
        <v>0</v>
      </c>
      <c r="X186" s="12">
        <v>11</v>
      </c>
      <c r="Y186" s="8">
        <f t="shared" si="22"/>
        <v>16873.45</v>
      </c>
      <c r="Z186" s="8">
        <f t="shared" si="23"/>
        <v>13359.39</v>
      </c>
      <c r="AA186" s="8">
        <f t="shared" si="30"/>
        <v>3514.0600000000013</v>
      </c>
      <c r="AB186" s="10">
        <f t="shared" si="31"/>
        <v>0.20825972163369086</v>
      </c>
      <c r="AC186" s="14">
        <f>_xlfn.MINIFS($C$2:$C$633, $J$2:$J$633, J186)</f>
        <v>44939</v>
      </c>
      <c r="AD186">
        <f>DATEDIF(AC186, C186, "m")</f>
        <v>0</v>
      </c>
      <c r="AE186" s="8">
        <f t="shared" si="32"/>
        <v>1533.95</v>
      </c>
    </row>
    <row r="187" spans="1:31" x14ac:dyDescent="0.3">
      <c r="A187" s="4" t="s">
        <v>596</v>
      </c>
      <c r="B187" s="6">
        <v>44955</v>
      </c>
      <c r="C187" s="14">
        <v>44955</v>
      </c>
      <c r="D187" s="14" t="str">
        <f t="shared" si="24"/>
        <v>Q1 -2023</v>
      </c>
      <c r="E187" s="6">
        <v>44963</v>
      </c>
      <c r="F187" s="6">
        <f t="shared" si="25"/>
        <v>44963</v>
      </c>
      <c r="G187" s="12">
        <f t="shared" si="26"/>
        <v>8</v>
      </c>
      <c r="H187" s="12">
        <f t="shared" si="27"/>
        <v>0</v>
      </c>
      <c r="I187" s="4" t="s">
        <v>648</v>
      </c>
      <c r="J187" s="4" t="s">
        <v>655</v>
      </c>
      <c r="K187" s="4" t="s">
        <v>672</v>
      </c>
      <c r="L187" t="str">
        <f t="shared" si="28"/>
        <v>Americas&gt;Brazil&gt;Brasília</v>
      </c>
      <c r="M187" s="4" t="s">
        <v>701</v>
      </c>
      <c r="N187" s="4" t="s">
        <v>709</v>
      </c>
      <c r="O187" s="4" t="s">
        <v>726</v>
      </c>
      <c r="P187" s="4" t="s">
        <v>732</v>
      </c>
      <c r="Q187" s="4" t="s">
        <v>1314</v>
      </c>
      <c r="R187" s="8">
        <v>41.84</v>
      </c>
      <c r="S187" s="8">
        <v>86.2</v>
      </c>
      <c r="T187" s="8">
        <v>86.2</v>
      </c>
      <c r="U187" s="8" t="str">
        <f>IF(T187&lt;=_xlfn.PERCENTILE.INC($T187:$T$633,0.33), "Low", IF(T187&lt;=_xlfn.PERCENTILE.INC($T187:$T$633,0.66), "Medium", "High"))</f>
        <v>Low</v>
      </c>
      <c r="V187" s="10">
        <v>0.22600000000000001</v>
      </c>
      <c r="W187" s="10">
        <f t="shared" si="29"/>
        <v>0.22600000000000001</v>
      </c>
      <c r="X187" s="12">
        <v>27</v>
      </c>
      <c r="Y187" s="8">
        <f t="shared" si="22"/>
        <v>1801.4076000000002</v>
      </c>
      <c r="Z187" s="8">
        <f t="shared" si="23"/>
        <v>1129.68</v>
      </c>
      <c r="AA187" s="8">
        <f t="shared" si="30"/>
        <v>671.72760000000017</v>
      </c>
      <c r="AB187" s="10">
        <f t="shared" si="31"/>
        <v>0.37289039970742882</v>
      </c>
      <c r="AC187" s="14">
        <f>_xlfn.MINIFS($C$2:$C$633, $J$2:$J$633, J187)</f>
        <v>44955</v>
      </c>
      <c r="AD187">
        <f>DATEDIF(AC187, C187, "m")</f>
        <v>0</v>
      </c>
      <c r="AE187" s="8">
        <f t="shared" si="32"/>
        <v>66.718800000000002</v>
      </c>
    </row>
    <row r="188" spans="1:31" x14ac:dyDescent="0.3">
      <c r="A188" s="4" t="s">
        <v>50</v>
      </c>
      <c r="B188" s="6">
        <v>45012</v>
      </c>
      <c r="C188" s="14">
        <v>45012</v>
      </c>
      <c r="D188" s="14" t="str">
        <f t="shared" si="24"/>
        <v>Q1 -2023</v>
      </c>
      <c r="E188" s="6">
        <v>45038</v>
      </c>
      <c r="F188" s="6">
        <f t="shared" si="25"/>
        <v>45038</v>
      </c>
      <c r="G188" s="12">
        <f t="shared" si="26"/>
        <v>26</v>
      </c>
      <c r="H188" s="12">
        <f t="shared" si="27"/>
        <v>0</v>
      </c>
      <c r="I188" s="4" t="s">
        <v>647</v>
      </c>
      <c r="J188" s="4" t="s">
        <v>654</v>
      </c>
      <c r="K188" s="4" t="s">
        <v>680</v>
      </c>
      <c r="L188" t="str">
        <f t="shared" si="28"/>
        <v>Asia&gt;India&gt;Delhi</v>
      </c>
      <c r="M188" s="4" t="s">
        <v>703</v>
      </c>
      <c r="N188" s="4" t="s">
        <v>709</v>
      </c>
      <c r="O188" s="4" t="s">
        <v>713</v>
      </c>
      <c r="P188" s="4" t="s">
        <v>728</v>
      </c>
      <c r="Q188" s="4" t="s">
        <v>769</v>
      </c>
      <c r="R188" s="8">
        <v>178.53</v>
      </c>
      <c r="S188" s="8">
        <v>199.37</v>
      </c>
      <c r="T188" s="8">
        <v>199.37</v>
      </c>
      <c r="U188" s="8" t="str">
        <f>IF(T188&lt;=_xlfn.PERCENTILE.INC($T188:$T$633,0.33), "Low", IF(T188&lt;=_xlfn.PERCENTILE.INC($T188:$T$633,0.66), "Medium", "High"))</f>
        <v>Low</v>
      </c>
      <c r="V188" s="10">
        <v>0.10100000000000001</v>
      </c>
      <c r="W188" s="10">
        <f t="shared" si="29"/>
        <v>0.10100000000000001</v>
      </c>
      <c r="X188" s="12">
        <v>37</v>
      </c>
      <c r="Y188" s="8">
        <f t="shared" si="22"/>
        <v>6631.6443100000006</v>
      </c>
      <c r="Z188" s="8">
        <f t="shared" si="23"/>
        <v>6605.61</v>
      </c>
      <c r="AA188" s="8">
        <f t="shared" si="30"/>
        <v>26.034310000000914</v>
      </c>
      <c r="AB188" s="10">
        <f t="shared" si="31"/>
        <v>3.9257699573457538E-3</v>
      </c>
      <c r="AC188" s="14">
        <f>_xlfn.MINIFS($C$2:$C$633, $J$2:$J$633, J188)</f>
        <v>44955</v>
      </c>
      <c r="AD188">
        <f>DATEDIF(AC188, C188, "m")</f>
        <v>1</v>
      </c>
      <c r="AE188" s="8">
        <f t="shared" si="32"/>
        <v>179.23363000000001</v>
      </c>
    </row>
    <row r="189" spans="1:31" x14ac:dyDescent="0.3">
      <c r="A189" s="4" t="s">
        <v>522</v>
      </c>
      <c r="B189" s="6">
        <v>45029</v>
      </c>
      <c r="C189" s="14">
        <v>45029</v>
      </c>
      <c r="D189" s="14" t="str">
        <f t="shared" si="24"/>
        <v>Q2 -2023</v>
      </c>
      <c r="E189" s="6">
        <v>45036</v>
      </c>
      <c r="F189" s="6">
        <f t="shared" si="25"/>
        <v>45036</v>
      </c>
      <c r="G189" s="12">
        <f t="shared" si="26"/>
        <v>7</v>
      </c>
      <c r="H189" s="12">
        <f t="shared" si="27"/>
        <v>1</v>
      </c>
      <c r="I189" s="4" t="s">
        <v>649</v>
      </c>
      <c r="J189" s="4" t="s">
        <v>657</v>
      </c>
      <c r="K189" s="4" t="s">
        <v>679</v>
      </c>
      <c r="L189" t="str">
        <f t="shared" si="28"/>
        <v>Europe&gt;France&gt;Lyon</v>
      </c>
      <c r="M189" s="4" t="s">
        <v>705</v>
      </c>
      <c r="N189" s="4" t="s">
        <v>708</v>
      </c>
      <c r="O189" s="4" t="s">
        <v>720</v>
      </c>
      <c r="P189" s="4" t="s">
        <v>731</v>
      </c>
      <c r="Q189" s="4" t="s">
        <v>1241</v>
      </c>
      <c r="R189" s="8">
        <v>227.02</v>
      </c>
      <c r="S189" s="8">
        <v>434.72</v>
      </c>
      <c r="T189" s="8">
        <v>434.72</v>
      </c>
      <c r="U189" s="8" t="str">
        <f>IF(T189&lt;=_xlfn.PERCENTILE.INC($T189:$T$633,0.33), "Low", IF(T189&lt;=_xlfn.PERCENTILE.INC($T189:$T$633,0.66), "Medium", "High"))</f>
        <v>Low</v>
      </c>
      <c r="V189" s="10">
        <v>9.8000000000000004E-2</v>
      </c>
      <c r="W189" s="10">
        <f t="shared" si="29"/>
        <v>9.8000000000000004E-2</v>
      </c>
      <c r="X189" s="12">
        <v>10</v>
      </c>
      <c r="Y189" s="8">
        <f t="shared" si="22"/>
        <v>3921.1744000000008</v>
      </c>
      <c r="Z189" s="8">
        <f t="shared" si="23"/>
        <v>2270.2000000000003</v>
      </c>
      <c r="AA189" s="8">
        <f t="shared" si="30"/>
        <v>1650.9744000000005</v>
      </c>
      <c r="AB189" s="10">
        <f t="shared" si="31"/>
        <v>0.42104079838938052</v>
      </c>
      <c r="AC189" s="14">
        <f>_xlfn.MINIFS($C$2:$C$633, $J$2:$J$633, J189)</f>
        <v>44936</v>
      </c>
      <c r="AD189">
        <f>DATEDIF(AC189, C189, "m")</f>
        <v>3</v>
      </c>
      <c r="AE189" s="8">
        <f t="shared" si="32"/>
        <v>392.1174400000001</v>
      </c>
    </row>
    <row r="190" spans="1:31" x14ac:dyDescent="0.3">
      <c r="A190" s="4" t="s">
        <v>498</v>
      </c>
      <c r="B190" s="6">
        <v>45148</v>
      </c>
      <c r="C190" s="14">
        <v>45148</v>
      </c>
      <c r="D190" s="14" t="str">
        <f t="shared" si="24"/>
        <v>Q3 -2023</v>
      </c>
      <c r="E190" s="6">
        <v>45153</v>
      </c>
      <c r="F190" s="6">
        <f t="shared" si="25"/>
        <v>45153</v>
      </c>
      <c r="G190" s="12">
        <f t="shared" si="26"/>
        <v>5</v>
      </c>
      <c r="H190" s="12">
        <f t="shared" si="27"/>
        <v>1</v>
      </c>
      <c r="I190" s="4" t="s">
        <v>648</v>
      </c>
      <c r="J190" s="4" t="s">
        <v>655</v>
      </c>
      <c r="K190" s="4" t="s">
        <v>670</v>
      </c>
      <c r="L190" t="str">
        <f t="shared" si="28"/>
        <v>Americas&gt;Brazil&gt;São Paulo</v>
      </c>
      <c r="M190" s="4" t="s">
        <v>702</v>
      </c>
      <c r="N190" s="4" t="s">
        <v>711</v>
      </c>
      <c r="O190" s="4" t="s">
        <v>715</v>
      </c>
      <c r="P190" s="4" t="s">
        <v>729</v>
      </c>
      <c r="Q190" s="4" t="s">
        <v>1217</v>
      </c>
      <c r="R190" s="8">
        <v>1307.52</v>
      </c>
      <c r="S190" s="8">
        <v>1921.65</v>
      </c>
      <c r="T190" s="8">
        <v>1921.65</v>
      </c>
      <c r="U190" s="8" t="str">
        <f>IF(T190&lt;=_xlfn.PERCENTILE.INC($T190:$T$633,0.33), "Low", IF(T190&lt;=_xlfn.PERCENTILE.INC($T190:$T$633,0.66), "Medium", "High"))</f>
        <v>High</v>
      </c>
      <c r="V190" s="10">
        <v>0.123</v>
      </c>
      <c r="W190" s="10">
        <f t="shared" si="29"/>
        <v>0.123</v>
      </c>
      <c r="X190" s="12">
        <v>13</v>
      </c>
      <c r="Y190" s="8">
        <f t="shared" si="22"/>
        <v>21908.731650000002</v>
      </c>
      <c r="Z190" s="8">
        <f t="shared" si="23"/>
        <v>16997.759999999998</v>
      </c>
      <c r="AA190" s="8">
        <f t="shared" si="30"/>
        <v>4910.9716500000031</v>
      </c>
      <c r="AB190" s="10">
        <f t="shared" si="31"/>
        <v>0.22415590863289445</v>
      </c>
      <c r="AC190" s="14">
        <f>_xlfn.MINIFS($C$2:$C$633, $J$2:$J$633, J190)</f>
        <v>44955</v>
      </c>
      <c r="AD190">
        <f>DATEDIF(AC190, C190, "m")</f>
        <v>6</v>
      </c>
      <c r="AE190" s="8">
        <f t="shared" si="32"/>
        <v>1685.2870500000001</v>
      </c>
    </row>
    <row r="191" spans="1:31" x14ac:dyDescent="0.3">
      <c r="A191" s="4" t="s">
        <v>150</v>
      </c>
      <c r="B191" s="6">
        <v>45028</v>
      </c>
      <c r="C191" s="14">
        <v>45028</v>
      </c>
      <c r="D191" s="14" t="str">
        <f t="shared" si="24"/>
        <v>Q2 -2023</v>
      </c>
      <c r="E191" s="6">
        <v>45033</v>
      </c>
      <c r="F191" s="6">
        <f t="shared" si="25"/>
        <v>45033</v>
      </c>
      <c r="G191" s="12">
        <f t="shared" si="26"/>
        <v>5</v>
      </c>
      <c r="H191" s="12">
        <f t="shared" si="27"/>
        <v>1</v>
      </c>
      <c r="I191" s="4" t="s">
        <v>649</v>
      </c>
      <c r="J191" s="4" t="s">
        <v>657</v>
      </c>
      <c r="K191" s="4" t="s">
        <v>679</v>
      </c>
      <c r="L191" t="str">
        <f t="shared" si="28"/>
        <v>Europe&gt;France&gt;Lyon</v>
      </c>
      <c r="M191" s="4" t="s">
        <v>706</v>
      </c>
      <c r="N191" s="4" t="s">
        <v>711</v>
      </c>
      <c r="O191" s="4" t="s">
        <v>718</v>
      </c>
      <c r="P191" s="4" t="s">
        <v>732</v>
      </c>
      <c r="Q191" s="4" t="s">
        <v>869</v>
      </c>
      <c r="R191" s="8">
        <v>1087.81</v>
      </c>
      <c r="S191" s="8">
        <v>2323.87</v>
      </c>
      <c r="T191" s="8">
        <v>2323.87</v>
      </c>
      <c r="U191" s="8" t="str">
        <f>IF(T191&lt;=_xlfn.PERCENTILE.INC($T191:$T$633,0.33), "Low", IF(T191&lt;=_xlfn.PERCENTILE.INC($T191:$T$633,0.66), "Medium", "High"))</f>
        <v>High</v>
      </c>
      <c r="V191" s="10">
        <v>9.4E-2</v>
      </c>
      <c r="W191" s="10">
        <f t="shared" si="29"/>
        <v>9.4E-2</v>
      </c>
      <c r="X191" s="12">
        <v>13</v>
      </c>
      <c r="Y191" s="8">
        <f t="shared" si="22"/>
        <v>27370.540859999997</v>
      </c>
      <c r="Z191" s="8">
        <f t="shared" si="23"/>
        <v>14141.529999999999</v>
      </c>
      <c r="AA191" s="8">
        <f t="shared" si="30"/>
        <v>13229.010859999999</v>
      </c>
      <c r="AB191" s="10">
        <f t="shared" si="31"/>
        <v>0.48333026839572651</v>
      </c>
      <c r="AC191" s="14">
        <f>_xlfn.MINIFS($C$2:$C$633, $J$2:$J$633, J191)</f>
        <v>44936</v>
      </c>
      <c r="AD191">
        <f>DATEDIF(AC191, C191, "m")</f>
        <v>3</v>
      </c>
      <c r="AE191" s="8">
        <f t="shared" si="32"/>
        <v>2105.4262199999998</v>
      </c>
    </row>
    <row r="192" spans="1:31" x14ac:dyDescent="0.3">
      <c r="A192" s="4" t="s">
        <v>36</v>
      </c>
      <c r="B192" s="6">
        <v>45057</v>
      </c>
      <c r="C192" s="14">
        <v>45057</v>
      </c>
      <c r="D192" s="14" t="str">
        <f t="shared" si="24"/>
        <v>Q2 -2023</v>
      </c>
      <c r="E192" s="6">
        <v>45074</v>
      </c>
      <c r="F192" s="6">
        <f t="shared" si="25"/>
        <v>45074</v>
      </c>
      <c r="G192" s="12">
        <f t="shared" si="26"/>
        <v>17</v>
      </c>
      <c r="H192" s="12">
        <f t="shared" si="27"/>
        <v>0</v>
      </c>
      <c r="I192" s="4" t="s">
        <v>647</v>
      </c>
      <c r="J192" s="4" t="s">
        <v>659</v>
      </c>
      <c r="K192" s="4" t="s">
        <v>676</v>
      </c>
      <c r="L192" t="str">
        <f t="shared" si="28"/>
        <v>Asia&gt;China&gt;Shenzhen</v>
      </c>
      <c r="M192" s="4" t="s">
        <v>706</v>
      </c>
      <c r="N192" s="4" t="s">
        <v>709</v>
      </c>
      <c r="O192" s="4" t="s">
        <v>718</v>
      </c>
      <c r="P192" s="4" t="s">
        <v>729</v>
      </c>
      <c r="Q192" s="4" t="s">
        <v>755</v>
      </c>
      <c r="R192" s="8">
        <v>1331.19</v>
      </c>
      <c r="S192" s="8">
        <v>2903.09</v>
      </c>
      <c r="T192" s="8">
        <v>2903.09</v>
      </c>
      <c r="U192" s="8" t="str">
        <f>IF(T192&lt;=_xlfn.PERCENTILE.INC($T192:$T$633,0.33), "Low", IF(T192&lt;=_xlfn.PERCENTILE.INC($T192:$T$633,0.66), "Medium", "High"))</f>
        <v>High</v>
      </c>
      <c r="V192" s="10">
        <v>0.14299999999999999</v>
      </c>
      <c r="W192" s="10">
        <f t="shared" si="29"/>
        <v>0.14299999999999999</v>
      </c>
      <c r="X192" s="12">
        <v>8</v>
      </c>
      <c r="Y192" s="8">
        <f t="shared" si="22"/>
        <v>19903.585040000002</v>
      </c>
      <c r="Z192" s="8">
        <f t="shared" si="23"/>
        <v>10649.52</v>
      </c>
      <c r="AA192" s="8">
        <f t="shared" si="30"/>
        <v>9254.0650400000013</v>
      </c>
      <c r="AB192" s="10">
        <f t="shared" si="31"/>
        <v>0.46494463290920784</v>
      </c>
      <c r="AC192" s="14">
        <f>_xlfn.MINIFS($C$2:$C$633, $J$2:$J$633, J192)</f>
        <v>44938</v>
      </c>
      <c r="AD192">
        <f>DATEDIF(AC192, C192, "m")</f>
        <v>3</v>
      </c>
      <c r="AE192" s="8">
        <f t="shared" si="32"/>
        <v>2487.9481300000002</v>
      </c>
    </row>
    <row r="193" spans="1:31" x14ac:dyDescent="0.3">
      <c r="A193" s="4" t="s">
        <v>585</v>
      </c>
      <c r="B193" s="6">
        <v>45078</v>
      </c>
      <c r="C193" s="14">
        <v>45078</v>
      </c>
      <c r="D193" s="14" t="str">
        <f t="shared" si="24"/>
        <v>Q2 -2023</v>
      </c>
      <c r="E193" s="6">
        <v>45078</v>
      </c>
      <c r="F193" s="6">
        <f t="shared" si="25"/>
        <v>45078</v>
      </c>
      <c r="G193" s="12">
        <f t="shared" si="26"/>
        <v>0</v>
      </c>
      <c r="H193" s="12">
        <f t="shared" si="27"/>
        <v>1</v>
      </c>
      <c r="I193" s="4" t="s">
        <v>647</v>
      </c>
      <c r="J193" s="4" t="s">
        <v>654</v>
      </c>
      <c r="K193" s="4" t="s">
        <v>668</v>
      </c>
      <c r="L193" t="str">
        <f t="shared" si="28"/>
        <v>Asia&gt;India&gt;Bengaluru</v>
      </c>
      <c r="M193" s="4" t="s">
        <v>701</v>
      </c>
      <c r="N193" s="4" t="s">
        <v>707</v>
      </c>
      <c r="O193" s="4" t="s">
        <v>718</v>
      </c>
      <c r="P193" s="4" t="s">
        <v>733</v>
      </c>
      <c r="Q193" s="4" t="s">
        <v>1303</v>
      </c>
      <c r="R193" s="8">
        <v>669.37</v>
      </c>
      <c r="S193" s="8">
        <v>997.2</v>
      </c>
      <c r="T193" s="8">
        <v>997.2</v>
      </c>
      <c r="U193" s="8" t="str">
        <f>IF(T193&lt;=_xlfn.PERCENTILE.INC($T193:$T$633,0.33), "Low", IF(T193&lt;=_xlfn.PERCENTILE.INC($T193:$T$633,0.66), "Medium", "High"))</f>
        <v>Medium</v>
      </c>
      <c r="V193" s="10">
        <v>8.2000000000000003E-2</v>
      </c>
      <c r="W193" s="10">
        <f t="shared" si="29"/>
        <v>8.2000000000000003E-2</v>
      </c>
      <c r="X193" s="12">
        <v>5</v>
      </c>
      <c r="Y193" s="8">
        <f t="shared" si="22"/>
        <v>4577.1480000000001</v>
      </c>
      <c r="Z193" s="8">
        <f t="shared" si="23"/>
        <v>3346.85</v>
      </c>
      <c r="AA193" s="8">
        <f t="shared" si="30"/>
        <v>1230.2980000000002</v>
      </c>
      <c r="AB193" s="10">
        <f t="shared" si="31"/>
        <v>0.26879139586484863</v>
      </c>
      <c r="AC193" s="14">
        <f>_xlfn.MINIFS($C$2:$C$633, $J$2:$J$633, J193)</f>
        <v>44955</v>
      </c>
      <c r="AD193">
        <f>DATEDIF(AC193, C193, "m")</f>
        <v>4</v>
      </c>
      <c r="AE193" s="8">
        <f t="shared" si="32"/>
        <v>915.42960000000005</v>
      </c>
    </row>
    <row r="194" spans="1:31" x14ac:dyDescent="0.3">
      <c r="A194" s="4" t="s">
        <v>110</v>
      </c>
      <c r="B194" s="6">
        <v>45022</v>
      </c>
      <c r="C194" s="14">
        <v>45022</v>
      </c>
      <c r="D194" s="14" t="str">
        <f t="shared" si="24"/>
        <v>Q2 -2023</v>
      </c>
      <c r="E194" s="6">
        <v>45043</v>
      </c>
      <c r="F194" s="6">
        <f t="shared" si="25"/>
        <v>45043</v>
      </c>
      <c r="G194" s="12">
        <f t="shared" si="26"/>
        <v>21</v>
      </c>
      <c r="H194" s="12">
        <f t="shared" si="27"/>
        <v>0</v>
      </c>
      <c r="I194" s="4" t="s">
        <v>649</v>
      </c>
      <c r="J194" s="4" t="s">
        <v>658</v>
      </c>
      <c r="K194" s="4" t="s">
        <v>693</v>
      </c>
      <c r="L194" t="str">
        <f t="shared" si="28"/>
        <v>Europe&gt;United Kingdom&gt;Manchester</v>
      </c>
      <c r="M194" s="4" t="s">
        <v>706</v>
      </c>
      <c r="N194" s="4" t="s">
        <v>710</v>
      </c>
      <c r="O194" s="4" t="s">
        <v>714</v>
      </c>
      <c r="P194" s="4" t="s">
        <v>728</v>
      </c>
      <c r="Q194" s="4" t="s">
        <v>829</v>
      </c>
      <c r="R194" s="8">
        <v>1084.79</v>
      </c>
      <c r="S194" s="8">
        <v>2484.9899999999998</v>
      </c>
      <c r="T194" s="8">
        <v>2484.9899999999998</v>
      </c>
      <c r="U194" s="8" t="str">
        <f>IF(T194&lt;=_xlfn.PERCENTILE.INC($T194:$T$633,0.33), "Low", IF(T194&lt;=_xlfn.PERCENTILE.INC($T194:$T$633,0.66), "Medium", "High"))</f>
        <v>High</v>
      </c>
      <c r="V194" s="10">
        <v>3.4000000000000002E-2</v>
      </c>
      <c r="W194" s="10">
        <f t="shared" si="29"/>
        <v>3.4000000000000002E-2</v>
      </c>
      <c r="X194" s="12">
        <v>18</v>
      </c>
      <c r="Y194" s="8">
        <f t="shared" ref="Y194:Y257" si="33">(T194*X194*(1-W194))</f>
        <v>43209.006119999991</v>
      </c>
      <c r="Z194" s="8">
        <f t="shared" ref="Z194:Z257" si="34">R194*X194</f>
        <v>19526.22</v>
      </c>
      <c r="AA194" s="8">
        <f t="shared" si="30"/>
        <v>23682.78611999999</v>
      </c>
      <c r="AB194" s="10">
        <f t="shared" si="31"/>
        <v>0.54809837685755114</v>
      </c>
      <c r="AC194" s="14">
        <f>_xlfn.MINIFS($C$2:$C$633, $J$2:$J$633, J194)</f>
        <v>44945</v>
      </c>
      <c r="AD194">
        <f>DATEDIF(AC194, C194, "m")</f>
        <v>2</v>
      </c>
      <c r="AE194" s="8">
        <f t="shared" si="32"/>
        <v>2400.5003399999996</v>
      </c>
    </row>
    <row r="195" spans="1:31" x14ac:dyDescent="0.3">
      <c r="A195" s="4" t="s">
        <v>130</v>
      </c>
      <c r="B195" s="6">
        <v>44987</v>
      </c>
      <c r="C195" s="14">
        <v>44987</v>
      </c>
      <c r="D195" s="14" t="str">
        <f t="shared" ref="D195:D258" si="35">IF(MONTH(C195) &lt;=3, "Q1", IF(MONTH(C195)&lt;=6, "Q2", IF(MONTH(C195)&lt;=9, "Q3", "Q4")))&amp; " -" &amp; YEAR(C195)</f>
        <v>Q1 -2023</v>
      </c>
      <c r="E195" s="6">
        <v>44990</v>
      </c>
      <c r="F195" s="6">
        <f t="shared" ref="F195:F258" si="36">IF(E195&lt;B195, E195 + 7, E195)</f>
        <v>44990</v>
      </c>
      <c r="G195" s="12">
        <f t="shared" ref="G195:G258" si="37">DATEDIF(B195, F195,"D")</f>
        <v>3</v>
      </c>
      <c r="H195" s="12">
        <f t="shared" ref="H195:H258" si="38">IF(G195&lt;=7,1,0)</f>
        <v>1</v>
      </c>
      <c r="I195" s="4" t="s">
        <v>648</v>
      </c>
      <c r="J195" s="4" t="s">
        <v>655</v>
      </c>
      <c r="K195" s="4" t="s">
        <v>672</v>
      </c>
      <c r="L195" t="str">
        <f t="shared" ref="L195:L258" si="39">I195&amp;"&gt;"&amp;J195 &amp;"&gt;"&amp;K195</f>
        <v>Americas&gt;Brazil&gt;Brasília</v>
      </c>
      <c r="M195" s="4" t="s">
        <v>706</v>
      </c>
      <c r="N195" s="4" t="s">
        <v>711</v>
      </c>
      <c r="O195" s="4" t="s">
        <v>715</v>
      </c>
      <c r="P195" s="4" t="s">
        <v>732</v>
      </c>
      <c r="Q195" s="4" t="s">
        <v>849</v>
      </c>
      <c r="R195" s="8">
        <v>1473.58</v>
      </c>
      <c r="S195" s="8">
        <v>3436.52</v>
      </c>
      <c r="T195" s="8">
        <v>3436.52</v>
      </c>
      <c r="U195" s="8" t="str">
        <f>IF(T195&lt;=_xlfn.PERCENTILE.INC($T195:$T$633,0.33), "Low", IF(T195&lt;=_xlfn.PERCENTILE.INC($T195:$T$633,0.66), "Medium", "High"))</f>
        <v>High</v>
      </c>
      <c r="V195" s="10">
        <v>0.108</v>
      </c>
      <c r="W195" s="10">
        <f t="shared" ref="W195:W258" si="40">IF(V195&gt;0.3,0.3,V195)</f>
        <v>0.108</v>
      </c>
      <c r="X195" s="12">
        <v>8</v>
      </c>
      <c r="Y195" s="8">
        <f t="shared" si="33"/>
        <v>24523.006720000001</v>
      </c>
      <c r="Z195" s="8">
        <f t="shared" si="34"/>
        <v>11788.64</v>
      </c>
      <c r="AA195" s="8">
        <f t="shared" ref="AA195:AA258" si="41">Y195-Z195</f>
        <v>12734.366720000002</v>
      </c>
      <c r="AB195" s="10">
        <f t="shared" ref="AB195:AB258" si="42">IF(Y195 = 0, 0, AA195/Y195)</f>
        <v>0.51928243813652564</v>
      </c>
      <c r="AC195" s="14">
        <f>_xlfn.MINIFS($C$2:$C$633, $J$2:$J$633, J195)</f>
        <v>44955</v>
      </c>
      <c r="AD195">
        <f>DATEDIF(AC195, C195, "m")</f>
        <v>1</v>
      </c>
      <c r="AE195" s="8">
        <f t="shared" ref="AE195:AE258" si="43">(Y195/X195)</f>
        <v>3065.3758400000002</v>
      </c>
    </row>
    <row r="196" spans="1:31" x14ac:dyDescent="0.3">
      <c r="A196" s="4" t="s">
        <v>471</v>
      </c>
      <c r="B196" s="6">
        <v>45048</v>
      </c>
      <c r="C196" s="14">
        <v>45048</v>
      </c>
      <c r="D196" s="14" t="str">
        <f t="shared" si="35"/>
        <v>Q2 -2023</v>
      </c>
      <c r="E196" s="6">
        <v>45065</v>
      </c>
      <c r="F196" s="6">
        <f t="shared" si="36"/>
        <v>45065</v>
      </c>
      <c r="G196" s="12">
        <f t="shared" si="37"/>
        <v>17</v>
      </c>
      <c r="H196" s="12">
        <f t="shared" si="38"/>
        <v>0</v>
      </c>
      <c r="I196" s="4" t="s">
        <v>647</v>
      </c>
      <c r="J196" s="4" t="s">
        <v>659</v>
      </c>
      <c r="K196" s="4" t="s">
        <v>685</v>
      </c>
      <c r="L196" t="str">
        <f t="shared" si="39"/>
        <v>Asia&gt;China&gt;Shanghai</v>
      </c>
      <c r="M196" s="4" t="s">
        <v>703</v>
      </c>
      <c r="N196" s="4" t="s">
        <v>711</v>
      </c>
      <c r="O196" s="4" t="s">
        <v>713</v>
      </c>
      <c r="P196" s="4" t="s">
        <v>732</v>
      </c>
      <c r="Q196" s="4" t="s">
        <v>1190</v>
      </c>
      <c r="R196" s="8">
        <v>714.28</v>
      </c>
      <c r="S196" s="8">
        <v>757.59</v>
      </c>
      <c r="T196" s="8">
        <v>757.59</v>
      </c>
      <c r="U196" s="8" t="str">
        <f>IF(T196&lt;=_xlfn.PERCENTILE.INC($T196:$T$633,0.33), "Low", IF(T196&lt;=_xlfn.PERCENTILE.INC($T196:$T$633,0.66), "Medium", "High"))</f>
        <v>Low</v>
      </c>
      <c r="V196" s="10">
        <v>0.13600000000000001</v>
      </c>
      <c r="W196" s="10">
        <f t="shared" si="40"/>
        <v>0.13600000000000001</v>
      </c>
      <c r="X196" s="12">
        <v>12</v>
      </c>
      <c r="Y196" s="8">
        <f t="shared" si="33"/>
        <v>7854.6931199999999</v>
      </c>
      <c r="Z196" s="8">
        <f t="shared" si="34"/>
        <v>8571.36</v>
      </c>
      <c r="AA196" s="8">
        <f t="shared" si="41"/>
        <v>-716.66688000000067</v>
      </c>
      <c r="AB196" s="10">
        <f t="shared" si="42"/>
        <v>-9.1240595787910383E-2</v>
      </c>
      <c r="AC196" s="14">
        <f>_xlfn.MINIFS($C$2:$C$633, $J$2:$J$633, J196)</f>
        <v>44938</v>
      </c>
      <c r="AD196">
        <f>DATEDIF(AC196, C196, "m")</f>
        <v>3</v>
      </c>
      <c r="AE196" s="8">
        <f t="shared" si="43"/>
        <v>654.55776000000003</v>
      </c>
    </row>
    <row r="197" spans="1:31" x14ac:dyDescent="0.3">
      <c r="A197" s="4" t="s">
        <v>140</v>
      </c>
      <c r="B197" s="6">
        <v>45150</v>
      </c>
      <c r="C197" s="14">
        <v>45150</v>
      </c>
      <c r="D197" s="14" t="str">
        <f t="shared" si="35"/>
        <v>Q3 -2023</v>
      </c>
      <c r="E197" s="6">
        <v>45175</v>
      </c>
      <c r="F197" s="6">
        <f t="shared" si="36"/>
        <v>45175</v>
      </c>
      <c r="G197" s="12">
        <f t="shared" si="37"/>
        <v>25</v>
      </c>
      <c r="H197" s="12">
        <f t="shared" si="38"/>
        <v>0</v>
      </c>
      <c r="I197" s="4" t="s">
        <v>647</v>
      </c>
      <c r="J197" s="4" t="s">
        <v>659</v>
      </c>
      <c r="K197" s="4" t="s">
        <v>685</v>
      </c>
      <c r="L197" t="str">
        <f t="shared" si="39"/>
        <v>Asia&gt;China&gt;Shanghai</v>
      </c>
      <c r="M197" s="4" t="s">
        <v>705</v>
      </c>
      <c r="N197" s="4" t="s">
        <v>707</v>
      </c>
      <c r="O197" s="4" t="s">
        <v>717</v>
      </c>
      <c r="P197" s="4" t="s">
        <v>727</v>
      </c>
      <c r="Q197" s="4" t="s">
        <v>859</v>
      </c>
      <c r="R197" s="8">
        <v>950.77</v>
      </c>
      <c r="S197" s="8">
        <v>694.78</v>
      </c>
      <c r="T197" s="8">
        <v>694.78</v>
      </c>
      <c r="U197" s="8" t="str">
        <f>IF(T197&lt;=_xlfn.PERCENTILE.INC($T197:$T$633,0.33), "Low", IF(T197&lt;=_xlfn.PERCENTILE.INC($T197:$T$633,0.66), "Medium", "High"))</f>
        <v>Low</v>
      </c>
      <c r="V197" s="10">
        <v>8.4000000000000005E-2</v>
      </c>
      <c r="W197" s="10">
        <f t="shared" si="40"/>
        <v>8.4000000000000005E-2</v>
      </c>
      <c r="X197" s="12">
        <v>14</v>
      </c>
      <c r="Y197" s="8">
        <f t="shared" si="33"/>
        <v>8909.8587200000002</v>
      </c>
      <c r="Z197" s="8">
        <f t="shared" si="34"/>
        <v>13310.779999999999</v>
      </c>
      <c r="AA197" s="8">
        <f t="shared" si="41"/>
        <v>-4400.9212799999987</v>
      </c>
      <c r="AB197" s="10">
        <f t="shared" si="42"/>
        <v>-0.49393839097821279</v>
      </c>
      <c r="AC197" s="14">
        <f>_xlfn.MINIFS($C$2:$C$633, $J$2:$J$633, J197)</f>
        <v>44938</v>
      </c>
      <c r="AD197">
        <f>DATEDIF(AC197, C197, "m")</f>
        <v>7</v>
      </c>
      <c r="AE197" s="8">
        <f t="shared" si="43"/>
        <v>636.41848000000005</v>
      </c>
    </row>
    <row r="198" spans="1:31" x14ac:dyDescent="0.3">
      <c r="A198" s="4" t="s">
        <v>323</v>
      </c>
      <c r="B198" s="6">
        <v>44936</v>
      </c>
      <c r="C198" s="14">
        <v>44936</v>
      </c>
      <c r="D198" s="14" t="str">
        <f t="shared" si="35"/>
        <v>Q1 -2023</v>
      </c>
      <c r="E198" s="6">
        <v>44955</v>
      </c>
      <c r="F198" s="6">
        <f t="shared" si="36"/>
        <v>44955</v>
      </c>
      <c r="G198" s="12">
        <f t="shared" si="37"/>
        <v>19</v>
      </c>
      <c r="H198" s="12">
        <f t="shared" si="38"/>
        <v>0</v>
      </c>
      <c r="I198" s="4" t="s">
        <v>649</v>
      </c>
      <c r="J198" s="4" t="s">
        <v>657</v>
      </c>
      <c r="K198" s="4" t="s">
        <v>679</v>
      </c>
      <c r="L198" t="str">
        <f t="shared" si="39"/>
        <v>Europe&gt;France&gt;Lyon</v>
      </c>
      <c r="M198" s="4" t="s">
        <v>703</v>
      </c>
      <c r="N198" s="4" t="s">
        <v>711</v>
      </c>
      <c r="O198" s="4" t="s">
        <v>726</v>
      </c>
      <c r="P198" s="4" t="s">
        <v>731</v>
      </c>
      <c r="Q198" s="4" t="s">
        <v>1043</v>
      </c>
      <c r="R198" s="8">
        <v>401.66</v>
      </c>
      <c r="S198" s="8">
        <v>772.09</v>
      </c>
      <c r="T198" s="8">
        <v>772.09</v>
      </c>
      <c r="U198" s="8" t="str">
        <f>IF(T198&lt;=_xlfn.PERCENTILE.INC($T198:$T$633,0.33), "Low", IF(T198&lt;=_xlfn.PERCENTILE.INC($T198:$T$633,0.66), "Medium", "High"))</f>
        <v>Low</v>
      </c>
      <c r="V198" s="10">
        <v>8.8999999999999996E-2</v>
      </c>
      <c r="W198" s="10">
        <f t="shared" si="40"/>
        <v>8.8999999999999996E-2</v>
      </c>
      <c r="X198" s="12">
        <v>14</v>
      </c>
      <c r="Y198" s="8">
        <f t="shared" si="33"/>
        <v>9847.2358600000007</v>
      </c>
      <c r="Z198" s="8">
        <f t="shared" si="34"/>
        <v>5623.2400000000007</v>
      </c>
      <c r="AA198" s="8">
        <f t="shared" si="41"/>
        <v>4223.99586</v>
      </c>
      <c r="AB198" s="10">
        <f t="shared" si="42"/>
        <v>0.42895244107619046</v>
      </c>
      <c r="AC198" s="14">
        <f>_xlfn.MINIFS($C$2:$C$633, $J$2:$J$633, J198)</f>
        <v>44936</v>
      </c>
      <c r="AD198">
        <f>DATEDIF(AC198, C198, "m")</f>
        <v>0</v>
      </c>
      <c r="AE198" s="8">
        <f t="shared" si="43"/>
        <v>703.37399000000005</v>
      </c>
    </row>
    <row r="199" spans="1:31" x14ac:dyDescent="0.3">
      <c r="A199" s="4" t="s">
        <v>180</v>
      </c>
      <c r="B199" s="6">
        <v>44976</v>
      </c>
      <c r="C199" s="14">
        <v>44976</v>
      </c>
      <c r="D199" s="14" t="str">
        <f t="shared" si="35"/>
        <v>Q1 -2023</v>
      </c>
      <c r="E199" s="6">
        <v>44997</v>
      </c>
      <c r="F199" s="6">
        <f t="shared" si="36"/>
        <v>44997</v>
      </c>
      <c r="G199" s="12">
        <f t="shared" si="37"/>
        <v>21</v>
      </c>
      <c r="H199" s="12">
        <f t="shared" si="38"/>
        <v>0</v>
      </c>
      <c r="I199" s="4" t="s">
        <v>649</v>
      </c>
      <c r="J199" s="4" t="s">
        <v>656</v>
      </c>
      <c r="K199" s="4" t="s">
        <v>671</v>
      </c>
      <c r="L199" t="str">
        <f t="shared" si="39"/>
        <v>Europe&gt;Germany&gt;Berlin</v>
      </c>
      <c r="M199" s="4" t="s">
        <v>705</v>
      </c>
      <c r="N199" s="4" t="s">
        <v>711</v>
      </c>
      <c r="O199" s="4" t="s">
        <v>716</v>
      </c>
      <c r="P199" s="4" t="s">
        <v>732</v>
      </c>
      <c r="Q199" s="4" t="s">
        <v>899</v>
      </c>
      <c r="R199" s="8">
        <v>1234.81</v>
      </c>
      <c r="S199" s="8">
        <v>2055.2399999999998</v>
      </c>
      <c r="T199" s="8">
        <v>2055.2399999999998</v>
      </c>
      <c r="U199" s="8" t="str">
        <f>IF(T199&lt;=_xlfn.PERCENTILE.INC($T199:$T$633,0.33), "Low", IF(T199&lt;=_xlfn.PERCENTILE.INC($T199:$T$633,0.66), "Medium", "High"))</f>
        <v>High</v>
      </c>
      <c r="V199" s="10">
        <v>5.2999999999999999E-2</v>
      </c>
      <c r="W199" s="10">
        <f t="shared" si="40"/>
        <v>5.2999999999999999E-2</v>
      </c>
      <c r="X199" s="12">
        <v>44</v>
      </c>
      <c r="Y199" s="8">
        <f t="shared" si="33"/>
        <v>85637.740319999997</v>
      </c>
      <c r="Z199" s="8">
        <f t="shared" si="34"/>
        <v>54331.64</v>
      </c>
      <c r="AA199" s="8">
        <f t="shared" si="41"/>
        <v>31306.100319999998</v>
      </c>
      <c r="AB199" s="10">
        <f t="shared" si="42"/>
        <v>0.36556429680441616</v>
      </c>
      <c r="AC199" s="14">
        <f>_xlfn.MINIFS($C$2:$C$633, $J$2:$J$633, J199)</f>
        <v>44948</v>
      </c>
      <c r="AD199">
        <f>DATEDIF(AC199, C199, "m")</f>
        <v>0</v>
      </c>
      <c r="AE199" s="8">
        <f t="shared" si="43"/>
        <v>1946.3122799999999</v>
      </c>
    </row>
    <row r="200" spans="1:31" x14ac:dyDescent="0.3">
      <c r="A200" s="4" t="s">
        <v>638</v>
      </c>
      <c r="B200" s="6">
        <v>45141</v>
      </c>
      <c r="C200" s="14">
        <v>45141</v>
      </c>
      <c r="D200" s="14" t="str">
        <f t="shared" si="35"/>
        <v>Q3 -2023</v>
      </c>
      <c r="E200" s="6">
        <v>45140</v>
      </c>
      <c r="F200" s="6">
        <f t="shared" si="36"/>
        <v>45147</v>
      </c>
      <c r="G200" s="12">
        <f t="shared" si="37"/>
        <v>6</v>
      </c>
      <c r="H200" s="12">
        <f t="shared" si="38"/>
        <v>1</v>
      </c>
      <c r="I200" s="4" t="s">
        <v>647</v>
      </c>
      <c r="J200" s="4" t="s">
        <v>659</v>
      </c>
      <c r="K200" s="4" t="s">
        <v>685</v>
      </c>
      <c r="L200" t="str">
        <f t="shared" si="39"/>
        <v>Asia&gt;China&gt;Shanghai</v>
      </c>
      <c r="M200" s="4" t="s">
        <v>703</v>
      </c>
      <c r="N200" s="4" t="s">
        <v>711</v>
      </c>
      <c r="O200" s="4" t="s">
        <v>713</v>
      </c>
      <c r="P200" s="4" t="s">
        <v>729</v>
      </c>
      <c r="Q200" s="4" t="s">
        <v>1356</v>
      </c>
      <c r="R200" s="8">
        <v>1021.97</v>
      </c>
      <c r="S200" s="8">
        <v>2296.25</v>
      </c>
      <c r="T200" s="8">
        <v>2296.25</v>
      </c>
      <c r="U200" s="8" t="str">
        <f>IF(T200&lt;=_xlfn.PERCENTILE.INC($T200:$T$633,0.33), "Low", IF(T200&lt;=_xlfn.PERCENTILE.INC($T200:$T$633,0.66), "Medium", "High"))</f>
        <v>High</v>
      </c>
      <c r="V200" s="10">
        <v>0.161</v>
      </c>
      <c r="W200" s="10">
        <f t="shared" si="40"/>
        <v>0.161</v>
      </c>
      <c r="X200" s="12">
        <v>26</v>
      </c>
      <c r="Y200" s="8">
        <f t="shared" si="33"/>
        <v>50090.397499999999</v>
      </c>
      <c r="Z200" s="8">
        <f t="shared" si="34"/>
        <v>26571.22</v>
      </c>
      <c r="AA200" s="8">
        <f t="shared" si="41"/>
        <v>23519.177499999998</v>
      </c>
      <c r="AB200" s="10">
        <f t="shared" si="42"/>
        <v>0.46953465482081669</v>
      </c>
      <c r="AC200" s="14">
        <f>_xlfn.MINIFS($C$2:$C$633, $J$2:$J$633, J200)</f>
        <v>44938</v>
      </c>
      <c r="AD200">
        <f>DATEDIF(AC200, C200, "m")</f>
        <v>6</v>
      </c>
      <c r="AE200" s="8">
        <f t="shared" si="43"/>
        <v>1926.55375</v>
      </c>
    </row>
    <row r="201" spans="1:31" x14ac:dyDescent="0.3">
      <c r="A201" s="4" t="s">
        <v>273</v>
      </c>
      <c r="B201" s="6">
        <v>45210</v>
      </c>
      <c r="C201" s="14">
        <v>45210</v>
      </c>
      <c r="D201" s="14" t="str">
        <f t="shared" si="35"/>
        <v>Q4 -2023</v>
      </c>
      <c r="E201" s="6">
        <v>45212</v>
      </c>
      <c r="F201" s="6">
        <f t="shared" si="36"/>
        <v>45212</v>
      </c>
      <c r="G201" s="12">
        <f t="shared" si="37"/>
        <v>2</v>
      </c>
      <c r="H201" s="12">
        <f t="shared" si="38"/>
        <v>1</v>
      </c>
      <c r="I201" s="4" t="s">
        <v>648</v>
      </c>
      <c r="J201" s="4" t="s">
        <v>655</v>
      </c>
      <c r="K201" s="4" t="s">
        <v>672</v>
      </c>
      <c r="L201" t="str">
        <f t="shared" si="39"/>
        <v>Americas&gt;Brazil&gt;Brasília</v>
      </c>
      <c r="M201" s="4" t="s">
        <v>704</v>
      </c>
      <c r="N201" s="4" t="s">
        <v>710</v>
      </c>
      <c r="O201" s="4" t="s">
        <v>1424</v>
      </c>
      <c r="P201" s="4" t="s">
        <v>733</v>
      </c>
      <c r="Q201" s="4" t="s">
        <v>993</v>
      </c>
      <c r="R201" s="8">
        <v>715.94</v>
      </c>
      <c r="S201" s="8">
        <v>550.07000000000005</v>
      </c>
      <c r="T201" s="8">
        <v>550.07000000000005</v>
      </c>
      <c r="U201" s="8" t="str">
        <f>IF(T201&lt;=_xlfn.PERCENTILE.INC($T201:$T$633,0.33), "Low", IF(T201&lt;=_xlfn.PERCENTILE.INC($T201:$T$633,0.66), "Medium", "High"))</f>
        <v>Low</v>
      </c>
      <c r="V201" s="10">
        <v>0.14000000000000001</v>
      </c>
      <c r="W201" s="10">
        <f t="shared" si="40"/>
        <v>0.14000000000000001</v>
      </c>
      <c r="X201" s="12">
        <v>16</v>
      </c>
      <c r="Y201" s="8">
        <f t="shared" si="33"/>
        <v>7568.9632000000001</v>
      </c>
      <c r="Z201" s="8">
        <f t="shared" si="34"/>
        <v>11455.04</v>
      </c>
      <c r="AA201" s="8">
        <f t="shared" si="41"/>
        <v>-3886.0768000000007</v>
      </c>
      <c r="AB201" s="10">
        <f t="shared" si="42"/>
        <v>-0.51342260456491595</v>
      </c>
      <c r="AC201" s="14">
        <f>_xlfn.MINIFS($C$2:$C$633, $J$2:$J$633, J201)</f>
        <v>44955</v>
      </c>
      <c r="AD201">
        <f>DATEDIF(AC201, C201, "m")</f>
        <v>8</v>
      </c>
      <c r="AE201" s="8">
        <f t="shared" si="43"/>
        <v>473.06020000000001</v>
      </c>
    </row>
    <row r="202" spans="1:31" x14ac:dyDescent="0.3">
      <c r="A202" s="4" t="s">
        <v>336</v>
      </c>
      <c r="B202" s="6">
        <v>44985</v>
      </c>
      <c r="C202" s="14">
        <v>44985</v>
      </c>
      <c r="D202" s="14" t="str">
        <f t="shared" si="35"/>
        <v>Q1 -2023</v>
      </c>
      <c r="E202" s="6">
        <v>44984</v>
      </c>
      <c r="F202" s="6">
        <f t="shared" si="36"/>
        <v>44991</v>
      </c>
      <c r="G202" s="12">
        <f t="shared" si="37"/>
        <v>6</v>
      </c>
      <c r="H202" s="12">
        <f t="shared" si="38"/>
        <v>1</v>
      </c>
      <c r="I202" s="4" t="s">
        <v>649</v>
      </c>
      <c r="J202" s="4" t="s">
        <v>657</v>
      </c>
      <c r="K202" s="4" t="s">
        <v>673</v>
      </c>
      <c r="L202" t="str">
        <f t="shared" si="39"/>
        <v>Europe&gt;France&gt;Marseille</v>
      </c>
      <c r="M202" s="4" t="s">
        <v>701</v>
      </c>
      <c r="N202" s="4" t="s">
        <v>707</v>
      </c>
      <c r="O202" s="4" t="s">
        <v>723</v>
      </c>
      <c r="P202" s="4" t="s">
        <v>729</v>
      </c>
      <c r="Q202" s="4" t="s">
        <v>1056</v>
      </c>
      <c r="R202" s="8">
        <v>1299.81</v>
      </c>
      <c r="S202" s="8">
        <v>3149.13</v>
      </c>
      <c r="T202" s="8">
        <v>3149.13</v>
      </c>
      <c r="U202" s="8" t="str">
        <f>IF(T202&lt;=_xlfn.PERCENTILE.INC($T202:$T$633,0.33), "Low", IF(T202&lt;=_xlfn.PERCENTILE.INC($T202:$T$633,0.66), "Medium", "High"))</f>
        <v>High</v>
      </c>
      <c r="V202" s="10">
        <v>0.10299999999999999</v>
      </c>
      <c r="W202" s="10">
        <f t="shared" si="40"/>
        <v>0.10299999999999999</v>
      </c>
      <c r="X202" s="12">
        <v>14</v>
      </c>
      <c r="Y202" s="8">
        <f t="shared" si="33"/>
        <v>39546.774539999999</v>
      </c>
      <c r="Z202" s="8">
        <f t="shared" si="34"/>
        <v>18197.34</v>
      </c>
      <c r="AA202" s="8">
        <f t="shared" si="41"/>
        <v>21349.434539999998</v>
      </c>
      <c r="AB202" s="10">
        <f t="shared" si="42"/>
        <v>0.53985273864511729</v>
      </c>
      <c r="AC202" s="14">
        <f>_xlfn.MINIFS($C$2:$C$633, $J$2:$J$633, J202)</f>
        <v>44936</v>
      </c>
      <c r="AD202">
        <f>DATEDIF(AC202, C202, "m")</f>
        <v>1</v>
      </c>
      <c r="AE202" s="8">
        <f t="shared" si="43"/>
        <v>2824.7696099999998</v>
      </c>
    </row>
    <row r="203" spans="1:31" x14ac:dyDescent="0.3">
      <c r="A203" s="4" t="s">
        <v>326</v>
      </c>
      <c r="B203" s="6">
        <v>45101</v>
      </c>
      <c r="C203" s="14">
        <v>45101</v>
      </c>
      <c r="D203" s="14" t="str">
        <f t="shared" si="35"/>
        <v>Q2 -2023</v>
      </c>
      <c r="E203" s="6">
        <v>45099</v>
      </c>
      <c r="F203" s="6">
        <f t="shared" si="36"/>
        <v>45106</v>
      </c>
      <c r="G203" s="12">
        <f t="shared" si="37"/>
        <v>5</v>
      </c>
      <c r="H203" s="12">
        <f t="shared" si="38"/>
        <v>1</v>
      </c>
      <c r="I203" s="4" t="s">
        <v>648</v>
      </c>
      <c r="J203" s="4" t="s">
        <v>653</v>
      </c>
      <c r="K203" s="4" t="s">
        <v>667</v>
      </c>
      <c r="L203" t="str">
        <f t="shared" si="39"/>
        <v>Americas&gt;Canada&gt;Toronto</v>
      </c>
      <c r="M203" s="4" t="s">
        <v>703</v>
      </c>
      <c r="N203" s="4" t="s">
        <v>707</v>
      </c>
      <c r="O203" s="4" t="s">
        <v>724</v>
      </c>
      <c r="P203" s="4" t="s">
        <v>733</v>
      </c>
      <c r="Q203" s="4" t="s">
        <v>1046</v>
      </c>
      <c r="R203" s="8">
        <v>471.42</v>
      </c>
      <c r="S203" s="8">
        <v>824.81</v>
      </c>
      <c r="T203" s="8">
        <v>824.81</v>
      </c>
      <c r="U203" s="8" t="str">
        <f>IF(T203&lt;=_xlfn.PERCENTILE.INC($T203:$T$633,0.33), "Low", IF(T203&lt;=_xlfn.PERCENTILE.INC($T203:$T$633,0.66), "Medium", "High"))</f>
        <v>Low</v>
      </c>
      <c r="V203" s="10">
        <v>8.7999999999999995E-2</v>
      </c>
      <c r="W203" s="10">
        <f t="shared" si="40"/>
        <v>8.7999999999999995E-2</v>
      </c>
      <c r="X203" s="12">
        <v>15</v>
      </c>
      <c r="Y203" s="8">
        <f t="shared" si="33"/>
        <v>11283.400799999999</v>
      </c>
      <c r="Z203" s="8">
        <f t="shared" si="34"/>
        <v>7071.3</v>
      </c>
      <c r="AA203" s="8">
        <f t="shared" si="41"/>
        <v>4212.1007999999993</v>
      </c>
      <c r="AB203" s="10">
        <f t="shared" si="42"/>
        <v>0.37330064531608231</v>
      </c>
      <c r="AC203" s="14">
        <f>_xlfn.MINIFS($C$2:$C$633, $J$2:$J$633, J203)</f>
        <v>44928</v>
      </c>
      <c r="AD203">
        <f>DATEDIF(AC203, C203, "m")</f>
        <v>5</v>
      </c>
      <c r="AE203" s="8">
        <f t="shared" si="43"/>
        <v>752.22672</v>
      </c>
    </row>
    <row r="204" spans="1:31" x14ac:dyDescent="0.3">
      <c r="A204" s="4" t="s">
        <v>43</v>
      </c>
      <c r="B204" s="6">
        <v>45030</v>
      </c>
      <c r="C204" s="14">
        <v>45030</v>
      </c>
      <c r="D204" s="14" t="str">
        <f t="shared" si="35"/>
        <v>Q2 -2023</v>
      </c>
      <c r="E204" s="6">
        <v>45060</v>
      </c>
      <c r="F204" s="6">
        <f t="shared" si="36"/>
        <v>45060</v>
      </c>
      <c r="G204" s="12">
        <f t="shared" si="37"/>
        <v>30</v>
      </c>
      <c r="H204" s="12">
        <f t="shared" si="38"/>
        <v>0</v>
      </c>
      <c r="I204" s="4" t="s">
        <v>646</v>
      </c>
      <c r="J204" s="4" t="s">
        <v>650</v>
      </c>
      <c r="K204" s="4" t="s">
        <v>678</v>
      </c>
      <c r="L204" t="str">
        <f t="shared" si="39"/>
        <v>Africa&gt;Kenya&gt;Nakuru</v>
      </c>
      <c r="M204" s="4" t="s">
        <v>704</v>
      </c>
      <c r="N204" s="4" t="s">
        <v>709</v>
      </c>
      <c r="O204" s="4" t="s">
        <v>724</v>
      </c>
      <c r="P204" s="4" t="s">
        <v>730</v>
      </c>
      <c r="Q204" s="4" t="s">
        <v>762</v>
      </c>
      <c r="R204" s="8">
        <v>209.25</v>
      </c>
      <c r="S204" s="8">
        <v>434.8</v>
      </c>
      <c r="T204" s="8">
        <v>434.8</v>
      </c>
      <c r="U204" s="8" t="str">
        <f>IF(T204&lt;=_xlfn.PERCENTILE.INC($T204:$T$633,0.33), "Low", IF(T204&lt;=_xlfn.PERCENTILE.INC($T204:$T$633,0.66), "Medium", "High"))</f>
        <v>Low</v>
      </c>
      <c r="V204" s="10">
        <v>0</v>
      </c>
      <c r="W204" s="10">
        <f t="shared" si="40"/>
        <v>0</v>
      </c>
      <c r="X204" s="12">
        <v>9</v>
      </c>
      <c r="Y204" s="8">
        <f t="shared" si="33"/>
        <v>3913.2000000000003</v>
      </c>
      <c r="Z204" s="8">
        <f t="shared" si="34"/>
        <v>1883.25</v>
      </c>
      <c r="AA204" s="8">
        <f t="shared" si="41"/>
        <v>2029.9500000000003</v>
      </c>
      <c r="AB204" s="10">
        <f t="shared" si="42"/>
        <v>0.51874425022999082</v>
      </c>
      <c r="AC204" s="14">
        <f>_xlfn.MINIFS($C$2:$C$633, $J$2:$J$633, J204)</f>
        <v>44946</v>
      </c>
      <c r="AD204">
        <f>DATEDIF(AC204, C204, "m")</f>
        <v>2</v>
      </c>
      <c r="AE204" s="8">
        <f t="shared" si="43"/>
        <v>434.8</v>
      </c>
    </row>
    <row r="205" spans="1:31" x14ac:dyDescent="0.3">
      <c r="A205" s="4" t="s">
        <v>361</v>
      </c>
      <c r="B205" s="6">
        <v>45050</v>
      </c>
      <c r="C205" s="14">
        <v>45050</v>
      </c>
      <c r="D205" s="14" t="str">
        <f t="shared" si="35"/>
        <v>Q2 -2023</v>
      </c>
      <c r="E205" s="6">
        <v>45062</v>
      </c>
      <c r="F205" s="6">
        <f t="shared" si="36"/>
        <v>45062</v>
      </c>
      <c r="G205" s="12">
        <f t="shared" si="37"/>
        <v>12</v>
      </c>
      <c r="H205" s="12">
        <f t="shared" si="38"/>
        <v>0</v>
      </c>
      <c r="I205" s="4" t="s">
        <v>646</v>
      </c>
      <c r="J205" s="4" t="s">
        <v>651</v>
      </c>
      <c r="K205" s="4" t="s">
        <v>669</v>
      </c>
      <c r="L205" t="str">
        <f t="shared" si="39"/>
        <v>Africa&gt;Nigeria&gt;Abuja</v>
      </c>
      <c r="M205" s="4" t="s">
        <v>705</v>
      </c>
      <c r="N205" s="4" t="s">
        <v>709</v>
      </c>
      <c r="O205" s="4" t="s">
        <v>713</v>
      </c>
      <c r="P205" s="4" t="s">
        <v>730</v>
      </c>
      <c r="Q205" s="4" t="s">
        <v>1081</v>
      </c>
      <c r="R205" s="8">
        <v>77.739999999999995</v>
      </c>
      <c r="S205" s="8">
        <v>147.12</v>
      </c>
      <c r="T205" s="8">
        <v>147.12</v>
      </c>
      <c r="U205" s="8" t="str">
        <f>IF(T205&lt;=_xlfn.PERCENTILE.INC($T205:$T$633,0.33), "Low", IF(T205&lt;=_xlfn.PERCENTILE.INC($T205:$T$633,0.66), "Medium", "High"))</f>
        <v>Low</v>
      </c>
      <c r="V205" s="10">
        <v>0</v>
      </c>
      <c r="W205" s="10">
        <f t="shared" si="40"/>
        <v>0</v>
      </c>
      <c r="X205" s="12">
        <v>15</v>
      </c>
      <c r="Y205" s="8">
        <f t="shared" si="33"/>
        <v>2206.8000000000002</v>
      </c>
      <c r="Z205" s="8">
        <f t="shared" si="34"/>
        <v>1166.0999999999999</v>
      </c>
      <c r="AA205" s="8">
        <f t="shared" si="41"/>
        <v>1040.7000000000003</v>
      </c>
      <c r="AB205" s="10">
        <f t="shared" si="42"/>
        <v>0.47158781946710177</v>
      </c>
      <c r="AC205" s="14">
        <f>_xlfn.MINIFS($C$2:$C$633, $J$2:$J$633, J205)</f>
        <v>44941</v>
      </c>
      <c r="AD205">
        <f>DATEDIF(AC205, C205, "m")</f>
        <v>3</v>
      </c>
      <c r="AE205" s="8">
        <f t="shared" si="43"/>
        <v>147.12</v>
      </c>
    </row>
    <row r="206" spans="1:31" x14ac:dyDescent="0.3">
      <c r="A206" s="4" t="s">
        <v>155</v>
      </c>
      <c r="B206" s="6">
        <v>45048</v>
      </c>
      <c r="C206" s="14">
        <v>45048</v>
      </c>
      <c r="D206" s="14" t="str">
        <f t="shared" si="35"/>
        <v>Q2 -2023</v>
      </c>
      <c r="E206" s="6">
        <v>45064</v>
      </c>
      <c r="F206" s="6">
        <f t="shared" si="36"/>
        <v>45064</v>
      </c>
      <c r="G206" s="12">
        <f t="shared" si="37"/>
        <v>16</v>
      </c>
      <c r="H206" s="12">
        <f t="shared" si="38"/>
        <v>0</v>
      </c>
      <c r="I206" s="4" t="s">
        <v>647</v>
      </c>
      <c r="J206" s="4" t="s">
        <v>654</v>
      </c>
      <c r="K206" s="4" t="s">
        <v>680</v>
      </c>
      <c r="L206" t="str">
        <f t="shared" si="39"/>
        <v>Asia&gt;India&gt;Delhi</v>
      </c>
      <c r="M206" s="4" t="s">
        <v>705</v>
      </c>
      <c r="N206" s="4" t="s">
        <v>709</v>
      </c>
      <c r="O206" s="4" t="s">
        <v>723</v>
      </c>
      <c r="P206" s="4" t="s">
        <v>732</v>
      </c>
      <c r="Q206" s="4" t="s">
        <v>874</v>
      </c>
      <c r="R206" s="8">
        <v>1463.92</v>
      </c>
      <c r="S206" s="8">
        <v>2252.2399999999998</v>
      </c>
      <c r="T206" s="8">
        <v>2252.2399999999998</v>
      </c>
      <c r="U206" s="8" t="str">
        <f>IF(T206&lt;=_xlfn.PERCENTILE.INC($T206:$T$633,0.33), "Low", IF(T206&lt;=_xlfn.PERCENTILE.INC($T206:$T$633,0.66), "Medium", "High"))</f>
        <v>High</v>
      </c>
      <c r="V206" s="10">
        <v>0.11799999999999999</v>
      </c>
      <c r="W206" s="10">
        <f t="shared" si="40"/>
        <v>0.11799999999999999</v>
      </c>
      <c r="X206" s="12">
        <v>44</v>
      </c>
      <c r="Y206" s="8">
        <f t="shared" si="33"/>
        <v>87404.929919999995</v>
      </c>
      <c r="Z206" s="8">
        <f t="shared" si="34"/>
        <v>64412.480000000003</v>
      </c>
      <c r="AA206" s="8">
        <f t="shared" si="41"/>
        <v>22992.449919999992</v>
      </c>
      <c r="AB206" s="10">
        <f t="shared" si="42"/>
        <v>0.26305667130040061</v>
      </c>
      <c r="AC206" s="14">
        <f>_xlfn.MINIFS($C$2:$C$633, $J$2:$J$633, J206)</f>
        <v>44955</v>
      </c>
      <c r="AD206">
        <f>DATEDIF(AC206, C206, "m")</f>
        <v>3</v>
      </c>
      <c r="AE206" s="8">
        <f t="shared" si="43"/>
        <v>1986.4756799999998</v>
      </c>
    </row>
    <row r="207" spans="1:31" x14ac:dyDescent="0.3">
      <c r="A207" s="4" t="s">
        <v>157</v>
      </c>
      <c r="B207" s="6">
        <v>45133</v>
      </c>
      <c r="C207" s="14">
        <v>45133</v>
      </c>
      <c r="D207" s="14" t="str">
        <f t="shared" si="35"/>
        <v>Q3 -2023</v>
      </c>
      <c r="E207" s="6">
        <v>45163</v>
      </c>
      <c r="F207" s="6">
        <f t="shared" si="36"/>
        <v>45163</v>
      </c>
      <c r="G207" s="12">
        <f t="shared" si="37"/>
        <v>30</v>
      </c>
      <c r="H207" s="12">
        <f t="shared" si="38"/>
        <v>0</v>
      </c>
      <c r="I207" s="4" t="s">
        <v>648</v>
      </c>
      <c r="J207" s="4" t="s">
        <v>660</v>
      </c>
      <c r="K207" s="4" t="s">
        <v>700</v>
      </c>
      <c r="L207" t="str">
        <f t="shared" si="39"/>
        <v>Americas&gt;USA&gt;New York</v>
      </c>
      <c r="M207" s="4" t="s">
        <v>704</v>
      </c>
      <c r="N207" s="4" t="s">
        <v>707</v>
      </c>
      <c r="O207" s="4" t="s">
        <v>724</v>
      </c>
      <c r="P207" s="4" t="s">
        <v>733</v>
      </c>
      <c r="Q207" s="4" t="s">
        <v>876</v>
      </c>
      <c r="R207" s="8">
        <v>1261.48</v>
      </c>
      <c r="S207" s="8">
        <v>1643.18</v>
      </c>
      <c r="T207" s="8">
        <v>1643.18</v>
      </c>
      <c r="U207" s="8" t="str">
        <f>IF(T207&lt;=_xlfn.PERCENTILE.INC($T207:$T$633,0.33), "Low", IF(T207&lt;=_xlfn.PERCENTILE.INC($T207:$T$633,0.66), "Medium", "High"))</f>
        <v>High</v>
      </c>
      <c r="V207" s="10">
        <v>0.151</v>
      </c>
      <c r="W207" s="10">
        <f t="shared" si="40"/>
        <v>0.151</v>
      </c>
      <c r="X207" s="12">
        <v>23</v>
      </c>
      <c r="Y207" s="8">
        <f t="shared" si="33"/>
        <v>32086.37586</v>
      </c>
      <c r="Z207" s="8">
        <f t="shared" si="34"/>
        <v>29014.04</v>
      </c>
      <c r="AA207" s="8">
        <f t="shared" si="41"/>
        <v>3072.3358599999992</v>
      </c>
      <c r="AB207" s="10">
        <f t="shared" si="42"/>
        <v>9.5752037357079045E-2</v>
      </c>
      <c r="AC207" s="14">
        <f>_xlfn.MINIFS($C$2:$C$633, $J$2:$J$633, J207)</f>
        <v>44939</v>
      </c>
      <c r="AD207">
        <f>DATEDIF(AC207, C207, "m")</f>
        <v>6</v>
      </c>
      <c r="AE207" s="8">
        <f t="shared" si="43"/>
        <v>1395.0598199999999</v>
      </c>
    </row>
    <row r="208" spans="1:31" x14ac:dyDescent="0.3">
      <c r="A208" s="4" t="s">
        <v>524</v>
      </c>
      <c r="B208" s="6">
        <v>45056</v>
      </c>
      <c r="C208" s="14">
        <v>45056</v>
      </c>
      <c r="D208" s="14" t="str">
        <f t="shared" si="35"/>
        <v>Q2 -2023</v>
      </c>
      <c r="E208" s="6">
        <v>45060</v>
      </c>
      <c r="F208" s="6">
        <f t="shared" si="36"/>
        <v>45060</v>
      </c>
      <c r="G208" s="12">
        <f t="shared" si="37"/>
        <v>4</v>
      </c>
      <c r="H208" s="12">
        <f t="shared" si="38"/>
        <v>1</v>
      </c>
      <c r="I208" s="4" t="s">
        <v>647</v>
      </c>
      <c r="J208" s="4" t="s">
        <v>654</v>
      </c>
      <c r="K208" s="4" t="s">
        <v>680</v>
      </c>
      <c r="L208" t="str">
        <f t="shared" si="39"/>
        <v>Asia&gt;India&gt;Delhi</v>
      </c>
      <c r="M208" s="4" t="s">
        <v>703</v>
      </c>
      <c r="N208" s="4" t="s">
        <v>710</v>
      </c>
      <c r="O208" s="4" t="s">
        <v>712</v>
      </c>
      <c r="P208" s="4" t="s">
        <v>732</v>
      </c>
      <c r="Q208" s="4" t="s">
        <v>1243</v>
      </c>
      <c r="R208" s="8">
        <v>622.6</v>
      </c>
      <c r="S208" s="8">
        <v>833.69</v>
      </c>
      <c r="T208" s="8">
        <v>833.69</v>
      </c>
      <c r="U208" s="8" t="str">
        <f>IF(T208&lt;=_xlfn.PERCENTILE.INC($T208:$T$633,0.33), "Low", IF(T208&lt;=_xlfn.PERCENTILE.INC($T208:$T$633,0.66), "Medium", "High"))</f>
        <v>Low</v>
      </c>
      <c r="V208" s="10">
        <v>0.20899999999999999</v>
      </c>
      <c r="W208" s="10">
        <f t="shared" si="40"/>
        <v>0.20899999999999999</v>
      </c>
      <c r="X208" s="12">
        <v>14</v>
      </c>
      <c r="Y208" s="8">
        <f t="shared" si="33"/>
        <v>9232.2830599999998</v>
      </c>
      <c r="Z208" s="8">
        <f t="shared" si="34"/>
        <v>8716.4</v>
      </c>
      <c r="AA208" s="8">
        <f t="shared" si="41"/>
        <v>515.88306000000011</v>
      </c>
      <c r="AB208" s="10">
        <f t="shared" si="42"/>
        <v>5.5878167582959715E-2</v>
      </c>
      <c r="AC208" s="14">
        <f>_xlfn.MINIFS($C$2:$C$633, $J$2:$J$633, J208)</f>
        <v>44955</v>
      </c>
      <c r="AD208">
        <f>DATEDIF(AC208, C208, "m")</f>
        <v>3</v>
      </c>
      <c r="AE208" s="8">
        <f t="shared" si="43"/>
        <v>659.44879000000003</v>
      </c>
    </row>
    <row r="209" spans="1:31" x14ac:dyDescent="0.3">
      <c r="A209" s="4" t="s">
        <v>220</v>
      </c>
      <c r="B209" s="6">
        <v>45109</v>
      </c>
      <c r="C209" s="14">
        <v>45109</v>
      </c>
      <c r="D209" s="14" t="str">
        <f t="shared" si="35"/>
        <v>Q3 -2023</v>
      </c>
      <c r="E209" s="6">
        <v>45139</v>
      </c>
      <c r="F209" s="6">
        <f t="shared" si="36"/>
        <v>45139</v>
      </c>
      <c r="G209" s="12">
        <f t="shared" si="37"/>
        <v>30</v>
      </c>
      <c r="H209" s="12">
        <f t="shared" si="38"/>
        <v>0</v>
      </c>
      <c r="I209" s="4" t="s">
        <v>649</v>
      </c>
      <c r="J209" s="4" t="s">
        <v>658</v>
      </c>
      <c r="K209" s="4" t="s">
        <v>674</v>
      </c>
      <c r="L209" t="str">
        <f t="shared" si="39"/>
        <v>Europe&gt;United Kingdom&gt;Birmingham</v>
      </c>
      <c r="M209" s="4" t="s">
        <v>705</v>
      </c>
      <c r="N209" s="4" t="s">
        <v>707</v>
      </c>
      <c r="O209" s="4" t="s">
        <v>717</v>
      </c>
      <c r="P209" s="4" t="s">
        <v>727</v>
      </c>
      <c r="Q209" s="4" t="s">
        <v>940</v>
      </c>
      <c r="R209" s="8">
        <v>137.46</v>
      </c>
      <c r="S209" s="8">
        <v>188.3</v>
      </c>
      <c r="T209" s="8">
        <v>188.3</v>
      </c>
      <c r="U209" s="8" t="str">
        <f>IF(T209&lt;=_xlfn.PERCENTILE.INC($T209:$T$633,0.33), "Low", IF(T209&lt;=_xlfn.PERCENTILE.INC($T209:$T$633,0.66), "Medium", "High"))</f>
        <v>Low</v>
      </c>
      <c r="V209" s="10">
        <v>3.7999999999999999E-2</v>
      </c>
      <c r="W209" s="10">
        <f t="shared" si="40"/>
        <v>3.7999999999999999E-2</v>
      </c>
      <c r="X209" s="12">
        <v>37</v>
      </c>
      <c r="Y209" s="8">
        <f t="shared" si="33"/>
        <v>6702.3501999999999</v>
      </c>
      <c r="Z209" s="8">
        <f t="shared" si="34"/>
        <v>5086.0200000000004</v>
      </c>
      <c r="AA209" s="8">
        <f t="shared" si="41"/>
        <v>1616.3301999999994</v>
      </c>
      <c r="AB209" s="10">
        <f t="shared" si="42"/>
        <v>0.24115872071262398</v>
      </c>
      <c r="AC209" s="14">
        <f>_xlfn.MINIFS($C$2:$C$633, $J$2:$J$633, J209)</f>
        <v>44945</v>
      </c>
      <c r="AD209">
        <f>DATEDIF(AC209, C209, "m")</f>
        <v>5</v>
      </c>
      <c r="AE209" s="8">
        <f t="shared" si="43"/>
        <v>181.1446</v>
      </c>
    </row>
    <row r="210" spans="1:31" x14ac:dyDescent="0.3">
      <c r="A210" s="4" t="s">
        <v>642</v>
      </c>
      <c r="B210" s="6">
        <v>45100</v>
      </c>
      <c r="C210" s="14">
        <v>45100</v>
      </c>
      <c r="D210" s="14" t="str">
        <f t="shared" si="35"/>
        <v>Q2 -2023</v>
      </c>
      <c r="E210" s="6">
        <v>45125</v>
      </c>
      <c r="F210" s="6">
        <f t="shared" si="36"/>
        <v>45125</v>
      </c>
      <c r="G210" s="12">
        <f t="shared" si="37"/>
        <v>25</v>
      </c>
      <c r="H210" s="12">
        <f t="shared" si="38"/>
        <v>0</v>
      </c>
      <c r="I210" s="4" t="s">
        <v>648</v>
      </c>
      <c r="J210" s="4" t="s">
        <v>653</v>
      </c>
      <c r="K210" s="4" t="s">
        <v>688</v>
      </c>
      <c r="L210" t="str">
        <f t="shared" si="39"/>
        <v>Americas&gt;Canada&gt;Vancouver</v>
      </c>
      <c r="M210" s="4" t="s">
        <v>706</v>
      </c>
      <c r="N210" s="4" t="s">
        <v>708</v>
      </c>
      <c r="O210" s="4" t="s">
        <v>725</v>
      </c>
      <c r="P210" s="4" t="s">
        <v>730</v>
      </c>
      <c r="Q210" s="4" t="s">
        <v>1360</v>
      </c>
      <c r="R210" s="8">
        <v>807.02</v>
      </c>
      <c r="S210" s="8">
        <v>1435.54</v>
      </c>
      <c r="T210" s="8">
        <v>1435.54</v>
      </c>
      <c r="U210" s="8" t="str">
        <f>IF(T210&lt;=_xlfn.PERCENTILE.INC($T210:$T$633,0.33), "Low", IF(T210&lt;=_xlfn.PERCENTILE.INC($T210:$T$633,0.66), "Medium", "High"))</f>
        <v>Medium</v>
      </c>
      <c r="V210" s="10">
        <v>0</v>
      </c>
      <c r="W210" s="10">
        <f t="shared" si="40"/>
        <v>0</v>
      </c>
      <c r="X210" s="12">
        <v>23</v>
      </c>
      <c r="Y210" s="8">
        <f t="shared" si="33"/>
        <v>33017.42</v>
      </c>
      <c r="Z210" s="8">
        <f t="shared" si="34"/>
        <v>18561.46</v>
      </c>
      <c r="AA210" s="8">
        <f t="shared" si="41"/>
        <v>14455.96</v>
      </c>
      <c r="AB210" s="10">
        <f t="shared" si="42"/>
        <v>0.43782827368098415</v>
      </c>
      <c r="AC210" s="14">
        <f>_xlfn.MINIFS($C$2:$C$633, $J$2:$J$633, J210)</f>
        <v>44928</v>
      </c>
      <c r="AD210">
        <f>DATEDIF(AC210, C210, "m")</f>
        <v>5</v>
      </c>
      <c r="AE210" s="8">
        <f t="shared" si="43"/>
        <v>1435.54</v>
      </c>
    </row>
    <row r="211" spans="1:31" x14ac:dyDescent="0.3">
      <c r="A211" s="4" t="s">
        <v>207</v>
      </c>
      <c r="B211" s="6">
        <v>45214</v>
      </c>
      <c r="C211" s="14">
        <v>45214</v>
      </c>
      <c r="D211" s="14" t="str">
        <f t="shared" si="35"/>
        <v>Q4 -2023</v>
      </c>
      <c r="E211" s="6">
        <v>45243</v>
      </c>
      <c r="F211" s="6">
        <f t="shared" si="36"/>
        <v>45243</v>
      </c>
      <c r="G211" s="12">
        <f t="shared" si="37"/>
        <v>29</v>
      </c>
      <c r="H211" s="12">
        <f t="shared" si="38"/>
        <v>0</v>
      </c>
      <c r="I211" s="4" t="s">
        <v>647</v>
      </c>
      <c r="J211" s="4" t="s">
        <v>659</v>
      </c>
      <c r="K211" s="4" t="s">
        <v>676</v>
      </c>
      <c r="L211" t="str">
        <f t="shared" si="39"/>
        <v>Asia&gt;China&gt;Shenzhen</v>
      </c>
      <c r="M211" s="4" t="s">
        <v>703</v>
      </c>
      <c r="N211" s="4" t="s">
        <v>710</v>
      </c>
      <c r="O211" s="4" t="s">
        <v>713</v>
      </c>
      <c r="P211" s="4" t="s">
        <v>728</v>
      </c>
      <c r="Q211" s="4" t="s">
        <v>927</v>
      </c>
      <c r="R211" s="8">
        <v>986.44</v>
      </c>
      <c r="S211" s="8">
        <v>790.61</v>
      </c>
      <c r="T211" s="8">
        <v>790.61</v>
      </c>
      <c r="U211" s="8" t="str">
        <f>IF(T211&lt;=_xlfn.PERCENTILE.INC($T211:$T$633,0.33), "Low", IF(T211&lt;=_xlfn.PERCENTILE.INC($T211:$T$633,0.66), "Medium", "High"))</f>
        <v>Low</v>
      </c>
      <c r="V211" s="10">
        <v>7.1999999999999995E-2</v>
      </c>
      <c r="W211" s="10">
        <f t="shared" si="40"/>
        <v>7.1999999999999995E-2</v>
      </c>
      <c r="X211" s="12">
        <v>6</v>
      </c>
      <c r="Y211" s="8">
        <f t="shared" si="33"/>
        <v>4402.1164799999997</v>
      </c>
      <c r="Z211" s="8">
        <f t="shared" si="34"/>
        <v>5918.64</v>
      </c>
      <c r="AA211" s="8">
        <f t="shared" si="41"/>
        <v>-1516.5235200000006</v>
      </c>
      <c r="AB211" s="10">
        <f t="shared" si="42"/>
        <v>-0.34449872621271499</v>
      </c>
      <c r="AC211" s="14">
        <f>_xlfn.MINIFS($C$2:$C$633, $J$2:$J$633, J211)</f>
        <v>44938</v>
      </c>
      <c r="AD211">
        <f>DATEDIF(AC211, C211, "m")</f>
        <v>9</v>
      </c>
      <c r="AE211" s="8">
        <f t="shared" si="43"/>
        <v>733.68607999999995</v>
      </c>
    </row>
    <row r="212" spans="1:31" x14ac:dyDescent="0.3">
      <c r="A212" s="4" t="s">
        <v>408</v>
      </c>
      <c r="B212" s="6">
        <v>45075</v>
      </c>
      <c r="C212" s="14">
        <v>45075</v>
      </c>
      <c r="D212" s="14" t="str">
        <f t="shared" si="35"/>
        <v>Q2 -2023</v>
      </c>
      <c r="E212" s="6">
        <v>45097</v>
      </c>
      <c r="F212" s="6">
        <f t="shared" si="36"/>
        <v>45097</v>
      </c>
      <c r="G212" s="12">
        <f t="shared" si="37"/>
        <v>22</v>
      </c>
      <c r="H212" s="12">
        <f t="shared" si="38"/>
        <v>0</v>
      </c>
      <c r="I212" s="4" t="s">
        <v>649</v>
      </c>
      <c r="J212" s="4" t="s">
        <v>658</v>
      </c>
      <c r="K212" s="4" t="s">
        <v>683</v>
      </c>
      <c r="L212" t="str">
        <f t="shared" si="39"/>
        <v>Europe&gt;United Kingdom&gt;London</v>
      </c>
      <c r="M212" s="4" t="s">
        <v>705</v>
      </c>
      <c r="N212" s="4" t="s">
        <v>711</v>
      </c>
      <c r="O212" s="4" t="s">
        <v>723</v>
      </c>
      <c r="P212" s="4" t="s">
        <v>727</v>
      </c>
      <c r="Q212" s="4" t="s">
        <v>1127</v>
      </c>
      <c r="R212" s="8">
        <v>1295.3900000000001</v>
      </c>
      <c r="S212" s="8">
        <v>2905.06</v>
      </c>
      <c r="T212" s="8">
        <v>2905.06</v>
      </c>
      <c r="U212" s="8" t="str">
        <f>IF(T212&lt;=_xlfn.PERCENTILE.INC($T212:$T$633,0.33), "Low", IF(T212&lt;=_xlfn.PERCENTILE.INC($T212:$T$633,0.66), "Medium", "High"))</f>
        <v>High</v>
      </c>
      <c r="V212" s="10">
        <v>0.14799999999999999</v>
      </c>
      <c r="W212" s="10">
        <f t="shared" si="40"/>
        <v>0.14799999999999999</v>
      </c>
      <c r="X212" s="12">
        <v>8</v>
      </c>
      <c r="Y212" s="8">
        <f t="shared" si="33"/>
        <v>19800.88896</v>
      </c>
      <c r="Z212" s="8">
        <f t="shared" si="34"/>
        <v>10363.120000000001</v>
      </c>
      <c r="AA212" s="8">
        <f t="shared" si="41"/>
        <v>9437.7689599999994</v>
      </c>
      <c r="AB212" s="10">
        <f t="shared" si="42"/>
        <v>0.47663359857556614</v>
      </c>
      <c r="AC212" s="14">
        <f>_xlfn.MINIFS($C$2:$C$633, $J$2:$J$633, J212)</f>
        <v>44945</v>
      </c>
      <c r="AD212">
        <f>DATEDIF(AC212, C212, "m")</f>
        <v>4</v>
      </c>
      <c r="AE212" s="8">
        <f t="shared" si="43"/>
        <v>2475.11112</v>
      </c>
    </row>
    <row r="213" spans="1:31" x14ac:dyDescent="0.3">
      <c r="A213" s="4" t="s">
        <v>484</v>
      </c>
      <c r="B213" s="6">
        <v>45060</v>
      </c>
      <c r="C213" s="14">
        <v>45060</v>
      </c>
      <c r="D213" s="14" t="str">
        <f t="shared" si="35"/>
        <v>Q2 -2023</v>
      </c>
      <c r="E213" s="6">
        <v>45068</v>
      </c>
      <c r="F213" s="6">
        <f t="shared" si="36"/>
        <v>45068</v>
      </c>
      <c r="G213" s="12">
        <f t="shared" si="37"/>
        <v>8</v>
      </c>
      <c r="H213" s="12">
        <f t="shared" si="38"/>
        <v>0</v>
      </c>
      <c r="I213" s="4" t="s">
        <v>646</v>
      </c>
      <c r="J213" s="4" t="s">
        <v>650</v>
      </c>
      <c r="K213" s="4" t="s">
        <v>675</v>
      </c>
      <c r="L213" t="str">
        <f t="shared" si="39"/>
        <v>Africa&gt;Kenya&gt;Mombasa</v>
      </c>
      <c r="M213" s="4" t="s">
        <v>705</v>
      </c>
      <c r="N213" s="4" t="s">
        <v>710</v>
      </c>
      <c r="O213" s="4" t="s">
        <v>721</v>
      </c>
      <c r="P213" s="4" t="s">
        <v>728</v>
      </c>
      <c r="Q213" s="4" t="s">
        <v>1203</v>
      </c>
      <c r="R213" s="8">
        <v>432.01</v>
      </c>
      <c r="S213" s="8">
        <v>913.78</v>
      </c>
      <c r="T213" s="8">
        <v>913.78</v>
      </c>
      <c r="U213" s="8" t="str">
        <f>IF(T213&lt;=_xlfn.PERCENTILE.INC($T213:$T$633,0.33), "Low", IF(T213&lt;=_xlfn.PERCENTILE.INC($T213:$T$633,0.66), "Medium", "High"))</f>
        <v>Medium</v>
      </c>
      <c r="V213" s="10">
        <v>4.9000000000000002E-2</v>
      </c>
      <c r="W213" s="10">
        <f t="shared" si="40"/>
        <v>4.9000000000000002E-2</v>
      </c>
      <c r="X213" s="12">
        <v>12</v>
      </c>
      <c r="Y213" s="8">
        <f t="shared" si="33"/>
        <v>10428.057360000001</v>
      </c>
      <c r="Z213" s="8">
        <f t="shared" si="34"/>
        <v>5184.12</v>
      </c>
      <c r="AA213" s="8">
        <f t="shared" si="41"/>
        <v>5243.9373600000008</v>
      </c>
      <c r="AB213" s="10">
        <f t="shared" si="42"/>
        <v>0.50286809699711899</v>
      </c>
      <c r="AC213" s="14">
        <f>_xlfn.MINIFS($C$2:$C$633, $J$2:$J$633, J213)</f>
        <v>44946</v>
      </c>
      <c r="AD213">
        <f>DATEDIF(AC213, C213, "m")</f>
        <v>3</v>
      </c>
      <c r="AE213" s="8">
        <f t="shared" si="43"/>
        <v>869.0047800000001</v>
      </c>
    </row>
    <row r="214" spans="1:31" x14ac:dyDescent="0.3">
      <c r="A214" s="4" t="s">
        <v>426</v>
      </c>
      <c r="B214" s="6">
        <v>45002</v>
      </c>
      <c r="C214" s="14">
        <v>45002</v>
      </c>
      <c r="D214" s="14" t="str">
        <f t="shared" si="35"/>
        <v>Q1 -2023</v>
      </c>
      <c r="E214" s="6">
        <v>45022</v>
      </c>
      <c r="F214" s="6">
        <f t="shared" si="36"/>
        <v>45022</v>
      </c>
      <c r="G214" s="12">
        <f t="shared" si="37"/>
        <v>20</v>
      </c>
      <c r="H214" s="12">
        <f t="shared" si="38"/>
        <v>0</v>
      </c>
      <c r="I214" s="4" t="s">
        <v>649</v>
      </c>
      <c r="J214" s="4" t="s">
        <v>656</v>
      </c>
      <c r="K214" s="4" t="s">
        <v>684</v>
      </c>
      <c r="L214" t="str">
        <f t="shared" si="39"/>
        <v>Europe&gt;Germany&gt;Munich</v>
      </c>
      <c r="M214" s="4" t="s">
        <v>704</v>
      </c>
      <c r="N214" s="4" t="s">
        <v>707</v>
      </c>
      <c r="O214" s="4" t="s">
        <v>719</v>
      </c>
      <c r="P214" s="4" t="s">
        <v>730</v>
      </c>
      <c r="Q214" s="4" t="s">
        <v>1145</v>
      </c>
      <c r="R214" s="8">
        <v>692.18</v>
      </c>
      <c r="S214" s="8">
        <v>1159.3499999999999</v>
      </c>
      <c r="T214" s="8">
        <v>1159.3499999999999</v>
      </c>
      <c r="U214" s="8" t="str">
        <f>IF(T214&lt;=_xlfn.PERCENTILE.INC($T214:$T$633,0.33), "Low", IF(T214&lt;=_xlfn.PERCENTILE.INC($T214:$T$633,0.66), "Medium", "High"))</f>
        <v>Medium</v>
      </c>
      <c r="V214" s="10">
        <v>0.112</v>
      </c>
      <c r="W214" s="10">
        <f t="shared" si="40"/>
        <v>0.112</v>
      </c>
      <c r="X214" s="12">
        <v>2</v>
      </c>
      <c r="Y214" s="8">
        <f t="shared" si="33"/>
        <v>2059.0056</v>
      </c>
      <c r="Z214" s="8">
        <f t="shared" si="34"/>
        <v>1384.36</v>
      </c>
      <c r="AA214" s="8">
        <f t="shared" si="41"/>
        <v>674.64560000000006</v>
      </c>
      <c r="AB214" s="10">
        <f t="shared" si="42"/>
        <v>0.32765602968734037</v>
      </c>
      <c r="AC214" s="14">
        <f>_xlfn.MINIFS($C$2:$C$633, $J$2:$J$633, J214)</f>
        <v>44948</v>
      </c>
      <c r="AD214">
        <f>DATEDIF(AC214, C214, "m")</f>
        <v>1</v>
      </c>
      <c r="AE214" s="8">
        <f t="shared" si="43"/>
        <v>1029.5028</v>
      </c>
    </row>
    <row r="215" spans="1:31" x14ac:dyDescent="0.3">
      <c r="A215" s="4" t="s">
        <v>30</v>
      </c>
      <c r="B215" s="6">
        <v>45039</v>
      </c>
      <c r="C215" s="14">
        <v>45039</v>
      </c>
      <c r="D215" s="14" t="str">
        <f t="shared" si="35"/>
        <v>Q2 -2023</v>
      </c>
      <c r="E215" s="6">
        <v>45038</v>
      </c>
      <c r="F215" s="6">
        <f t="shared" si="36"/>
        <v>45045</v>
      </c>
      <c r="G215" s="12">
        <f t="shared" si="37"/>
        <v>6</v>
      </c>
      <c r="H215" s="12">
        <f t="shared" si="38"/>
        <v>1</v>
      </c>
      <c r="I215" s="4" t="s">
        <v>646</v>
      </c>
      <c r="J215" s="4" t="s">
        <v>650</v>
      </c>
      <c r="K215" s="4" t="s">
        <v>664</v>
      </c>
      <c r="L215" t="str">
        <f t="shared" si="39"/>
        <v>Africa&gt;Kenya&gt;Nairobi</v>
      </c>
      <c r="M215" s="4" t="s">
        <v>705</v>
      </c>
      <c r="N215" s="4" t="s">
        <v>711</v>
      </c>
      <c r="O215" s="4" t="s">
        <v>718</v>
      </c>
      <c r="P215" s="4" t="s">
        <v>731</v>
      </c>
      <c r="Q215" s="4" t="s">
        <v>749</v>
      </c>
      <c r="R215" s="8">
        <v>756.51</v>
      </c>
      <c r="S215" s="8">
        <v>850.8</v>
      </c>
      <c r="T215" s="8">
        <v>850.8</v>
      </c>
      <c r="U215" s="8" t="str">
        <f>IF(T215&lt;=_xlfn.PERCENTILE.INC($T215:$T$633,0.33), "Low", IF(T215&lt;=_xlfn.PERCENTILE.INC($T215:$T$633,0.66), "Medium", "High"))</f>
        <v>Medium</v>
      </c>
      <c r="V215" s="10">
        <v>7.3999999999999996E-2</v>
      </c>
      <c r="W215" s="10">
        <f t="shared" si="40"/>
        <v>7.3999999999999996E-2</v>
      </c>
      <c r="X215" s="12">
        <v>9</v>
      </c>
      <c r="Y215" s="8">
        <f t="shared" si="33"/>
        <v>7090.5672000000004</v>
      </c>
      <c r="Z215" s="8">
        <f t="shared" si="34"/>
        <v>6808.59</v>
      </c>
      <c r="AA215" s="8">
        <f t="shared" si="41"/>
        <v>281.97720000000027</v>
      </c>
      <c r="AB215" s="10">
        <f t="shared" si="42"/>
        <v>3.9767932810791252E-2</v>
      </c>
      <c r="AC215" s="14">
        <f>_xlfn.MINIFS($C$2:$C$633, $J$2:$J$633, J215)</f>
        <v>44946</v>
      </c>
      <c r="AD215">
        <f>DATEDIF(AC215, C215, "m")</f>
        <v>3</v>
      </c>
      <c r="AE215" s="8">
        <f t="shared" si="43"/>
        <v>787.84080000000006</v>
      </c>
    </row>
    <row r="216" spans="1:31" x14ac:dyDescent="0.3">
      <c r="A216" s="4" t="s">
        <v>346</v>
      </c>
      <c r="B216" s="6">
        <v>45168</v>
      </c>
      <c r="C216" s="14">
        <v>45168</v>
      </c>
      <c r="D216" s="14" t="str">
        <f t="shared" si="35"/>
        <v>Q3 -2023</v>
      </c>
      <c r="E216" s="6">
        <v>45172</v>
      </c>
      <c r="F216" s="6">
        <f t="shared" si="36"/>
        <v>45172</v>
      </c>
      <c r="G216" s="12">
        <f t="shared" si="37"/>
        <v>4</v>
      </c>
      <c r="H216" s="12">
        <f t="shared" si="38"/>
        <v>1</v>
      </c>
      <c r="I216" s="4" t="s">
        <v>647</v>
      </c>
      <c r="J216" s="4" t="s">
        <v>654</v>
      </c>
      <c r="K216" s="4" t="s">
        <v>680</v>
      </c>
      <c r="L216" t="str">
        <f t="shared" si="39"/>
        <v>Asia&gt;India&gt;Delhi</v>
      </c>
      <c r="M216" s="4" t="s">
        <v>705</v>
      </c>
      <c r="N216" s="4" t="s">
        <v>709</v>
      </c>
      <c r="O216" s="4" t="s">
        <v>716</v>
      </c>
      <c r="P216" s="4" t="s">
        <v>733</v>
      </c>
      <c r="Q216" s="4" t="s">
        <v>1066</v>
      </c>
      <c r="R216" s="8">
        <v>1082.25</v>
      </c>
      <c r="S216" s="8">
        <v>2433.34</v>
      </c>
      <c r="T216" s="8">
        <v>2433.34</v>
      </c>
      <c r="U216" s="8" t="str">
        <f>IF(T216&lt;=_xlfn.PERCENTILE.INC($T216:$T$633,0.33), "Low", IF(T216&lt;=_xlfn.PERCENTILE.INC($T216:$T$633,0.66), "Medium", "High"))</f>
        <v>High</v>
      </c>
      <c r="V216" s="10">
        <v>0.27</v>
      </c>
      <c r="W216" s="10">
        <f t="shared" si="40"/>
        <v>0.27</v>
      </c>
      <c r="X216" s="12">
        <v>4</v>
      </c>
      <c r="Y216" s="8">
        <f t="shared" si="33"/>
        <v>7105.3528000000006</v>
      </c>
      <c r="Z216" s="8">
        <f t="shared" si="34"/>
        <v>4329</v>
      </c>
      <c r="AA216" s="8">
        <f t="shared" si="41"/>
        <v>2776.3528000000006</v>
      </c>
      <c r="AB216" s="10">
        <f t="shared" si="42"/>
        <v>0.3907410199251472</v>
      </c>
      <c r="AC216" s="14">
        <f>_xlfn.MINIFS($C$2:$C$633, $J$2:$J$633, J216)</f>
        <v>44955</v>
      </c>
      <c r="AD216">
        <f>DATEDIF(AC216, C216, "m")</f>
        <v>7</v>
      </c>
      <c r="AE216" s="8">
        <f t="shared" si="43"/>
        <v>1776.3382000000001</v>
      </c>
    </row>
    <row r="217" spans="1:31" x14ac:dyDescent="0.3">
      <c r="A217" s="4" t="s">
        <v>248</v>
      </c>
      <c r="B217" s="6">
        <v>44999</v>
      </c>
      <c r="C217" s="14">
        <v>44999</v>
      </c>
      <c r="D217" s="14" t="str">
        <f t="shared" si="35"/>
        <v>Q1 -2023</v>
      </c>
      <c r="E217" s="6">
        <v>45015</v>
      </c>
      <c r="F217" s="6">
        <f t="shared" si="36"/>
        <v>45015</v>
      </c>
      <c r="G217" s="12">
        <f t="shared" si="37"/>
        <v>16</v>
      </c>
      <c r="H217" s="12">
        <f t="shared" si="38"/>
        <v>0</v>
      </c>
      <c r="I217" s="4" t="s">
        <v>646</v>
      </c>
      <c r="J217" s="4" t="s">
        <v>661</v>
      </c>
      <c r="K217" s="4" t="s">
        <v>695</v>
      </c>
      <c r="L217" t="str">
        <f t="shared" si="39"/>
        <v>Africa&gt;South Africa&gt;Cape Town</v>
      </c>
      <c r="M217" s="4" t="s">
        <v>704</v>
      </c>
      <c r="N217" s="4" t="s">
        <v>710</v>
      </c>
      <c r="O217" s="4" t="s">
        <v>723</v>
      </c>
      <c r="P217" s="4" t="s">
        <v>727</v>
      </c>
      <c r="Q217" s="4" t="s">
        <v>968</v>
      </c>
      <c r="R217" s="8">
        <v>1309.77</v>
      </c>
      <c r="S217" s="8">
        <v>1589.07</v>
      </c>
      <c r="T217" s="8">
        <v>1589.07</v>
      </c>
      <c r="U217" s="8" t="str">
        <f>IF(T217&lt;=_xlfn.PERCENTILE.INC($T217:$T$633,0.33), "Low", IF(T217&lt;=_xlfn.PERCENTILE.INC($T217:$T$633,0.66), "Medium", "High"))</f>
        <v>Medium</v>
      </c>
      <c r="V217" s="10">
        <v>0.10199999999999999</v>
      </c>
      <c r="W217" s="10">
        <f t="shared" si="40"/>
        <v>0.10199999999999999</v>
      </c>
      <c r="X217" s="12">
        <v>10</v>
      </c>
      <c r="Y217" s="8">
        <f t="shared" si="33"/>
        <v>14269.848599999999</v>
      </c>
      <c r="Z217" s="8">
        <f t="shared" si="34"/>
        <v>13097.7</v>
      </c>
      <c r="AA217" s="8">
        <f t="shared" si="41"/>
        <v>1172.1485999999986</v>
      </c>
      <c r="AB217" s="10">
        <f t="shared" si="42"/>
        <v>8.2141628328137886E-2</v>
      </c>
      <c r="AC217" s="14">
        <f>_xlfn.MINIFS($C$2:$C$633, $J$2:$J$633, J217)</f>
        <v>44933</v>
      </c>
      <c r="AD217">
        <f>DATEDIF(AC217, C217, "m")</f>
        <v>2</v>
      </c>
      <c r="AE217" s="8">
        <f t="shared" si="43"/>
        <v>1426.98486</v>
      </c>
    </row>
    <row r="218" spans="1:31" x14ac:dyDescent="0.3">
      <c r="A218" s="4" t="s">
        <v>243</v>
      </c>
      <c r="B218" s="6">
        <v>44992</v>
      </c>
      <c r="C218" s="14">
        <v>44992</v>
      </c>
      <c r="D218" s="14" t="str">
        <f t="shared" si="35"/>
        <v>Q1 -2023</v>
      </c>
      <c r="E218" s="6">
        <v>45017</v>
      </c>
      <c r="F218" s="6">
        <f t="shared" si="36"/>
        <v>45017</v>
      </c>
      <c r="G218" s="12">
        <f t="shared" si="37"/>
        <v>25</v>
      </c>
      <c r="H218" s="12">
        <f t="shared" si="38"/>
        <v>0</v>
      </c>
      <c r="I218" s="4" t="s">
        <v>646</v>
      </c>
      <c r="J218" s="4" t="s">
        <v>650</v>
      </c>
      <c r="K218" s="4" t="s">
        <v>664</v>
      </c>
      <c r="L218" t="str">
        <f t="shared" si="39"/>
        <v>Africa&gt;Kenya&gt;Nairobi</v>
      </c>
      <c r="M218" s="4" t="s">
        <v>704</v>
      </c>
      <c r="N218" s="4" t="s">
        <v>709</v>
      </c>
      <c r="O218" s="4" t="s">
        <v>726</v>
      </c>
      <c r="P218" s="4" t="s">
        <v>728</v>
      </c>
      <c r="Q218" s="4" t="s">
        <v>963</v>
      </c>
      <c r="R218" s="8">
        <v>1024.0999999999999</v>
      </c>
      <c r="S218" s="8">
        <v>918.19</v>
      </c>
      <c r="T218" s="8">
        <v>918.19</v>
      </c>
      <c r="U218" s="8" t="str">
        <f>IF(T218&lt;=_xlfn.PERCENTILE.INC($T218:$T$633,0.33), "Low", IF(T218&lt;=_xlfn.PERCENTILE.INC($T218:$T$633,0.66), "Medium", "High"))</f>
        <v>Medium</v>
      </c>
      <c r="V218" s="10">
        <v>0.189</v>
      </c>
      <c r="W218" s="10">
        <f t="shared" si="40"/>
        <v>0.189</v>
      </c>
      <c r="X218" s="12">
        <v>10</v>
      </c>
      <c r="Y218" s="8">
        <f t="shared" si="33"/>
        <v>7446.5209000000004</v>
      </c>
      <c r="Z218" s="8">
        <f t="shared" si="34"/>
        <v>10241</v>
      </c>
      <c r="AA218" s="8">
        <f t="shared" si="41"/>
        <v>-2794.4790999999996</v>
      </c>
      <c r="AB218" s="10">
        <f t="shared" si="42"/>
        <v>-0.37527311579827827</v>
      </c>
      <c r="AC218" s="14">
        <f>_xlfn.MINIFS($C$2:$C$633, $J$2:$J$633, J218)</f>
        <v>44946</v>
      </c>
      <c r="AD218">
        <f>DATEDIF(AC218, C218, "m")</f>
        <v>1</v>
      </c>
      <c r="AE218" s="8">
        <f t="shared" si="43"/>
        <v>744.65209000000004</v>
      </c>
    </row>
    <row r="219" spans="1:31" x14ac:dyDescent="0.3">
      <c r="A219" s="4" t="s">
        <v>570</v>
      </c>
      <c r="B219" s="6">
        <v>45053</v>
      </c>
      <c r="C219" s="14">
        <v>45053</v>
      </c>
      <c r="D219" s="14" t="str">
        <f t="shared" si="35"/>
        <v>Q2 -2023</v>
      </c>
      <c r="E219" s="6">
        <v>45066</v>
      </c>
      <c r="F219" s="6">
        <f t="shared" si="36"/>
        <v>45066</v>
      </c>
      <c r="G219" s="12">
        <f t="shared" si="37"/>
        <v>13</v>
      </c>
      <c r="H219" s="12">
        <f t="shared" si="38"/>
        <v>0</v>
      </c>
      <c r="I219" s="4" t="s">
        <v>647</v>
      </c>
      <c r="J219" s="4" t="s">
        <v>654</v>
      </c>
      <c r="K219" s="4" t="s">
        <v>691</v>
      </c>
      <c r="L219" t="str">
        <f t="shared" si="39"/>
        <v>Asia&gt;India&gt;Mumbai</v>
      </c>
      <c r="M219" s="4" t="s">
        <v>706</v>
      </c>
      <c r="N219" s="4" t="s">
        <v>707</v>
      </c>
      <c r="O219" s="4" t="s">
        <v>726</v>
      </c>
      <c r="P219" s="4" t="s">
        <v>733</v>
      </c>
      <c r="Q219" s="4" t="s">
        <v>1288</v>
      </c>
      <c r="R219" s="8">
        <v>1443.28</v>
      </c>
      <c r="S219" s="8">
        <v>2580.5700000000002</v>
      </c>
      <c r="T219" s="8">
        <v>2580.5700000000002</v>
      </c>
      <c r="U219" s="8" t="str">
        <f>IF(T219&lt;=_xlfn.PERCENTILE.INC($T219:$T$633,0.33), "Low", IF(T219&lt;=_xlfn.PERCENTILE.INC($T219:$T$633,0.66), "Medium", "High"))</f>
        <v>High</v>
      </c>
      <c r="V219" s="10">
        <v>0</v>
      </c>
      <c r="W219" s="10">
        <f t="shared" si="40"/>
        <v>0</v>
      </c>
      <c r="X219" s="12">
        <v>18</v>
      </c>
      <c r="Y219" s="8">
        <f t="shared" si="33"/>
        <v>46450.26</v>
      </c>
      <c r="Z219" s="8">
        <f t="shared" si="34"/>
        <v>25979.040000000001</v>
      </c>
      <c r="AA219" s="8">
        <f t="shared" si="41"/>
        <v>20471.22</v>
      </c>
      <c r="AB219" s="10">
        <f t="shared" si="42"/>
        <v>0.4407127107577008</v>
      </c>
      <c r="AC219" s="14">
        <f>_xlfn.MINIFS($C$2:$C$633, $J$2:$J$633, J219)</f>
        <v>44955</v>
      </c>
      <c r="AD219">
        <f>DATEDIF(AC219, C219, "m")</f>
        <v>3</v>
      </c>
      <c r="AE219" s="8">
        <f t="shared" si="43"/>
        <v>2580.5700000000002</v>
      </c>
    </row>
    <row r="220" spans="1:31" x14ac:dyDescent="0.3">
      <c r="A220" s="4" t="s">
        <v>557</v>
      </c>
      <c r="B220" s="6">
        <v>44968</v>
      </c>
      <c r="C220" s="14">
        <v>44968</v>
      </c>
      <c r="D220" s="14" t="str">
        <f t="shared" si="35"/>
        <v>Q1 -2023</v>
      </c>
      <c r="E220" s="6">
        <v>44969</v>
      </c>
      <c r="F220" s="6">
        <f t="shared" si="36"/>
        <v>44969</v>
      </c>
      <c r="G220" s="12">
        <f t="shared" si="37"/>
        <v>1</v>
      </c>
      <c r="H220" s="12">
        <f t="shared" si="38"/>
        <v>1</v>
      </c>
      <c r="I220" s="4" t="s">
        <v>646</v>
      </c>
      <c r="J220" s="4" t="s">
        <v>651</v>
      </c>
      <c r="K220" s="4" t="s">
        <v>663</v>
      </c>
      <c r="L220" t="str">
        <f t="shared" si="39"/>
        <v>Africa&gt;Nigeria&gt;Port Harcourt</v>
      </c>
      <c r="M220" s="4" t="s">
        <v>703</v>
      </c>
      <c r="N220" s="4" t="s">
        <v>711</v>
      </c>
      <c r="O220" s="4" t="s">
        <v>726</v>
      </c>
      <c r="P220" s="4" t="s">
        <v>733</v>
      </c>
      <c r="Q220" s="4" t="s">
        <v>1275</v>
      </c>
      <c r="R220" s="8">
        <v>944.61</v>
      </c>
      <c r="S220" s="8">
        <v>839.04</v>
      </c>
      <c r="T220" s="8">
        <v>839.04</v>
      </c>
      <c r="U220" s="8" t="str">
        <f>IF(T220&lt;=_xlfn.PERCENTILE.INC($T220:$T$633,0.33), "Low", IF(T220&lt;=_xlfn.PERCENTILE.INC($T220:$T$633,0.66), "Medium", "High"))</f>
        <v>Medium</v>
      </c>
      <c r="V220" s="10">
        <v>5.8999999999999997E-2</v>
      </c>
      <c r="W220" s="10">
        <f t="shared" si="40"/>
        <v>5.8999999999999997E-2</v>
      </c>
      <c r="X220" s="12">
        <v>6</v>
      </c>
      <c r="Y220" s="8">
        <f t="shared" si="33"/>
        <v>4737.2198399999997</v>
      </c>
      <c r="Z220" s="8">
        <f t="shared" si="34"/>
        <v>5667.66</v>
      </c>
      <c r="AA220" s="8">
        <f t="shared" si="41"/>
        <v>-930.44016000000011</v>
      </c>
      <c r="AB220" s="10">
        <f t="shared" si="42"/>
        <v>-0.19641059343363726</v>
      </c>
      <c r="AC220" s="14">
        <f>_xlfn.MINIFS($C$2:$C$633, $J$2:$J$633, J220)</f>
        <v>44941</v>
      </c>
      <c r="AD220">
        <f>DATEDIF(AC220, C220, "m")</f>
        <v>0</v>
      </c>
      <c r="AE220" s="8">
        <f t="shared" si="43"/>
        <v>789.53663999999992</v>
      </c>
    </row>
    <row r="221" spans="1:31" x14ac:dyDescent="0.3">
      <c r="A221" s="4" t="s">
        <v>643</v>
      </c>
      <c r="B221" s="6">
        <v>45267</v>
      </c>
      <c r="C221" s="14">
        <v>45267</v>
      </c>
      <c r="D221" s="14" t="str">
        <f t="shared" si="35"/>
        <v>Q4 -2023</v>
      </c>
      <c r="E221" s="6">
        <v>45293</v>
      </c>
      <c r="F221" s="6">
        <f t="shared" si="36"/>
        <v>45293</v>
      </c>
      <c r="G221" s="12">
        <f t="shared" si="37"/>
        <v>26</v>
      </c>
      <c r="H221" s="12">
        <f t="shared" si="38"/>
        <v>0</v>
      </c>
      <c r="I221" s="4" t="s">
        <v>649</v>
      </c>
      <c r="J221" s="4" t="s">
        <v>656</v>
      </c>
      <c r="K221" s="4" t="s">
        <v>698</v>
      </c>
      <c r="L221" t="str">
        <f t="shared" si="39"/>
        <v>Europe&gt;Germany&gt;Frankfurt</v>
      </c>
      <c r="M221" s="4" t="s">
        <v>706</v>
      </c>
      <c r="N221" s="4" t="s">
        <v>710</v>
      </c>
      <c r="O221" s="4" t="s">
        <v>718</v>
      </c>
      <c r="P221" s="4" t="s">
        <v>727</v>
      </c>
      <c r="Q221" s="4" t="s">
        <v>1361</v>
      </c>
      <c r="R221" s="8">
        <v>1071.99</v>
      </c>
      <c r="S221" s="8">
        <v>2397.3000000000002</v>
      </c>
      <c r="T221" s="8">
        <v>2397.3000000000002</v>
      </c>
      <c r="U221" s="8" t="str">
        <f>IF(T221&lt;=_xlfn.PERCENTILE.INC($T221:$T$633,0.33), "Low", IF(T221&lt;=_xlfn.PERCENTILE.INC($T221:$T$633,0.66), "Medium", "High"))</f>
        <v>High</v>
      </c>
      <c r="V221" s="10">
        <v>6.2E-2</v>
      </c>
      <c r="W221" s="10">
        <f t="shared" si="40"/>
        <v>6.2E-2</v>
      </c>
      <c r="X221" s="12">
        <v>18</v>
      </c>
      <c r="Y221" s="8">
        <f t="shared" si="33"/>
        <v>40476.013200000001</v>
      </c>
      <c r="Z221" s="8">
        <f t="shared" si="34"/>
        <v>19295.82</v>
      </c>
      <c r="AA221" s="8">
        <f t="shared" si="41"/>
        <v>21180.193200000002</v>
      </c>
      <c r="AB221" s="10">
        <f t="shared" si="42"/>
        <v>0.52327765324476183</v>
      </c>
      <c r="AC221" s="14">
        <f>_xlfn.MINIFS($C$2:$C$633, $J$2:$J$633, J221)</f>
        <v>44948</v>
      </c>
      <c r="AD221">
        <f>DATEDIF(AC221, C221, "m")</f>
        <v>10</v>
      </c>
      <c r="AE221" s="8">
        <f t="shared" si="43"/>
        <v>2248.6674000000003</v>
      </c>
    </row>
    <row r="222" spans="1:31" x14ac:dyDescent="0.3">
      <c r="A222" s="4" t="s">
        <v>252</v>
      </c>
      <c r="B222" s="6">
        <v>45258</v>
      </c>
      <c r="C222" s="14">
        <v>45258</v>
      </c>
      <c r="D222" s="14" t="str">
        <f t="shared" si="35"/>
        <v>Q4 -2023</v>
      </c>
      <c r="E222" s="6">
        <v>45267</v>
      </c>
      <c r="F222" s="6">
        <f t="shared" si="36"/>
        <v>45267</v>
      </c>
      <c r="G222" s="12">
        <f t="shared" si="37"/>
        <v>9</v>
      </c>
      <c r="H222" s="12">
        <f t="shared" si="38"/>
        <v>0</v>
      </c>
      <c r="I222" s="4" t="s">
        <v>647</v>
      </c>
      <c r="J222" s="4" t="s">
        <v>654</v>
      </c>
      <c r="K222" s="4" t="s">
        <v>680</v>
      </c>
      <c r="L222" t="str">
        <f t="shared" si="39"/>
        <v>Asia&gt;India&gt;Delhi</v>
      </c>
      <c r="M222" s="4" t="s">
        <v>706</v>
      </c>
      <c r="N222" s="4" t="s">
        <v>709</v>
      </c>
      <c r="O222" s="4" t="s">
        <v>716</v>
      </c>
      <c r="P222" s="4" t="s">
        <v>730</v>
      </c>
      <c r="Q222" s="4" t="s">
        <v>972</v>
      </c>
      <c r="R222" s="8">
        <v>699.33</v>
      </c>
      <c r="S222" s="8">
        <v>873.75</v>
      </c>
      <c r="T222" s="8">
        <v>873.75</v>
      </c>
      <c r="U222" s="8" t="str">
        <f>IF(T222&lt;=_xlfn.PERCENTILE.INC($T222:$T$633,0.33), "Low", IF(T222&lt;=_xlfn.PERCENTILE.INC($T222:$T$633,0.66), "Medium", "High"))</f>
        <v>Medium</v>
      </c>
      <c r="V222" s="10">
        <v>0.23499999999999999</v>
      </c>
      <c r="W222" s="10">
        <f t="shared" si="40"/>
        <v>0.23499999999999999</v>
      </c>
      <c r="X222" s="12">
        <v>10</v>
      </c>
      <c r="Y222" s="8">
        <f t="shared" si="33"/>
        <v>6684.1875</v>
      </c>
      <c r="Z222" s="8">
        <f t="shared" si="34"/>
        <v>6993.3</v>
      </c>
      <c r="AA222" s="8">
        <f t="shared" si="41"/>
        <v>-309.11250000000018</v>
      </c>
      <c r="AB222" s="10">
        <f t="shared" si="42"/>
        <v>-4.6245336475076469E-2</v>
      </c>
      <c r="AC222" s="14">
        <f>_xlfn.MINIFS($C$2:$C$633, $J$2:$J$633, J222)</f>
        <v>44955</v>
      </c>
      <c r="AD222">
        <f>DATEDIF(AC222, C222, "m")</f>
        <v>9</v>
      </c>
      <c r="AE222" s="8">
        <f t="shared" si="43"/>
        <v>668.41875000000005</v>
      </c>
    </row>
    <row r="223" spans="1:31" x14ac:dyDescent="0.3">
      <c r="A223" s="4" t="s">
        <v>282</v>
      </c>
      <c r="B223" s="6">
        <v>45284</v>
      </c>
      <c r="C223" s="14">
        <v>45284</v>
      </c>
      <c r="D223" s="14" t="str">
        <f t="shared" si="35"/>
        <v>Q4 -2023</v>
      </c>
      <c r="E223" s="6">
        <v>45292</v>
      </c>
      <c r="F223" s="6">
        <f t="shared" si="36"/>
        <v>45292</v>
      </c>
      <c r="G223" s="12">
        <f t="shared" si="37"/>
        <v>8</v>
      </c>
      <c r="H223" s="12">
        <f t="shared" si="38"/>
        <v>0</v>
      </c>
      <c r="I223" s="4" t="s">
        <v>648</v>
      </c>
      <c r="J223" s="4" t="s">
        <v>655</v>
      </c>
      <c r="K223" s="4" t="s">
        <v>670</v>
      </c>
      <c r="L223" t="str">
        <f t="shared" si="39"/>
        <v>Americas&gt;Brazil&gt;São Paulo</v>
      </c>
      <c r="M223" s="4" t="s">
        <v>702</v>
      </c>
      <c r="N223" s="4" t="s">
        <v>711</v>
      </c>
      <c r="O223" s="4" t="s">
        <v>712</v>
      </c>
      <c r="P223" s="4" t="s">
        <v>730</v>
      </c>
      <c r="Q223" s="4" t="s">
        <v>1002</v>
      </c>
      <c r="R223" s="8">
        <v>526.49</v>
      </c>
      <c r="S223" s="8">
        <v>496.2</v>
      </c>
      <c r="T223" s="8">
        <v>496.2</v>
      </c>
      <c r="U223" s="8" t="str">
        <f>IF(T223&lt;=_xlfn.PERCENTILE.INC($T223:$T$633,0.33), "Low", IF(T223&lt;=_xlfn.PERCENTILE.INC($T223:$T$633,0.66), "Medium", "High"))</f>
        <v>Low</v>
      </c>
      <c r="V223" s="10">
        <v>0</v>
      </c>
      <c r="W223" s="10">
        <f t="shared" si="40"/>
        <v>0</v>
      </c>
      <c r="X223" s="12">
        <v>14</v>
      </c>
      <c r="Y223" s="8">
        <f t="shared" si="33"/>
        <v>6946.8</v>
      </c>
      <c r="Z223" s="8">
        <f t="shared" si="34"/>
        <v>7370.8600000000006</v>
      </c>
      <c r="AA223" s="8">
        <f t="shared" si="41"/>
        <v>-424.0600000000004</v>
      </c>
      <c r="AB223" s="10">
        <f t="shared" si="42"/>
        <v>-6.1043933897621985E-2</v>
      </c>
      <c r="AC223" s="14">
        <f>_xlfn.MINIFS($C$2:$C$633, $J$2:$J$633, J223)</f>
        <v>44955</v>
      </c>
      <c r="AD223">
        <f>DATEDIF(AC223, C223, "m")</f>
        <v>10</v>
      </c>
      <c r="AE223" s="8">
        <f t="shared" si="43"/>
        <v>496.2</v>
      </c>
    </row>
    <row r="224" spans="1:31" x14ac:dyDescent="0.3">
      <c r="A224" s="4" t="s">
        <v>553</v>
      </c>
      <c r="B224" s="6">
        <v>45288</v>
      </c>
      <c r="C224" s="14">
        <v>45288</v>
      </c>
      <c r="D224" s="14" t="str">
        <f t="shared" si="35"/>
        <v>Q4 -2023</v>
      </c>
      <c r="E224" s="6">
        <v>45292</v>
      </c>
      <c r="F224" s="6">
        <f t="shared" si="36"/>
        <v>45292</v>
      </c>
      <c r="G224" s="12">
        <f t="shared" si="37"/>
        <v>4</v>
      </c>
      <c r="H224" s="12">
        <f t="shared" si="38"/>
        <v>1</v>
      </c>
      <c r="I224" s="4" t="s">
        <v>646</v>
      </c>
      <c r="J224" s="4" t="s">
        <v>661</v>
      </c>
      <c r="K224" s="4" t="s">
        <v>695</v>
      </c>
      <c r="L224" t="str">
        <f t="shared" si="39"/>
        <v>Africa&gt;South Africa&gt;Cape Town</v>
      </c>
      <c r="M224" s="4" t="s">
        <v>702</v>
      </c>
      <c r="N224" s="4" t="s">
        <v>710</v>
      </c>
      <c r="O224" s="4" t="s">
        <v>720</v>
      </c>
      <c r="P224" s="4" t="s">
        <v>728</v>
      </c>
      <c r="Q224" s="4" t="s">
        <v>1271</v>
      </c>
      <c r="R224" s="8">
        <v>1141.8</v>
      </c>
      <c r="S224" s="8">
        <v>2318.7399999999998</v>
      </c>
      <c r="T224" s="8">
        <v>2318.7399999999998</v>
      </c>
      <c r="U224" s="8" t="str">
        <f>IF(T224&lt;=_xlfn.PERCENTILE.INC($T224:$T$633,0.33), "Low", IF(T224&lt;=_xlfn.PERCENTILE.INC($T224:$T$633,0.66), "Medium", "High"))</f>
        <v>High</v>
      </c>
      <c r="V224" s="10">
        <v>0.107</v>
      </c>
      <c r="W224" s="10">
        <f t="shared" si="40"/>
        <v>0.107</v>
      </c>
      <c r="X224" s="12">
        <v>32</v>
      </c>
      <c r="Y224" s="8">
        <f t="shared" si="33"/>
        <v>66260.314239999992</v>
      </c>
      <c r="Z224" s="8">
        <f t="shared" si="34"/>
        <v>36537.599999999999</v>
      </c>
      <c r="AA224" s="8">
        <f t="shared" si="41"/>
        <v>29722.714239999994</v>
      </c>
      <c r="AB224" s="10">
        <f t="shared" si="42"/>
        <v>0.44857490612468304</v>
      </c>
      <c r="AC224" s="14">
        <f>_xlfn.MINIFS($C$2:$C$633, $J$2:$J$633, J224)</f>
        <v>44933</v>
      </c>
      <c r="AD224">
        <f>DATEDIF(AC224, C224, "m")</f>
        <v>11</v>
      </c>
      <c r="AE224" s="8">
        <f t="shared" si="43"/>
        <v>2070.6348199999998</v>
      </c>
    </row>
    <row r="225" spans="1:31" x14ac:dyDescent="0.3">
      <c r="A225" s="4" t="s">
        <v>129</v>
      </c>
      <c r="B225" s="6">
        <v>45250</v>
      </c>
      <c r="C225" s="14">
        <v>45250</v>
      </c>
      <c r="D225" s="14" t="str">
        <f t="shared" si="35"/>
        <v>Q4 -2023</v>
      </c>
      <c r="E225" s="6">
        <v>45265</v>
      </c>
      <c r="F225" s="6">
        <f t="shared" si="36"/>
        <v>45265</v>
      </c>
      <c r="G225" s="12">
        <f t="shared" si="37"/>
        <v>15</v>
      </c>
      <c r="H225" s="12">
        <f t="shared" si="38"/>
        <v>0</v>
      </c>
      <c r="I225" s="4" t="s">
        <v>647</v>
      </c>
      <c r="J225" s="4" t="s">
        <v>652</v>
      </c>
      <c r="K225" s="4" t="s">
        <v>689</v>
      </c>
      <c r="L225" t="str">
        <f t="shared" si="39"/>
        <v>Asia&gt;Japan&gt;Tokyo</v>
      </c>
      <c r="M225" s="4" t="s">
        <v>706</v>
      </c>
      <c r="N225" s="4" t="s">
        <v>707</v>
      </c>
      <c r="O225" s="4" t="s">
        <v>716</v>
      </c>
      <c r="P225" s="4" t="s">
        <v>729</v>
      </c>
      <c r="Q225" s="4" t="s">
        <v>848</v>
      </c>
      <c r="R225" s="8">
        <v>354.24</v>
      </c>
      <c r="S225" s="8">
        <v>249.87</v>
      </c>
      <c r="T225" s="8">
        <v>249.87</v>
      </c>
      <c r="U225" s="8" t="str">
        <f>IF(T225&lt;=_xlfn.PERCENTILE.INC($T225:$T$633,0.33), "Low", IF(T225&lt;=_xlfn.PERCENTILE.INC($T225:$T$633,0.66), "Medium", "High"))</f>
        <v>Low</v>
      </c>
      <c r="V225" s="10">
        <v>0</v>
      </c>
      <c r="W225" s="10">
        <f t="shared" si="40"/>
        <v>0</v>
      </c>
      <c r="X225" s="12">
        <v>6</v>
      </c>
      <c r="Y225" s="8">
        <f t="shared" si="33"/>
        <v>1499.22</v>
      </c>
      <c r="Z225" s="8">
        <f t="shared" si="34"/>
        <v>2125.44</v>
      </c>
      <c r="AA225" s="8">
        <f t="shared" si="41"/>
        <v>-626.22</v>
      </c>
      <c r="AB225" s="10">
        <f t="shared" si="42"/>
        <v>-0.41769720254532355</v>
      </c>
      <c r="AC225" s="14">
        <f>_xlfn.MINIFS($C$2:$C$633, $J$2:$J$633, J225)</f>
        <v>44988</v>
      </c>
      <c r="AD225">
        <f>DATEDIF(AC225, C225, "m")</f>
        <v>8</v>
      </c>
      <c r="AE225" s="8">
        <f t="shared" si="43"/>
        <v>249.87</v>
      </c>
    </row>
    <row r="226" spans="1:31" x14ac:dyDescent="0.3">
      <c r="A226" s="4" t="s">
        <v>429</v>
      </c>
      <c r="B226" s="6">
        <v>45167</v>
      </c>
      <c r="C226" s="14">
        <v>45167</v>
      </c>
      <c r="D226" s="14" t="str">
        <f t="shared" si="35"/>
        <v>Q3 -2023</v>
      </c>
      <c r="E226" s="6">
        <v>45182</v>
      </c>
      <c r="F226" s="6">
        <f t="shared" si="36"/>
        <v>45182</v>
      </c>
      <c r="G226" s="12">
        <f t="shared" si="37"/>
        <v>15</v>
      </c>
      <c r="H226" s="12">
        <f t="shared" si="38"/>
        <v>0</v>
      </c>
      <c r="I226" s="4" t="s">
        <v>648</v>
      </c>
      <c r="J226" s="4" t="s">
        <v>653</v>
      </c>
      <c r="K226" s="4" t="s">
        <v>688</v>
      </c>
      <c r="L226" t="str">
        <f t="shared" si="39"/>
        <v>Americas&gt;Canada&gt;Vancouver</v>
      </c>
      <c r="M226" s="4" t="s">
        <v>705</v>
      </c>
      <c r="N226" s="4" t="s">
        <v>709</v>
      </c>
      <c r="O226" s="4" t="s">
        <v>719</v>
      </c>
      <c r="P226" s="4" t="s">
        <v>728</v>
      </c>
      <c r="Q226" s="4" t="s">
        <v>1148</v>
      </c>
      <c r="R226" s="8">
        <v>1287.6400000000001</v>
      </c>
      <c r="S226" s="8">
        <v>2717.15</v>
      </c>
      <c r="T226" s="8">
        <v>2717.15</v>
      </c>
      <c r="U226" s="8" t="str">
        <f>IF(T226&lt;=_xlfn.PERCENTILE.INC($T226:$T$633,0.33), "Low", IF(T226&lt;=_xlfn.PERCENTILE.INC($T226:$T$633,0.66), "Medium", "High"))</f>
        <v>High</v>
      </c>
      <c r="V226" s="10">
        <v>3.2000000000000001E-2</v>
      </c>
      <c r="W226" s="10">
        <f t="shared" si="40"/>
        <v>3.2000000000000001E-2</v>
      </c>
      <c r="X226" s="12">
        <v>7</v>
      </c>
      <c r="Y226" s="8">
        <f t="shared" si="33"/>
        <v>18411.4084</v>
      </c>
      <c r="Z226" s="8">
        <f t="shared" si="34"/>
        <v>9013.4800000000014</v>
      </c>
      <c r="AA226" s="8">
        <f t="shared" si="41"/>
        <v>9397.9283999999989</v>
      </c>
      <c r="AB226" s="10">
        <f t="shared" si="42"/>
        <v>0.51044049405802105</v>
      </c>
      <c r="AC226" s="14">
        <f>_xlfn.MINIFS($C$2:$C$633, $J$2:$J$633, J226)</f>
        <v>44928</v>
      </c>
      <c r="AD226">
        <f>DATEDIF(AC226, C226, "m")</f>
        <v>7</v>
      </c>
      <c r="AE226" s="8">
        <f t="shared" si="43"/>
        <v>2630.2012</v>
      </c>
    </row>
    <row r="227" spans="1:31" x14ac:dyDescent="0.3">
      <c r="A227" s="4" t="s">
        <v>193</v>
      </c>
      <c r="B227" s="6">
        <v>45021</v>
      </c>
      <c r="C227" s="14">
        <v>45021</v>
      </c>
      <c r="D227" s="14" t="str">
        <f t="shared" si="35"/>
        <v>Q2 -2023</v>
      </c>
      <c r="E227" s="6">
        <v>45032</v>
      </c>
      <c r="F227" s="6">
        <f t="shared" si="36"/>
        <v>45032</v>
      </c>
      <c r="G227" s="12">
        <f t="shared" si="37"/>
        <v>11</v>
      </c>
      <c r="H227" s="12">
        <f t="shared" si="38"/>
        <v>0</v>
      </c>
      <c r="I227" s="4" t="s">
        <v>648</v>
      </c>
      <c r="J227" s="4" t="s">
        <v>653</v>
      </c>
      <c r="K227" s="4" t="s">
        <v>688</v>
      </c>
      <c r="L227" t="str">
        <f t="shared" si="39"/>
        <v>Americas&gt;Canada&gt;Vancouver</v>
      </c>
      <c r="M227" s="4" t="s">
        <v>703</v>
      </c>
      <c r="N227" s="4" t="s">
        <v>708</v>
      </c>
      <c r="O227" s="4" t="s">
        <v>719</v>
      </c>
      <c r="P227" s="4" t="s">
        <v>732</v>
      </c>
      <c r="Q227" s="4" t="s">
        <v>912</v>
      </c>
      <c r="R227" s="8">
        <v>213.1</v>
      </c>
      <c r="S227" s="8">
        <v>501.31</v>
      </c>
      <c r="T227" s="8">
        <v>501.31</v>
      </c>
      <c r="U227" s="8" t="str">
        <f>IF(T227&lt;=_xlfn.PERCENTILE.INC($T227:$T$633,0.33), "Low", IF(T227&lt;=_xlfn.PERCENTILE.INC($T227:$T$633,0.66), "Medium", "High"))</f>
        <v>Low</v>
      </c>
      <c r="V227" s="10">
        <v>5.6000000000000001E-2</v>
      </c>
      <c r="W227" s="10">
        <f t="shared" si="40"/>
        <v>5.6000000000000001E-2</v>
      </c>
      <c r="X227" s="12">
        <v>15</v>
      </c>
      <c r="Y227" s="8">
        <f t="shared" si="33"/>
        <v>7098.5495999999994</v>
      </c>
      <c r="Z227" s="8">
        <f t="shared" si="34"/>
        <v>3196.5</v>
      </c>
      <c r="AA227" s="8">
        <f t="shared" si="41"/>
        <v>3902.0495999999994</v>
      </c>
      <c r="AB227" s="10">
        <f t="shared" si="42"/>
        <v>0.54969674368409005</v>
      </c>
      <c r="AC227" s="14">
        <f>_xlfn.MINIFS($C$2:$C$633, $J$2:$J$633, J227)</f>
        <v>44928</v>
      </c>
      <c r="AD227">
        <f>DATEDIF(AC227, C227, "m")</f>
        <v>3</v>
      </c>
      <c r="AE227" s="8">
        <f t="shared" si="43"/>
        <v>473.23663999999997</v>
      </c>
    </row>
    <row r="228" spans="1:31" x14ac:dyDescent="0.3">
      <c r="A228" s="4" t="s">
        <v>411</v>
      </c>
      <c r="B228" s="6">
        <v>45638</v>
      </c>
      <c r="C228" s="14">
        <v>45638</v>
      </c>
      <c r="D228" s="14" t="str">
        <f t="shared" si="35"/>
        <v>Q4 -2024</v>
      </c>
      <c r="E228" s="6">
        <v>45646</v>
      </c>
      <c r="F228" s="6">
        <f t="shared" si="36"/>
        <v>45646</v>
      </c>
      <c r="G228" s="12">
        <f t="shared" si="37"/>
        <v>8</v>
      </c>
      <c r="H228" s="12">
        <f t="shared" si="38"/>
        <v>0</v>
      </c>
      <c r="I228" s="4" t="s">
        <v>647</v>
      </c>
      <c r="J228" s="4" t="s">
        <v>652</v>
      </c>
      <c r="K228" s="4" t="s">
        <v>689</v>
      </c>
      <c r="L228" t="str">
        <f t="shared" si="39"/>
        <v>Asia&gt;Japan&gt;Tokyo</v>
      </c>
      <c r="M228" s="4" t="s">
        <v>701</v>
      </c>
      <c r="N228" s="4" t="s">
        <v>707</v>
      </c>
      <c r="O228" s="4" t="s">
        <v>717</v>
      </c>
      <c r="P228" s="4" t="s">
        <v>731</v>
      </c>
      <c r="Q228" s="4" t="s">
        <v>1130</v>
      </c>
      <c r="R228" s="8">
        <v>1202.47</v>
      </c>
      <c r="S228" s="8">
        <v>1444.72</v>
      </c>
      <c r="T228" s="8">
        <v>1444.72</v>
      </c>
      <c r="U228" s="8" t="str">
        <f>IF(T228&lt;=_xlfn.PERCENTILE.INC($T228:$T$633,0.33), "Low", IF(T228&lt;=_xlfn.PERCENTILE.INC($T228:$T$633,0.66), "Medium", "High"))</f>
        <v>Medium</v>
      </c>
      <c r="V228" s="10">
        <v>0.24099999999999999</v>
      </c>
      <c r="W228" s="10">
        <f t="shared" si="40"/>
        <v>0.24099999999999999</v>
      </c>
      <c r="X228" s="12">
        <v>17</v>
      </c>
      <c r="Y228" s="8">
        <f t="shared" si="33"/>
        <v>18641.222160000001</v>
      </c>
      <c r="Z228" s="8">
        <f t="shared" si="34"/>
        <v>20441.990000000002</v>
      </c>
      <c r="AA228" s="8">
        <f t="shared" si="41"/>
        <v>-1800.7678400000004</v>
      </c>
      <c r="AB228" s="10">
        <f t="shared" si="42"/>
        <v>-9.6601382921343834E-2</v>
      </c>
      <c r="AC228" s="14">
        <f>_xlfn.MINIFS($C$2:$C$633, $J$2:$J$633, J228)</f>
        <v>44988</v>
      </c>
      <c r="AD228">
        <f>DATEDIF(AC228, C228, "m")</f>
        <v>21</v>
      </c>
      <c r="AE228" s="8">
        <f t="shared" si="43"/>
        <v>1096.5424800000001</v>
      </c>
    </row>
    <row r="229" spans="1:31" x14ac:dyDescent="0.3">
      <c r="A229" s="4" t="s">
        <v>494</v>
      </c>
      <c r="B229" s="6">
        <v>45293</v>
      </c>
      <c r="C229" s="14">
        <v>45293</v>
      </c>
      <c r="D229" s="14" t="str">
        <f t="shared" si="35"/>
        <v>Q1 -2024</v>
      </c>
      <c r="E229" s="6">
        <v>45306</v>
      </c>
      <c r="F229" s="6">
        <f t="shared" si="36"/>
        <v>45306</v>
      </c>
      <c r="G229" s="12">
        <f t="shared" si="37"/>
        <v>13</v>
      </c>
      <c r="H229" s="12">
        <f t="shared" si="38"/>
        <v>0</v>
      </c>
      <c r="I229" s="4" t="s">
        <v>647</v>
      </c>
      <c r="J229" s="4" t="s">
        <v>652</v>
      </c>
      <c r="K229" s="4" t="s">
        <v>694</v>
      </c>
      <c r="L229" t="str">
        <f t="shared" si="39"/>
        <v>Asia&gt;Japan&gt;Nagoya</v>
      </c>
      <c r="M229" s="4" t="s">
        <v>705</v>
      </c>
      <c r="N229" s="4" t="s">
        <v>709</v>
      </c>
      <c r="O229" s="4" t="s">
        <v>715</v>
      </c>
      <c r="P229" s="4" t="s">
        <v>729</v>
      </c>
      <c r="Q229" s="4" t="s">
        <v>1213</v>
      </c>
      <c r="R229" s="8">
        <v>1219.06</v>
      </c>
      <c r="S229" s="8">
        <v>2738.69</v>
      </c>
      <c r="T229" s="8">
        <v>2738.69</v>
      </c>
      <c r="U229" s="8" t="str">
        <f>IF(T229&lt;=_xlfn.PERCENTILE.INC($T229:$T$633,0.33), "Low", IF(T229&lt;=_xlfn.PERCENTILE.INC($T229:$T$633,0.66), "Medium", "High"))</f>
        <v>High</v>
      </c>
      <c r="V229" s="10">
        <v>7.5999999999999998E-2</v>
      </c>
      <c r="W229" s="10">
        <f t="shared" si="40"/>
        <v>7.5999999999999998E-2</v>
      </c>
      <c r="X229" s="12">
        <v>16</v>
      </c>
      <c r="Y229" s="8">
        <f t="shared" si="33"/>
        <v>40488.792960000006</v>
      </c>
      <c r="Z229" s="8">
        <f t="shared" si="34"/>
        <v>19504.96</v>
      </c>
      <c r="AA229" s="8">
        <f t="shared" si="41"/>
        <v>20983.832960000007</v>
      </c>
      <c r="AB229" s="10">
        <f t="shared" si="42"/>
        <v>0.51826274447673737</v>
      </c>
      <c r="AC229" s="14">
        <f>_xlfn.MINIFS($C$2:$C$633, $J$2:$J$633, J229)</f>
        <v>44988</v>
      </c>
      <c r="AD229">
        <f>DATEDIF(AC229, C229, "m")</f>
        <v>9</v>
      </c>
      <c r="AE229" s="8">
        <f t="shared" si="43"/>
        <v>2530.5495600000004</v>
      </c>
    </row>
    <row r="230" spans="1:31" x14ac:dyDescent="0.3">
      <c r="A230" s="4" t="s">
        <v>351</v>
      </c>
      <c r="B230" s="6">
        <v>45340</v>
      </c>
      <c r="C230" s="14">
        <v>45340</v>
      </c>
      <c r="D230" s="14" t="str">
        <f t="shared" si="35"/>
        <v>Q1 -2024</v>
      </c>
      <c r="E230" s="6">
        <v>45354</v>
      </c>
      <c r="F230" s="6">
        <f t="shared" si="36"/>
        <v>45354</v>
      </c>
      <c r="G230" s="12">
        <f t="shared" si="37"/>
        <v>14</v>
      </c>
      <c r="H230" s="12">
        <f t="shared" si="38"/>
        <v>0</v>
      </c>
      <c r="I230" s="4" t="s">
        <v>648</v>
      </c>
      <c r="J230" s="4" t="s">
        <v>655</v>
      </c>
      <c r="K230" s="4" t="s">
        <v>1422</v>
      </c>
      <c r="L230" t="str">
        <f t="shared" si="39"/>
        <v>Americas&gt;Brazil&gt;Unknown</v>
      </c>
      <c r="M230" s="4" t="s">
        <v>706</v>
      </c>
      <c r="N230" s="4" t="s">
        <v>710</v>
      </c>
      <c r="O230" s="4" t="s">
        <v>720</v>
      </c>
      <c r="P230" s="4" t="s">
        <v>728</v>
      </c>
      <c r="Q230" s="4" t="s">
        <v>1071</v>
      </c>
      <c r="R230" s="8">
        <v>624.23</v>
      </c>
      <c r="S230" s="8">
        <v>1318.37</v>
      </c>
      <c r="T230" s="8">
        <v>1318.37</v>
      </c>
      <c r="U230" s="8" t="str">
        <f>IF(T230&lt;=_xlfn.PERCENTILE.INC($T230:$T$633,0.33), "Low", IF(T230&lt;=_xlfn.PERCENTILE.INC($T230:$T$633,0.66), "Medium", "High"))</f>
        <v>Medium</v>
      </c>
      <c r="V230" s="10">
        <v>0.21</v>
      </c>
      <c r="W230" s="10">
        <f t="shared" si="40"/>
        <v>0.21</v>
      </c>
      <c r="X230" s="12">
        <v>37</v>
      </c>
      <c r="Y230" s="8">
        <f t="shared" si="33"/>
        <v>38535.955099999999</v>
      </c>
      <c r="Z230" s="8">
        <f t="shared" si="34"/>
        <v>23096.510000000002</v>
      </c>
      <c r="AA230" s="8">
        <f t="shared" si="41"/>
        <v>15439.445099999997</v>
      </c>
      <c r="AB230" s="10">
        <f t="shared" si="42"/>
        <v>0.40065038118128793</v>
      </c>
      <c r="AC230" s="14">
        <f>_xlfn.MINIFS($C$2:$C$633, $J$2:$J$633, J230)</f>
        <v>44955</v>
      </c>
      <c r="AD230">
        <f>DATEDIF(AC230, C230, "m")</f>
        <v>12</v>
      </c>
      <c r="AE230" s="8">
        <f t="shared" si="43"/>
        <v>1041.5122999999999</v>
      </c>
    </row>
    <row r="231" spans="1:31" x14ac:dyDescent="0.3">
      <c r="A231" s="4" t="s">
        <v>179</v>
      </c>
      <c r="B231" s="6">
        <v>45447</v>
      </c>
      <c r="C231" s="14">
        <v>45447</v>
      </c>
      <c r="D231" s="14" t="str">
        <f t="shared" si="35"/>
        <v>Q2 -2024</v>
      </c>
      <c r="E231" s="6">
        <v>45459</v>
      </c>
      <c r="F231" s="6">
        <f t="shared" si="36"/>
        <v>45459</v>
      </c>
      <c r="G231" s="12">
        <f t="shared" si="37"/>
        <v>12</v>
      </c>
      <c r="H231" s="12">
        <f t="shared" si="38"/>
        <v>0</v>
      </c>
      <c r="I231" s="4" t="s">
        <v>647</v>
      </c>
      <c r="J231" s="4" t="s">
        <v>659</v>
      </c>
      <c r="K231" s="4" t="s">
        <v>685</v>
      </c>
      <c r="L231" t="str">
        <f t="shared" si="39"/>
        <v>Asia&gt;China&gt;Shanghai</v>
      </c>
      <c r="M231" s="4" t="s">
        <v>701</v>
      </c>
      <c r="N231" s="4" t="s">
        <v>707</v>
      </c>
      <c r="O231" s="4" t="s">
        <v>713</v>
      </c>
      <c r="P231" s="4" t="s">
        <v>728</v>
      </c>
      <c r="Q231" s="4" t="s">
        <v>898</v>
      </c>
      <c r="R231" s="8">
        <v>918.42</v>
      </c>
      <c r="S231" s="8">
        <v>1511.71</v>
      </c>
      <c r="T231" s="8">
        <v>1511.71</v>
      </c>
      <c r="U231" s="8" t="str">
        <f>IF(T231&lt;=_xlfn.PERCENTILE.INC($T231:$T$633,0.33), "Low", IF(T231&lt;=_xlfn.PERCENTILE.INC($T231:$T$633,0.66), "Medium", "High"))</f>
        <v>Medium</v>
      </c>
      <c r="V231" s="10">
        <v>0.02</v>
      </c>
      <c r="W231" s="10">
        <f t="shared" si="40"/>
        <v>0.02</v>
      </c>
      <c r="X231" s="12">
        <v>8</v>
      </c>
      <c r="Y231" s="8">
        <f t="shared" si="33"/>
        <v>11851.806399999999</v>
      </c>
      <c r="Z231" s="8">
        <f t="shared" si="34"/>
        <v>7347.36</v>
      </c>
      <c r="AA231" s="8">
        <f t="shared" si="41"/>
        <v>4504.4463999999998</v>
      </c>
      <c r="AB231" s="10">
        <f t="shared" si="42"/>
        <v>0.38006412254590999</v>
      </c>
      <c r="AC231" s="14">
        <f>_xlfn.MINIFS($C$2:$C$633, $J$2:$J$633, J231)</f>
        <v>44938</v>
      </c>
      <c r="AD231">
        <f>DATEDIF(AC231, C231, "m")</f>
        <v>16</v>
      </c>
      <c r="AE231" s="8">
        <f t="shared" si="43"/>
        <v>1481.4757999999999</v>
      </c>
    </row>
    <row r="232" spans="1:31" x14ac:dyDescent="0.3">
      <c r="A232" s="4" t="s">
        <v>170</v>
      </c>
      <c r="B232" s="6">
        <v>45511</v>
      </c>
      <c r="C232" s="14">
        <v>45511</v>
      </c>
      <c r="D232" s="14" t="str">
        <f t="shared" si="35"/>
        <v>Q3 -2024</v>
      </c>
      <c r="E232" s="6">
        <v>45521</v>
      </c>
      <c r="F232" s="6">
        <f t="shared" si="36"/>
        <v>45521</v>
      </c>
      <c r="G232" s="12">
        <f t="shared" si="37"/>
        <v>10</v>
      </c>
      <c r="H232" s="12">
        <f t="shared" si="38"/>
        <v>0</v>
      </c>
      <c r="I232" s="4" t="s">
        <v>647</v>
      </c>
      <c r="J232" s="4" t="s">
        <v>652</v>
      </c>
      <c r="K232" s="4" t="s">
        <v>666</v>
      </c>
      <c r="L232" t="str">
        <f t="shared" si="39"/>
        <v>Asia&gt;Japan&gt;Osaka</v>
      </c>
      <c r="M232" s="4" t="s">
        <v>704</v>
      </c>
      <c r="N232" s="4" t="s">
        <v>708</v>
      </c>
      <c r="O232" s="4" t="s">
        <v>723</v>
      </c>
      <c r="P232" s="4" t="s">
        <v>729</v>
      </c>
      <c r="Q232" s="4" t="s">
        <v>889</v>
      </c>
      <c r="R232" s="8">
        <v>436.58</v>
      </c>
      <c r="S232" s="8">
        <v>527.48</v>
      </c>
      <c r="T232" s="8">
        <v>527.48</v>
      </c>
      <c r="U232" s="8" t="str">
        <f>IF(T232&lt;=_xlfn.PERCENTILE.INC($T232:$T$633,0.33), "Low", IF(T232&lt;=_xlfn.PERCENTILE.INC($T232:$T$633,0.66), "Medium", "High"))</f>
        <v>Low</v>
      </c>
      <c r="V232" s="10">
        <v>0.111</v>
      </c>
      <c r="W232" s="10">
        <f t="shared" si="40"/>
        <v>0.111</v>
      </c>
      <c r="X232" s="12">
        <v>19</v>
      </c>
      <c r="Y232" s="8">
        <f t="shared" si="33"/>
        <v>8909.6646800000017</v>
      </c>
      <c r="Z232" s="8">
        <f t="shared" si="34"/>
        <v>8295.02</v>
      </c>
      <c r="AA232" s="8">
        <f t="shared" si="41"/>
        <v>614.64468000000124</v>
      </c>
      <c r="AB232" s="10">
        <f t="shared" si="42"/>
        <v>6.8986286473802644E-2</v>
      </c>
      <c r="AC232" s="14">
        <f>_xlfn.MINIFS($C$2:$C$633, $J$2:$J$633, J232)</f>
        <v>44988</v>
      </c>
      <c r="AD232">
        <f>DATEDIF(AC232, C232, "m")</f>
        <v>17</v>
      </c>
      <c r="AE232" s="8">
        <f t="shared" si="43"/>
        <v>468.92972000000009</v>
      </c>
    </row>
    <row r="233" spans="1:31" x14ac:dyDescent="0.3">
      <c r="A233" s="4" t="s">
        <v>564</v>
      </c>
      <c r="B233" s="6">
        <v>45633</v>
      </c>
      <c r="C233" s="14">
        <v>45633</v>
      </c>
      <c r="D233" s="14" t="str">
        <f t="shared" si="35"/>
        <v>Q4 -2024</v>
      </c>
      <c r="E233" s="6">
        <v>45652</v>
      </c>
      <c r="F233" s="6">
        <f t="shared" si="36"/>
        <v>45652</v>
      </c>
      <c r="G233" s="12">
        <f t="shared" si="37"/>
        <v>19</v>
      </c>
      <c r="H233" s="12">
        <f t="shared" si="38"/>
        <v>0</v>
      </c>
      <c r="I233" s="4" t="s">
        <v>649</v>
      </c>
      <c r="J233" s="4" t="s">
        <v>658</v>
      </c>
      <c r="K233" s="4" t="s">
        <v>683</v>
      </c>
      <c r="L233" t="str">
        <f t="shared" si="39"/>
        <v>Europe&gt;United Kingdom&gt;London</v>
      </c>
      <c r="M233" s="4" t="s">
        <v>706</v>
      </c>
      <c r="N233" s="4" t="s">
        <v>708</v>
      </c>
      <c r="O233" s="4" t="s">
        <v>726</v>
      </c>
      <c r="P233" s="4" t="s">
        <v>729</v>
      </c>
      <c r="Q233" s="4" t="s">
        <v>1282</v>
      </c>
      <c r="R233" s="8">
        <v>1035.24</v>
      </c>
      <c r="S233" s="8">
        <v>2383.41</v>
      </c>
      <c r="T233" s="8">
        <v>2383.41</v>
      </c>
      <c r="U233" s="8" t="str">
        <f>IF(T233&lt;=_xlfn.PERCENTILE.INC($T233:$T$633,0.33), "Low", IF(T233&lt;=_xlfn.PERCENTILE.INC($T233:$T$633,0.66), "Medium", "High"))</f>
        <v>High</v>
      </c>
      <c r="V233" s="10">
        <v>0.17</v>
      </c>
      <c r="W233" s="10">
        <f t="shared" si="40"/>
        <v>0.17</v>
      </c>
      <c r="X233" s="12">
        <v>15</v>
      </c>
      <c r="Y233" s="8">
        <f t="shared" si="33"/>
        <v>29673.454499999993</v>
      </c>
      <c r="Z233" s="8">
        <f t="shared" si="34"/>
        <v>15528.6</v>
      </c>
      <c r="AA233" s="8">
        <f t="shared" si="41"/>
        <v>14144.854499999992</v>
      </c>
      <c r="AB233" s="10">
        <f t="shared" si="42"/>
        <v>0.47668378145860962</v>
      </c>
      <c r="AC233" s="14">
        <f>_xlfn.MINIFS($C$2:$C$633, $J$2:$J$633, J233)</f>
        <v>44945</v>
      </c>
      <c r="AD233">
        <f>DATEDIF(AC233, C233, "m")</f>
        <v>22</v>
      </c>
      <c r="AE233" s="8">
        <f t="shared" si="43"/>
        <v>1978.2302999999995</v>
      </c>
    </row>
    <row r="234" spans="1:31" x14ac:dyDescent="0.3">
      <c r="A234" s="4" t="s">
        <v>340</v>
      </c>
      <c r="B234" s="6">
        <v>45303</v>
      </c>
      <c r="C234" s="14">
        <v>45303</v>
      </c>
      <c r="D234" s="14" t="str">
        <f t="shared" si="35"/>
        <v>Q1 -2024</v>
      </c>
      <c r="E234" s="6">
        <v>45320</v>
      </c>
      <c r="F234" s="6">
        <f t="shared" si="36"/>
        <v>45320</v>
      </c>
      <c r="G234" s="12">
        <f t="shared" si="37"/>
        <v>17</v>
      </c>
      <c r="H234" s="12">
        <f t="shared" si="38"/>
        <v>0</v>
      </c>
      <c r="I234" s="4" t="s">
        <v>647</v>
      </c>
      <c r="J234" s="4" t="s">
        <v>654</v>
      </c>
      <c r="K234" s="4" t="s">
        <v>696</v>
      </c>
      <c r="L234" t="str">
        <f t="shared" si="39"/>
        <v>Asia&gt;India&gt;Hyderabad</v>
      </c>
      <c r="M234" s="4" t="s">
        <v>705</v>
      </c>
      <c r="N234" s="4" t="s">
        <v>711</v>
      </c>
      <c r="O234" s="4" t="s">
        <v>717</v>
      </c>
      <c r="P234" s="4" t="s">
        <v>727</v>
      </c>
      <c r="Q234" s="4" t="s">
        <v>1060</v>
      </c>
      <c r="R234" s="8">
        <v>310.02</v>
      </c>
      <c r="S234" s="8">
        <v>619.51</v>
      </c>
      <c r="T234" s="8">
        <v>619.51</v>
      </c>
      <c r="U234" s="8" t="str">
        <f>IF(T234&lt;=_xlfn.PERCENTILE.INC($T234:$T$633,0.33), "Low", IF(T234&lt;=_xlfn.PERCENTILE.INC($T234:$T$633,0.66), "Medium", "High"))</f>
        <v>Low</v>
      </c>
      <c r="V234" s="10">
        <v>4.2000000000000003E-2</v>
      </c>
      <c r="W234" s="10">
        <f t="shared" si="40"/>
        <v>4.2000000000000003E-2</v>
      </c>
      <c r="X234" s="12">
        <v>4</v>
      </c>
      <c r="Y234" s="8">
        <f t="shared" si="33"/>
        <v>2373.9623200000001</v>
      </c>
      <c r="Z234" s="8">
        <f t="shared" si="34"/>
        <v>1240.08</v>
      </c>
      <c r="AA234" s="8">
        <f t="shared" si="41"/>
        <v>1133.8823200000002</v>
      </c>
      <c r="AB234" s="10">
        <f t="shared" si="42"/>
        <v>0.47763282106347843</v>
      </c>
      <c r="AC234" s="14">
        <f>_xlfn.MINIFS($C$2:$C$633, $J$2:$J$633, J234)</f>
        <v>44955</v>
      </c>
      <c r="AD234">
        <f>DATEDIF(AC234, C234, "m")</f>
        <v>11</v>
      </c>
      <c r="AE234" s="8">
        <f t="shared" si="43"/>
        <v>593.49058000000002</v>
      </c>
    </row>
    <row r="235" spans="1:31" x14ac:dyDescent="0.3">
      <c r="A235" s="4" t="s">
        <v>120</v>
      </c>
      <c r="B235" s="6">
        <v>45433</v>
      </c>
      <c r="C235" s="14">
        <v>45433</v>
      </c>
      <c r="D235" s="14" t="str">
        <f t="shared" si="35"/>
        <v>Q2 -2024</v>
      </c>
      <c r="E235" s="6">
        <v>45439</v>
      </c>
      <c r="F235" s="6">
        <f t="shared" si="36"/>
        <v>45439</v>
      </c>
      <c r="G235" s="12">
        <f t="shared" si="37"/>
        <v>6</v>
      </c>
      <c r="H235" s="12">
        <f t="shared" si="38"/>
        <v>1</v>
      </c>
      <c r="I235" s="4" t="s">
        <v>646</v>
      </c>
      <c r="J235" s="4" t="s">
        <v>661</v>
      </c>
      <c r="K235" s="4" t="s">
        <v>682</v>
      </c>
      <c r="L235" t="str">
        <f t="shared" si="39"/>
        <v>Africa&gt;South Africa&gt;Johannesburg</v>
      </c>
      <c r="M235" s="4" t="s">
        <v>703</v>
      </c>
      <c r="N235" s="4" t="s">
        <v>708</v>
      </c>
      <c r="O235" s="4" t="s">
        <v>724</v>
      </c>
      <c r="P235" s="4" t="s">
        <v>727</v>
      </c>
      <c r="Q235" s="4" t="s">
        <v>839</v>
      </c>
      <c r="R235" s="8">
        <v>1157.51</v>
      </c>
      <c r="S235" s="8">
        <v>1394.3</v>
      </c>
      <c r="T235" s="8">
        <v>1394.3</v>
      </c>
      <c r="U235" s="8" t="str">
        <f>IF(T235&lt;=_xlfn.PERCENTILE.INC($T235:$T$633,0.33), "Low", IF(T235&lt;=_xlfn.PERCENTILE.INC($T235:$T$633,0.66), "Medium", "High"))</f>
        <v>Medium</v>
      </c>
      <c r="V235" s="10">
        <v>0.27800000000000002</v>
      </c>
      <c r="W235" s="10">
        <f t="shared" si="40"/>
        <v>0.27800000000000002</v>
      </c>
      <c r="X235" s="12">
        <v>12</v>
      </c>
      <c r="Y235" s="8">
        <f t="shared" si="33"/>
        <v>12080.215199999999</v>
      </c>
      <c r="Z235" s="8">
        <f t="shared" si="34"/>
        <v>13890.119999999999</v>
      </c>
      <c r="AA235" s="8">
        <f t="shared" si="41"/>
        <v>-1809.9048000000003</v>
      </c>
      <c r="AB235" s="10">
        <f t="shared" si="42"/>
        <v>-0.14982388724333326</v>
      </c>
      <c r="AC235" s="14">
        <f>_xlfn.MINIFS($C$2:$C$633, $J$2:$J$633, J235)</f>
        <v>44933</v>
      </c>
      <c r="AD235">
        <f>DATEDIF(AC235, C235, "m")</f>
        <v>16</v>
      </c>
      <c r="AE235" s="8">
        <f t="shared" si="43"/>
        <v>1006.6845999999999</v>
      </c>
    </row>
    <row r="236" spans="1:31" x14ac:dyDescent="0.3">
      <c r="A236" s="4" t="s">
        <v>149</v>
      </c>
      <c r="B236" s="6">
        <v>45647</v>
      </c>
      <c r="C236" s="14">
        <v>45647</v>
      </c>
      <c r="D236" s="14" t="str">
        <f t="shared" si="35"/>
        <v>Q4 -2024</v>
      </c>
      <c r="E236" s="6">
        <v>45652</v>
      </c>
      <c r="F236" s="6">
        <f t="shared" si="36"/>
        <v>45652</v>
      </c>
      <c r="G236" s="12">
        <f t="shared" si="37"/>
        <v>5</v>
      </c>
      <c r="H236" s="12">
        <f t="shared" si="38"/>
        <v>1</v>
      </c>
      <c r="I236" s="4" t="s">
        <v>648</v>
      </c>
      <c r="J236" s="4" t="s">
        <v>660</v>
      </c>
      <c r="K236" s="4" t="s">
        <v>686</v>
      </c>
      <c r="L236" t="str">
        <f t="shared" si="39"/>
        <v>Americas&gt;USA&gt;San Francisco</v>
      </c>
      <c r="M236" s="4" t="s">
        <v>704</v>
      </c>
      <c r="N236" s="4" t="s">
        <v>709</v>
      </c>
      <c r="O236" s="4" t="s">
        <v>724</v>
      </c>
      <c r="P236" s="4" t="s">
        <v>728</v>
      </c>
      <c r="Q236" s="4" t="s">
        <v>868</v>
      </c>
      <c r="R236" s="8">
        <v>699.57</v>
      </c>
      <c r="S236" s="8">
        <v>572.71</v>
      </c>
      <c r="T236" s="8">
        <v>572.71</v>
      </c>
      <c r="U236" s="8" t="str">
        <f>IF(T236&lt;=_xlfn.PERCENTILE.INC($T236:$T$633,0.33), "Low", IF(T236&lt;=_xlfn.PERCENTILE.INC($T236:$T$633,0.66), "Medium", "High"))</f>
        <v>Low</v>
      </c>
      <c r="V236" s="10">
        <v>0.192</v>
      </c>
      <c r="W236" s="10">
        <f t="shared" si="40"/>
        <v>0.192</v>
      </c>
      <c r="X236" s="12">
        <v>26</v>
      </c>
      <c r="Y236" s="8">
        <f t="shared" si="33"/>
        <v>12031.491680000001</v>
      </c>
      <c r="Z236" s="8">
        <f t="shared" si="34"/>
        <v>18188.82</v>
      </c>
      <c r="AA236" s="8">
        <f t="shared" si="41"/>
        <v>-6157.3283199999987</v>
      </c>
      <c r="AB236" s="10">
        <f t="shared" si="42"/>
        <v>-0.51176765805651114</v>
      </c>
      <c r="AC236" s="14">
        <f>_xlfn.MINIFS($C$2:$C$633, $J$2:$J$633, J236)</f>
        <v>44939</v>
      </c>
      <c r="AD236">
        <f>DATEDIF(AC236, C236, "m")</f>
        <v>23</v>
      </c>
      <c r="AE236" s="8">
        <f t="shared" si="43"/>
        <v>462.74968000000001</v>
      </c>
    </row>
    <row r="237" spans="1:31" x14ac:dyDescent="0.3">
      <c r="A237" s="4" t="s">
        <v>324</v>
      </c>
      <c r="B237" s="6">
        <v>45655</v>
      </c>
      <c r="C237" s="14">
        <v>45655</v>
      </c>
      <c r="D237" s="14" t="str">
        <f t="shared" si="35"/>
        <v>Q4 -2024</v>
      </c>
      <c r="E237" s="6">
        <v>45669</v>
      </c>
      <c r="F237" s="6">
        <f t="shared" si="36"/>
        <v>45669</v>
      </c>
      <c r="G237" s="12">
        <f t="shared" si="37"/>
        <v>14</v>
      </c>
      <c r="H237" s="12">
        <f t="shared" si="38"/>
        <v>0</v>
      </c>
      <c r="I237" s="4" t="s">
        <v>649</v>
      </c>
      <c r="J237" s="4" t="s">
        <v>658</v>
      </c>
      <c r="K237" s="4" t="s">
        <v>693</v>
      </c>
      <c r="L237" t="str">
        <f t="shared" si="39"/>
        <v>Europe&gt;United Kingdom&gt;Manchester</v>
      </c>
      <c r="M237" s="4" t="s">
        <v>701</v>
      </c>
      <c r="N237" s="4" t="s">
        <v>711</v>
      </c>
      <c r="O237" s="4" t="s">
        <v>717</v>
      </c>
      <c r="P237" s="4" t="s">
        <v>732</v>
      </c>
      <c r="Q237" s="4" t="s">
        <v>1044</v>
      </c>
      <c r="R237" s="8">
        <v>1399.72</v>
      </c>
      <c r="S237" s="8">
        <v>3149.21</v>
      </c>
      <c r="T237" s="8">
        <v>3149.21</v>
      </c>
      <c r="U237" s="8" t="str">
        <f>IF(T237&lt;=_xlfn.PERCENTILE.INC($T237:$T$633,0.33), "Low", IF(T237&lt;=_xlfn.PERCENTILE.INC($T237:$T$633,0.66), "Medium", "High"))</f>
        <v>High</v>
      </c>
      <c r="V237" s="10">
        <v>0.185</v>
      </c>
      <c r="W237" s="10">
        <f t="shared" si="40"/>
        <v>0.185</v>
      </c>
      <c r="X237" s="12">
        <v>12</v>
      </c>
      <c r="Y237" s="8">
        <f t="shared" si="33"/>
        <v>30799.273800000003</v>
      </c>
      <c r="Z237" s="8">
        <f t="shared" si="34"/>
        <v>16796.64</v>
      </c>
      <c r="AA237" s="8">
        <f t="shared" si="41"/>
        <v>14002.633800000003</v>
      </c>
      <c r="AB237" s="10">
        <f t="shared" si="42"/>
        <v>0.45464168703873797</v>
      </c>
      <c r="AC237" s="14">
        <f>_xlfn.MINIFS($C$2:$C$633, $J$2:$J$633, J237)</f>
        <v>44945</v>
      </c>
      <c r="AD237">
        <f>DATEDIF(AC237, C237, "m")</f>
        <v>23</v>
      </c>
      <c r="AE237" s="8">
        <f t="shared" si="43"/>
        <v>2566.6061500000001</v>
      </c>
    </row>
    <row r="238" spans="1:31" x14ac:dyDescent="0.3">
      <c r="A238" s="4" t="s">
        <v>124</v>
      </c>
      <c r="B238" s="6">
        <v>45445</v>
      </c>
      <c r="C238" s="14">
        <v>45445</v>
      </c>
      <c r="D238" s="14" t="str">
        <f t="shared" si="35"/>
        <v>Q2 -2024</v>
      </c>
      <c r="E238" s="6">
        <v>45451</v>
      </c>
      <c r="F238" s="6">
        <f t="shared" si="36"/>
        <v>45451</v>
      </c>
      <c r="G238" s="12">
        <f t="shared" si="37"/>
        <v>6</v>
      </c>
      <c r="H238" s="12">
        <f t="shared" si="38"/>
        <v>1</v>
      </c>
      <c r="I238" s="4" t="s">
        <v>646</v>
      </c>
      <c r="J238" s="4" t="s">
        <v>650</v>
      </c>
      <c r="K238" s="4" t="s">
        <v>662</v>
      </c>
      <c r="L238" t="str">
        <f t="shared" si="39"/>
        <v>Africa&gt;Kenya&gt;Kisumu</v>
      </c>
      <c r="M238" s="4" t="s">
        <v>704</v>
      </c>
      <c r="N238" s="4" t="s">
        <v>709</v>
      </c>
      <c r="O238" s="4" t="s">
        <v>720</v>
      </c>
      <c r="P238" s="4" t="s">
        <v>733</v>
      </c>
      <c r="Q238" s="4" t="s">
        <v>843</v>
      </c>
      <c r="R238" s="8">
        <v>292.94</v>
      </c>
      <c r="S238" s="8">
        <v>356.55</v>
      </c>
      <c r="T238" s="8">
        <v>356.55</v>
      </c>
      <c r="U238" s="8" t="str">
        <f>IF(T238&lt;=_xlfn.PERCENTILE.INC($T238:$T$633,0.33), "Low", IF(T238&lt;=_xlfn.PERCENTILE.INC($T238:$T$633,0.66), "Medium", "High"))</f>
        <v>Low</v>
      </c>
      <c r="V238" s="10">
        <v>0.22900000000000001</v>
      </c>
      <c r="W238" s="10">
        <f t="shared" si="40"/>
        <v>0.22900000000000001</v>
      </c>
      <c r="X238" s="12">
        <v>2</v>
      </c>
      <c r="Y238" s="8">
        <f t="shared" si="33"/>
        <v>549.80010000000004</v>
      </c>
      <c r="Z238" s="8">
        <f t="shared" si="34"/>
        <v>585.88</v>
      </c>
      <c r="AA238" s="8">
        <f t="shared" si="41"/>
        <v>-36.079899999999952</v>
      </c>
      <c r="AB238" s="10">
        <f t="shared" si="42"/>
        <v>-6.5623669402751925E-2</v>
      </c>
      <c r="AC238" s="14">
        <f>_xlfn.MINIFS($C$2:$C$633, $J$2:$J$633, J238)</f>
        <v>44946</v>
      </c>
      <c r="AD238">
        <f>DATEDIF(AC238, C238, "m")</f>
        <v>16</v>
      </c>
      <c r="AE238" s="8">
        <f t="shared" si="43"/>
        <v>274.90005000000002</v>
      </c>
    </row>
    <row r="239" spans="1:31" x14ac:dyDescent="0.3">
      <c r="A239" s="4" t="s">
        <v>49</v>
      </c>
      <c r="B239" s="6">
        <v>45527</v>
      </c>
      <c r="C239" s="14">
        <v>45527</v>
      </c>
      <c r="D239" s="14" t="str">
        <f t="shared" si="35"/>
        <v>Q3 -2024</v>
      </c>
      <c r="E239" s="6">
        <v>45525</v>
      </c>
      <c r="F239" s="6">
        <f t="shared" si="36"/>
        <v>45532</v>
      </c>
      <c r="G239" s="12">
        <f t="shared" si="37"/>
        <v>5</v>
      </c>
      <c r="H239" s="12">
        <f t="shared" si="38"/>
        <v>1</v>
      </c>
      <c r="I239" s="4" t="s">
        <v>646</v>
      </c>
      <c r="J239" s="4" t="s">
        <v>661</v>
      </c>
      <c r="K239" s="4" t="s">
        <v>682</v>
      </c>
      <c r="L239" t="str">
        <f t="shared" si="39"/>
        <v>Africa&gt;South Africa&gt;Johannesburg</v>
      </c>
      <c r="M239" s="4" t="s">
        <v>702</v>
      </c>
      <c r="N239" s="4" t="s">
        <v>707</v>
      </c>
      <c r="O239" s="4" t="s">
        <v>718</v>
      </c>
      <c r="P239" s="4" t="s">
        <v>727</v>
      </c>
      <c r="Q239" s="4" t="s">
        <v>768</v>
      </c>
      <c r="R239" s="8">
        <v>1432.52</v>
      </c>
      <c r="S239" s="8">
        <v>3036.87</v>
      </c>
      <c r="T239" s="8">
        <v>3036.87</v>
      </c>
      <c r="U239" s="8" t="str">
        <f>IF(T239&lt;=_xlfn.PERCENTILE.INC($T239:$T$633,0.33), "Low", IF(T239&lt;=_xlfn.PERCENTILE.INC($T239:$T$633,0.66), "Medium", "High"))</f>
        <v>High</v>
      </c>
      <c r="V239" s="10">
        <v>0</v>
      </c>
      <c r="W239" s="10">
        <f t="shared" si="40"/>
        <v>0</v>
      </c>
      <c r="X239" s="12">
        <v>9</v>
      </c>
      <c r="Y239" s="8">
        <f t="shared" si="33"/>
        <v>27331.829999999998</v>
      </c>
      <c r="Z239" s="8">
        <f t="shared" si="34"/>
        <v>12892.68</v>
      </c>
      <c r="AA239" s="8">
        <f t="shared" si="41"/>
        <v>14439.149999999998</v>
      </c>
      <c r="AB239" s="10">
        <f t="shared" si="42"/>
        <v>0.52829064135112791</v>
      </c>
      <c r="AC239" s="14">
        <f>_xlfn.MINIFS($C$2:$C$633, $J$2:$J$633, J239)</f>
        <v>44933</v>
      </c>
      <c r="AD239">
        <f>DATEDIF(AC239, C239, "m")</f>
        <v>19</v>
      </c>
      <c r="AE239" s="8">
        <f t="shared" si="43"/>
        <v>3036.87</v>
      </c>
    </row>
    <row r="240" spans="1:31" x14ac:dyDescent="0.3">
      <c r="A240" s="4" t="s">
        <v>416</v>
      </c>
      <c r="B240" s="6">
        <v>45601</v>
      </c>
      <c r="C240" s="14">
        <v>45601</v>
      </c>
      <c r="D240" s="14" t="str">
        <f t="shared" si="35"/>
        <v>Q4 -2024</v>
      </c>
      <c r="E240" s="6">
        <v>45604</v>
      </c>
      <c r="F240" s="6">
        <f t="shared" si="36"/>
        <v>45604</v>
      </c>
      <c r="G240" s="12">
        <f t="shared" si="37"/>
        <v>3</v>
      </c>
      <c r="H240" s="12">
        <f t="shared" si="38"/>
        <v>1</v>
      </c>
      <c r="I240" s="4" t="s">
        <v>648</v>
      </c>
      <c r="J240" s="4" t="s">
        <v>653</v>
      </c>
      <c r="K240" s="4" t="s">
        <v>667</v>
      </c>
      <c r="L240" t="str">
        <f t="shared" si="39"/>
        <v>Americas&gt;Canada&gt;Toronto</v>
      </c>
      <c r="M240" s="4" t="s">
        <v>702</v>
      </c>
      <c r="N240" s="4" t="s">
        <v>709</v>
      </c>
      <c r="O240" s="4" t="s">
        <v>719</v>
      </c>
      <c r="P240" s="4" t="s">
        <v>727</v>
      </c>
      <c r="Q240" s="4" t="s">
        <v>1135</v>
      </c>
      <c r="R240" s="8">
        <v>1020.4</v>
      </c>
      <c r="S240" s="8">
        <v>1184.71</v>
      </c>
      <c r="T240" s="8">
        <v>1184.71</v>
      </c>
      <c r="U240" s="8" t="str">
        <f>IF(T240&lt;=_xlfn.PERCENTILE.INC($T240:$T$633,0.33), "Low", IF(T240&lt;=_xlfn.PERCENTILE.INC($T240:$T$633,0.66), "Medium", "High"))</f>
        <v>Medium</v>
      </c>
      <c r="V240" s="10">
        <v>0.106</v>
      </c>
      <c r="W240" s="10">
        <f t="shared" si="40"/>
        <v>0.106</v>
      </c>
      <c r="X240" s="12">
        <v>16</v>
      </c>
      <c r="Y240" s="8">
        <f t="shared" si="33"/>
        <v>16946.091840000001</v>
      </c>
      <c r="Z240" s="8">
        <f t="shared" si="34"/>
        <v>16326.4</v>
      </c>
      <c r="AA240" s="8">
        <f t="shared" si="41"/>
        <v>619.69184000000132</v>
      </c>
      <c r="AB240" s="10">
        <f t="shared" si="42"/>
        <v>3.6568422138328345E-2</v>
      </c>
      <c r="AC240" s="14">
        <f>_xlfn.MINIFS($C$2:$C$633, $J$2:$J$633, J240)</f>
        <v>44928</v>
      </c>
      <c r="AD240">
        <f>DATEDIF(AC240, C240, "m")</f>
        <v>22</v>
      </c>
      <c r="AE240" s="8">
        <f t="shared" si="43"/>
        <v>1059.1307400000001</v>
      </c>
    </row>
    <row r="241" spans="1:31" x14ac:dyDescent="0.3">
      <c r="A241" s="4" t="s">
        <v>45</v>
      </c>
      <c r="B241" s="6">
        <v>45653</v>
      </c>
      <c r="C241" s="14">
        <v>45653</v>
      </c>
      <c r="D241" s="14" t="str">
        <f t="shared" si="35"/>
        <v>Q4 -2024</v>
      </c>
      <c r="E241" s="6">
        <v>45672</v>
      </c>
      <c r="F241" s="6">
        <f t="shared" si="36"/>
        <v>45672</v>
      </c>
      <c r="G241" s="12">
        <f t="shared" si="37"/>
        <v>19</v>
      </c>
      <c r="H241" s="12">
        <f t="shared" si="38"/>
        <v>0</v>
      </c>
      <c r="I241" s="4" t="s">
        <v>647</v>
      </c>
      <c r="J241" s="4" t="s">
        <v>654</v>
      </c>
      <c r="K241" s="4" t="s">
        <v>680</v>
      </c>
      <c r="L241" t="str">
        <f t="shared" si="39"/>
        <v>Asia&gt;India&gt;Delhi</v>
      </c>
      <c r="M241" s="4" t="s">
        <v>703</v>
      </c>
      <c r="N241" s="4" t="s">
        <v>710</v>
      </c>
      <c r="O241" s="4" t="s">
        <v>715</v>
      </c>
      <c r="P241" s="4" t="s">
        <v>727</v>
      </c>
      <c r="Q241" s="4" t="s">
        <v>764</v>
      </c>
      <c r="R241" s="8">
        <v>495.59</v>
      </c>
      <c r="S241" s="8">
        <v>631.78</v>
      </c>
      <c r="T241" s="8">
        <v>631.78</v>
      </c>
      <c r="U241" s="8" t="str">
        <f>IF(T241&lt;=_xlfn.PERCENTILE.INC($T241:$T$633,0.33), "Low", IF(T241&lt;=_xlfn.PERCENTILE.INC($T241:$T$633,0.66), "Medium", "High"))</f>
        <v>Low</v>
      </c>
      <c r="V241" s="10">
        <v>8.6999999999999994E-2</v>
      </c>
      <c r="W241" s="10">
        <f t="shared" si="40"/>
        <v>8.6999999999999994E-2</v>
      </c>
      <c r="X241" s="12">
        <v>17</v>
      </c>
      <c r="Y241" s="8">
        <f t="shared" si="33"/>
        <v>9805.8573800000013</v>
      </c>
      <c r="Z241" s="8">
        <f t="shared" si="34"/>
        <v>8425.0299999999988</v>
      </c>
      <c r="AA241" s="8">
        <f t="shared" si="41"/>
        <v>1380.8273800000024</v>
      </c>
      <c r="AB241" s="10">
        <f t="shared" si="42"/>
        <v>0.14081658813601899</v>
      </c>
      <c r="AC241" s="14">
        <f>_xlfn.MINIFS($C$2:$C$633, $J$2:$J$633, J241)</f>
        <v>44955</v>
      </c>
      <c r="AD241">
        <f>DATEDIF(AC241, C241, "m")</f>
        <v>22</v>
      </c>
      <c r="AE241" s="8">
        <f t="shared" si="43"/>
        <v>576.81514000000004</v>
      </c>
    </row>
    <row r="242" spans="1:31" x14ac:dyDescent="0.3">
      <c r="A242" s="4" t="s">
        <v>94</v>
      </c>
      <c r="B242" s="6">
        <v>45617</v>
      </c>
      <c r="C242" s="14">
        <v>45617</v>
      </c>
      <c r="D242" s="14" t="str">
        <f t="shared" si="35"/>
        <v>Q4 -2024</v>
      </c>
      <c r="E242" s="6">
        <v>45647</v>
      </c>
      <c r="F242" s="6">
        <f t="shared" si="36"/>
        <v>45647</v>
      </c>
      <c r="G242" s="12">
        <f t="shared" si="37"/>
        <v>30</v>
      </c>
      <c r="H242" s="12">
        <f t="shared" si="38"/>
        <v>0</v>
      </c>
      <c r="I242" s="4" t="s">
        <v>649</v>
      </c>
      <c r="J242" s="4" t="s">
        <v>657</v>
      </c>
      <c r="K242" s="4" t="s">
        <v>673</v>
      </c>
      <c r="L242" t="str">
        <f t="shared" si="39"/>
        <v>Europe&gt;France&gt;Marseille</v>
      </c>
      <c r="M242" s="4" t="s">
        <v>705</v>
      </c>
      <c r="N242" s="4" t="s">
        <v>711</v>
      </c>
      <c r="O242" s="4" t="s">
        <v>714</v>
      </c>
      <c r="P242" s="4" t="s">
        <v>732</v>
      </c>
      <c r="Q242" s="4" t="s">
        <v>813</v>
      </c>
      <c r="R242" s="8">
        <v>1122.68</v>
      </c>
      <c r="S242" s="8">
        <v>1997.19</v>
      </c>
      <c r="T242" s="8">
        <v>1997.19</v>
      </c>
      <c r="U242" s="8" t="str">
        <f>IF(T242&lt;=_xlfn.PERCENTILE.INC($T242:$T$633,0.33), "Low", IF(T242&lt;=_xlfn.PERCENTILE.INC($T242:$T$633,0.66), "Medium", "High"))</f>
        <v>High</v>
      </c>
      <c r="V242" s="10">
        <v>0.186</v>
      </c>
      <c r="W242" s="10">
        <f t="shared" si="40"/>
        <v>0.186</v>
      </c>
      <c r="X242" s="12">
        <v>3</v>
      </c>
      <c r="Y242" s="8">
        <f t="shared" si="33"/>
        <v>4877.1379800000004</v>
      </c>
      <c r="Z242" s="8">
        <f t="shared" si="34"/>
        <v>3368.04</v>
      </c>
      <c r="AA242" s="8">
        <f t="shared" si="41"/>
        <v>1509.0979800000005</v>
      </c>
      <c r="AB242" s="10">
        <f t="shared" si="42"/>
        <v>0.30942285951073306</v>
      </c>
      <c r="AC242" s="14">
        <f>_xlfn.MINIFS($C$2:$C$633, $J$2:$J$633, J242)</f>
        <v>44936</v>
      </c>
      <c r="AD242">
        <f>DATEDIF(AC242, C242, "m")</f>
        <v>22</v>
      </c>
      <c r="AE242" s="8">
        <f t="shared" si="43"/>
        <v>1625.7126600000001</v>
      </c>
    </row>
    <row r="243" spans="1:31" x14ac:dyDescent="0.3">
      <c r="A243" s="4" t="s">
        <v>229</v>
      </c>
      <c r="B243" s="6">
        <v>45351</v>
      </c>
      <c r="C243" s="14">
        <v>45351</v>
      </c>
      <c r="D243" s="14" t="str">
        <f t="shared" si="35"/>
        <v>Q1 -2024</v>
      </c>
      <c r="E243" s="6">
        <v>45381</v>
      </c>
      <c r="F243" s="6">
        <f t="shared" si="36"/>
        <v>45381</v>
      </c>
      <c r="G243" s="12">
        <f t="shared" si="37"/>
        <v>30</v>
      </c>
      <c r="H243" s="12">
        <f t="shared" si="38"/>
        <v>0</v>
      </c>
      <c r="I243" s="4" t="s">
        <v>647</v>
      </c>
      <c r="J243" s="4" t="s">
        <v>652</v>
      </c>
      <c r="K243" s="4" t="s">
        <v>694</v>
      </c>
      <c r="L243" t="str">
        <f t="shared" si="39"/>
        <v>Asia&gt;Japan&gt;Nagoya</v>
      </c>
      <c r="M243" s="4" t="s">
        <v>705</v>
      </c>
      <c r="N243" s="4" t="s">
        <v>711</v>
      </c>
      <c r="O243" s="4" t="s">
        <v>714</v>
      </c>
      <c r="P243" s="4" t="s">
        <v>729</v>
      </c>
      <c r="Q243" s="4" t="s">
        <v>949</v>
      </c>
      <c r="R243" s="8">
        <v>231.11</v>
      </c>
      <c r="S243" s="8">
        <v>318.17</v>
      </c>
      <c r="T243" s="8">
        <v>318.17</v>
      </c>
      <c r="U243" s="8" t="str">
        <f>IF(T243&lt;=_xlfn.PERCENTILE.INC($T243:$T$633,0.33), "Low", IF(T243&lt;=_xlfn.PERCENTILE.INC($T243:$T$633,0.66), "Medium", "High"))</f>
        <v>Low</v>
      </c>
      <c r="V243" s="10">
        <v>0.20100000000000001</v>
      </c>
      <c r="W243" s="10">
        <f t="shared" si="40"/>
        <v>0.20100000000000001</v>
      </c>
      <c r="X243" s="12">
        <v>60</v>
      </c>
      <c r="Y243" s="8">
        <f t="shared" si="33"/>
        <v>15253.069799999999</v>
      </c>
      <c r="Z243" s="8">
        <f t="shared" si="34"/>
        <v>13866.6</v>
      </c>
      <c r="AA243" s="8">
        <f t="shared" si="41"/>
        <v>1386.4697999999989</v>
      </c>
      <c r="AB243" s="10">
        <f t="shared" si="42"/>
        <v>9.0897754889969692E-2</v>
      </c>
      <c r="AC243" s="14">
        <f>_xlfn.MINIFS($C$2:$C$633, $J$2:$J$633, J243)</f>
        <v>44988</v>
      </c>
      <c r="AD243">
        <f>DATEDIF(AC243, C243, "m")</f>
        <v>11</v>
      </c>
      <c r="AE243" s="8">
        <f t="shared" si="43"/>
        <v>254.21782999999999</v>
      </c>
    </row>
    <row r="244" spans="1:31" x14ac:dyDescent="0.3">
      <c r="A244" s="4" t="s">
        <v>168</v>
      </c>
      <c r="B244" s="6">
        <v>45340</v>
      </c>
      <c r="C244" s="14">
        <v>45340</v>
      </c>
      <c r="D244" s="14" t="str">
        <f t="shared" si="35"/>
        <v>Q1 -2024</v>
      </c>
      <c r="E244" s="6">
        <v>45355</v>
      </c>
      <c r="F244" s="6">
        <f t="shared" si="36"/>
        <v>45355</v>
      </c>
      <c r="G244" s="12">
        <f t="shared" si="37"/>
        <v>15</v>
      </c>
      <c r="H244" s="12">
        <f t="shared" si="38"/>
        <v>0</v>
      </c>
      <c r="I244" s="4" t="s">
        <v>646</v>
      </c>
      <c r="J244" s="4" t="s">
        <v>650</v>
      </c>
      <c r="K244" s="4" t="s">
        <v>662</v>
      </c>
      <c r="L244" t="str">
        <f t="shared" si="39"/>
        <v>Africa&gt;Kenya&gt;Kisumu</v>
      </c>
      <c r="M244" s="4" t="s">
        <v>702</v>
      </c>
      <c r="N244" s="4" t="s">
        <v>711</v>
      </c>
      <c r="O244" s="4" t="s">
        <v>723</v>
      </c>
      <c r="P244" s="4" t="s">
        <v>728</v>
      </c>
      <c r="Q244" s="4" t="s">
        <v>887</v>
      </c>
      <c r="R244" s="8">
        <v>928.68</v>
      </c>
      <c r="S244" s="8">
        <v>2145.17</v>
      </c>
      <c r="T244" s="8">
        <v>2145.17</v>
      </c>
      <c r="U244" s="8" t="str">
        <f>IF(T244&lt;=_xlfn.PERCENTILE.INC($T244:$T$633,0.33), "Low", IF(T244&lt;=_xlfn.PERCENTILE.INC($T244:$T$633,0.66), "Medium", "High"))</f>
        <v>High</v>
      </c>
      <c r="V244" s="10">
        <v>0.13600000000000001</v>
      </c>
      <c r="W244" s="10">
        <f t="shared" si="40"/>
        <v>0.13600000000000001</v>
      </c>
      <c r="X244" s="12">
        <v>16</v>
      </c>
      <c r="Y244" s="8">
        <f t="shared" si="33"/>
        <v>29654.83008</v>
      </c>
      <c r="Z244" s="8">
        <f t="shared" si="34"/>
        <v>14858.88</v>
      </c>
      <c r="AA244" s="8">
        <f t="shared" si="41"/>
        <v>14795.950080000001</v>
      </c>
      <c r="AB244" s="10">
        <f t="shared" si="42"/>
        <v>0.49893896003062177</v>
      </c>
      <c r="AC244" s="14">
        <f>_xlfn.MINIFS($C$2:$C$633, $J$2:$J$633, J244)</f>
        <v>44946</v>
      </c>
      <c r="AD244">
        <f>DATEDIF(AC244, C244, "m")</f>
        <v>12</v>
      </c>
      <c r="AE244" s="8">
        <f t="shared" si="43"/>
        <v>1853.42688</v>
      </c>
    </row>
    <row r="245" spans="1:31" x14ac:dyDescent="0.3">
      <c r="A245" s="4" t="s">
        <v>473</v>
      </c>
      <c r="B245" s="6">
        <v>45417</v>
      </c>
      <c r="C245" s="14">
        <v>45417</v>
      </c>
      <c r="D245" s="14" t="str">
        <f t="shared" si="35"/>
        <v>Q2 -2024</v>
      </c>
      <c r="E245" s="6">
        <v>45430</v>
      </c>
      <c r="F245" s="6">
        <f t="shared" si="36"/>
        <v>45430</v>
      </c>
      <c r="G245" s="12">
        <f t="shared" si="37"/>
        <v>13</v>
      </c>
      <c r="H245" s="12">
        <f t="shared" si="38"/>
        <v>0</v>
      </c>
      <c r="I245" s="4" t="s">
        <v>649</v>
      </c>
      <c r="J245" s="4" t="s">
        <v>657</v>
      </c>
      <c r="K245" s="4" t="s">
        <v>673</v>
      </c>
      <c r="L245" t="str">
        <f t="shared" si="39"/>
        <v>Europe&gt;France&gt;Marseille</v>
      </c>
      <c r="M245" s="4" t="s">
        <v>701</v>
      </c>
      <c r="N245" s="4" t="s">
        <v>709</v>
      </c>
      <c r="O245" s="4" t="s">
        <v>720</v>
      </c>
      <c r="P245" s="4" t="s">
        <v>727</v>
      </c>
      <c r="Q245" s="4" t="s">
        <v>1192</v>
      </c>
      <c r="R245" s="8">
        <v>1264.04</v>
      </c>
      <c r="S245" s="8">
        <v>1870.89</v>
      </c>
      <c r="T245" s="8">
        <v>1870.89</v>
      </c>
      <c r="U245" s="8" t="str">
        <f>IF(T245&lt;=_xlfn.PERCENTILE.INC($T245:$T$633,0.33), "Low", IF(T245&lt;=_xlfn.PERCENTILE.INC($T245:$T$633,0.66), "Medium", "High"))</f>
        <v>High</v>
      </c>
      <c r="V245" s="10">
        <v>0</v>
      </c>
      <c r="W245" s="10">
        <f t="shared" si="40"/>
        <v>0</v>
      </c>
      <c r="X245" s="12">
        <v>13</v>
      </c>
      <c r="Y245" s="8">
        <f t="shared" si="33"/>
        <v>24321.57</v>
      </c>
      <c r="Z245" s="8">
        <f t="shared" si="34"/>
        <v>16432.52</v>
      </c>
      <c r="AA245" s="8">
        <f t="shared" si="41"/>
        <v>7889.0499999999993</v>
      </c>
      <c r="AB245" s="10">
        <f t="shared" si="42"/>
        <v>0.32436433996653996</v>
      </c>
      <c r="AC245" s="14">
        <f>_xlfn.MINIFS($C$2:$C$633, $J$2:$J$633, J245)</f>
        <v>44936</v>
      </c>
      <c r="AD245">
        <f>DATEDIF(AC245, C245, "m")</f>
        <v>15</v>
      </c>
      <c r="AE245" s="8">
        <f t="shared" si="43"/>
        <v>1870.8899999999999</v>
      </c>
    </row>
    <row r="246" spans="1:31" x14ac:dyDescent="0.3">
      <c r="A246" s="4" t="s">
        <v>563</v>
      </c>
      <c r="B246" s="6">
        <v>45486</v>
      </c>
      <c r="C246" s="14">
        <v>45486</v>
      </c>
      <c r="D246" s="14" t="str">
        <f t="shared" si="35"/>
        <v>Q3 -2024</v>
      </c>
      <c r="E246" s="6">
        <v>45507</v>
      </c>
      <c r="F246" s="6">
        <f t="shared" si="36"/>
        <v>45507</v>
      </c>
      <c r="G246" s="12">
        <f t="shared" si="37"/>
        <v>21</v>
      </c>
      <c r="H246" s="12">
        <f t="shared" si="38"/>
        <v>0</v>
      </c>
      <c r="I246" s="4" t="s">
        <v>648</v>
      </c>
      <c r="J246" s="4" t="s">
        <v>655</v>
      </c>
      <c r="K246" s="4" t="s">
        <v>692</v>
      </c>
      <c r="L246" t="str">
        <f t="shared" si="39"/>
        <v>Americas&gt;Brazil&gt;Rio de Janeiro</v>
      </c>
      <c r="M246" s="4" t="s">
        <v>701</v>
      </c>
      <c r="N246" s="4" t="s">
        <v>709</v>
      </c>
      <c r="O246" s="4" t="s">
        <v>724</v>
      </c>
      <c r="P246" s="4" t="s">
        <v>732</v>
      </c>
      <c r="Q246" s="4" t="s">
        <v>1281</v>
      </c>
      <c r="R246" s="8">
        <v>702.98</v>
      </c>
      <c r="S246" s="8">
        <v>1104.8</v>
      </c>
      <c r="T246" s="8">
        <v>1104.8</v>
      </c>
      <c r="U246" s="8" t="str">
        <f>IF(T246&lt;=_xlfn.PERCENTILE.INC($T246:$T$633,0.33), "Low", IF(T246&lt;=_xlfn.PERCENTILE.INC($T246:$T$633,0.66), "Medium", "High"))</f>
        <v>Medium</v>
      </c>
      <c r="V246" s="10">
        <v>0.17499999999999999</v>
      </c>
      <c r="W246" s="10">
        <f t="shared" si="40"/>
        <v>0.17499999999999999</v>
      </c>
      <c r="X246" s="12">
        <v>12</v>
      </c>
      <c r="Y246" s="8">
        <f t="shared" si="33"/>
        <v>10937.519999999999</v>
      </c>
      <c r="Z246" s="8">
        <f t="shared" si="34"/>
        <v>8435.76</v>
      </c>
      <c r="AA246" s="8">
        <f t="shared" si="41"/>
        <v>2501.7599999999984</v>
      </c>
      <c r="AB246" s="10">
        <f t="shared" si="42"/>
        <v>0.22873192460448061</v>
      </c>
      <c r="AC246" s="14">
        <f>_xlfn.MINIFS($C$2:$C$633, $J$2:$J$633, J246)</f>
        <v>44955</v>
      </c>
      <c r="AD246">
        <f>DATEDIF(AC246, C246, "m")</f>
        <v>17</v>
      </c>
      <c r="AE246" s="8">
        <f t="shared" si="43"/>
        <v>911.45999999999992</v>
      </c>
    </row>
    <row r="247" spans="1:31" x14ac:dyDescent="0.3">
      <c r="A247" s="4" t="s">
        <v>31</v>
      </c>
      <c r="B247" s="6">
        <v>45636</v>
      </c>
      <c r="C247" s="14">
        <v>45636</v>
      </c>
      <c r="D247" s="14" t="str">
        <f t="shared" si="35"/>
        <v>Q4 -2024</v>
      </c>
      <c r="E247" s="6">
        <v>45665</v>
      </c>
      <c r="F247" s="6">
        <f t="shared" si="36"/>
        <v>45665</v>
      </c>
      <c r="G247" s="12">
        <f t="shared" si="37"/>
        <v>29</v>
      </c>
      <c r="H247" s="12">
        <f t="shared" si="38"/>
        <v>0</v>
      </c>
      <c r="I247" s="4" t="s">
        <v>649</v>
      </c>
      <c r="J247" s="4" t="s">
        <v>657</v>
      </c>
      <c r="K247" s="4" t="s">
        <v>673</v>
      </c>
      <c r="L247" t="str">
        <f t="shared" si="39"/>
        <v>Europe&gt;France&gt;Marseille</v>
      </c>
      <c r="M247" s="4" t="s">
        <v>705</v>
      </c>
      <c r="N247" s="4" t="s">
        <v>707</v>
      </c>
      <c r="O247" s="4" t="s">
        <v>723</v>
      </c>
      <c r="P247" s="4" t="s">
        <v>728</v>
      </c>
      <c r="Q247" s="4" t="s">
        <v>750</v>
      </c>
      <c r="R247" s="8">
        <v>891.08</v>
      </c>
      <c r="S247" s="8">
        <v>1040.0999999999999</v>
      </c>
      <c r="T247" s="8">
        <v>1040.0999999999999</v>
      </c>
      <c r="U247" s="8" t="str">
        <f>IF(T247&lt;=_xlfn.PERCENTILE.INC($T247:$T$633,0.33), "Low", IF(T247&lt;=_xlfn.PERCENTILE.INC($T247:$T$633,0.66), "Medium", "High"))</f>
        <v>Medium</v>
      </c>
      <c r="V247" s="10">
        <v>0.109</v>
      </c>
      <c r="W247" s="10">
        <f t="shared" si="40"/>
        <v>0.109</v>
      </c>
      <c r="X247" s="12">
        <v>28</v>
      </c>
      <c r="Y247" s="8">
        <f t="shared" si="33"/>
        <v>25948.414799999995</v>
      </c>
      <c r="Z247" s="8">
        <f t="shared" si="34"/>
        <v>24950.240000000002</v>
      </c>
      <c r="AA247" s="8">
        <f t="shared" si="41"/>
        <v>998.17479999999341</v>
      </c>
      <c r="AB247" s="10">
        <f t="shared" si="42"/>
        <v>3.8467660074556598E-2</v>
      </c>
      <c r="AC247" s="14">
        <f>_xlfn.MINIFS($C$2:$C$633, $J$2:$J$633, J247)</f>
        <v>44936</v>
      </c>
      <c r="AD247">
        <f>DATEDIF(AC247, C247, "m")</f>
        <v>23</v>
      </c>
      <c r="AE247" s="8">
        <f t="shared" si="43"/>
        <v>926.72909999999979</v>
      </c>
    </row>
    <row r="248" spans="1:31" x14ac:dyDescent="0.3">
      <c r="A248" s="4" t="s">
        <v>337</v>
      </c>
      <c r="B248" s="6">
        <v>45340</v>
      </c>
      <c r="C248" s="14">
        <v>45340</v>
      </c>
      <c r="D248" s="14" t="str">
        <f t="shared" si="35"/>
        <v>Q1 -2024</v>
      </c>
      <c r="E248" s="6">
        <v>45362</v>
      </c>
      <c r="F248" s="6">
        <f t="shared" si="36"/>
        <v>45362</v>
      </c>
      <c r="G248" s="12">
        <f t="shared" si="37"/>
        <v>22</v>
      </c>
      <c r="H248" s="12">
        <f t="shared" si="38"/>
        <v>0</v>
      </c>
      <c r="I248" s="4" t="s">
        <v>648</v>
      </c>
      <c r="J248" s="4" t="s">
        <v>655</v>
      </c>
      <c r="K248" s="4" t="s">
        <v>670</v>
      </c>
      <c r="L248" t="str">
        <f t="shared" si="39"/>
        <v>Americas&gt;Brazil&gt;São Paulo</v>
      </c>
      <c r="M248" s="4" t="s">
        <v>704</v>
      </c>
      <c r="N248" s="4" t="s">
        <v>708</v>
      </c>
      <c r="O248" s="4" t="s">
        <v>720</v>
      </c>
      <c r="P248" s="4" t="s">
        <v>727</v>
      </c>
      <c r="Q248" s="4" t="s">
        <v>1057</v>
      </c>
      <c r="R248" s="8">
        <v>80.48</v>
      </c>
      <c r="S248" s="8">
        <v>65.650000000000006</v>
      </c>
      <c r="T248" s="8">
        <v>65.650000000000006</v>
      </c>
      <c r="U248" s="8" t="str">
        <f>IF(T248&lt;=_xlfn.PERCENTILE.INC($T248:$T$633,0.33), "Low", IF(T248&lt;=_xlfn.PERCENTILE.INC($T248:$T$633,0.66), "Medium", "High"))</f>
        <v>Low</v>
      </c>
      <c r="V248" s="10">
        <v>0.17599999999999999</v>
      </c>
      <c r="W248" s="10">
        <f t="shared" si="40"/>
        <v>0.17599999999999999</v>
      </c>
      <c r="X248" s="12">
        <v>13</v>
      </c>
      <c r="Y248" s="8">
        <f t="shared" si="33"/>
        <v>703.2428000000001</v>
      </c>
      <c r="Z248" s="8">
        <f t="shared" si="34"/>
        <v>1046.24</v>
      </c>
      <c r="AA248" s="8">
        <f t="shared" si="41"/>
        <v>-342.99719999999991</v>
      </c>
      <c r="AB248" s="10">
        <f t="shared" si="42"/>
        <v>-0.48773652570634191</v>
      </c>
      <c r="AC248" s="14">
        <f>_xlfn.MINIFS($C$2:$C$633, $J$2:$J$633, J248)</f>
        <v>44955</v>
      </c>
      <c r="AD248">
        <f>DATEDIF(AC248, C248, "m")</f>
        <v>12</v>
      </c>
      <c r="AE248" s="8">
        <f t="shared" si="43"/>
        <v>54.095600000000005</v>
      </c>
    </row>
    <row r="249" spans="1:31" x14ac:dyDescent="0.3">
      <c r="A249" s="4" t="s">
        <v>538</v>
      </c>
      <c r="B249" s="6">
        <v>45304</v>
      </c>
      <c r="C249" s="14">
        <v>45304</v>
      </c>
      <c r="D249" s="14" t="str">
        <f t="shared" si="35"/>
        <v>Q1 -2024</v>
      </c>
      <c r="E249" s="6">
        <v>45306</v>
      </c>
      <c r="F249" s="6">
        <f t="shared" si="36"/>
        <v>45306</v>
      </c>
      <c r="G249" s="12">
        <f t="shared" si="37"/>
        <v>2</v>
      </c>
      <c r="H249" s="12">
        <f t="shared" si="38"/>
        <v>1</v>
      </c>
      <c r="I249" s="4" t="s">
        <v>648</v>
      </c>
      <c r="J249" s="4" t="s">
        <v>660</v>
      </c>
      <c r="K249" s="4" t="s">
        <v>686</v>
      </c>
      <c r="L249" t="str">
        <f t="shared" si="39"/>
        <v>Americas&gt;USA&gt;San Francisco</v>
      </c>
      <c r="M249" s="4" t="s">
        <v>703</v>
      </c>
      <c r="N249" s="4" t="s">
        <v>711</v>
      </c>
      <c r="O249" s="4" t="s">
        <v>718</v>
      </c>
      <c r="P249" s="4" t="s">
        <v>727</v>
      </c>
      <c r="Q249" s="4" t="s">
        <v>1257</v>
      </c>
      <c r="R249" s="8">
        <v>1061.3699999999999</v>
      </c>
      <c r="S249" s="8">
        <v>1938.33</v>
      </c>
      <c r="T249" s="8">
        <v>1938.33</v>
      </c>
      <c r="U249" s="8" t="str">
        <f>IF(T249&lt;=_xlfn.PERCENTILE.INC($T249:$T$633,0.33), "Low", IF(T249&lt;=_xlfn.PERCENTILE.INC($T249:$T$633,0.66), "Medium", "High"))</f>
        <v>High</v>
      </c>
      <c r="V249" s="10">
        <v>0.17</v>
      </c>
      <c r="W249" s="10">
        <f t="shared" si="40"/>
        <v>0.17</v>
      </c>
      <c r="X249" s="12">
        <v>4</v>
      </c>
      <c r="Y249" s="8">
        <f t="shared" si="33"/>
        <v>6435.2555999999995</v>
      </c>
      <c r="Z249" s="8">
        <f t="shared" si="34"/>
        <v>4245.4799999999996</v>
      </c>
      <c r="AA249" s="8">
        <f t="shared" si="41"/>
        <v>2189.7755999999999</v>
      </c>
      <c r="AB249" s="10">
        <f t="shared" si="42"/>
        <v>0.34027795259600879</v>
      </c>
      <c r="AC249" s="14">
        <f>_xlfn.MINIFS($C$2:$C$633, $J$2:$J$633, J249)</f>
        <v>44939</v>
      </c>
      <c r="AD249">
        <f>DATEDIF(AC249, C249, "m")</f>
        <v>12</v>
      </c>
      <c r="AE249" s="8">
        <f t="shared" si="43"/>
        <v>1608.8138999999999</v>
      </c>
    </row>
    <row r="250" spans="1:31" x14ac:dyDescent="0.3">
      <c r="A250" s="4" t="s">
        <v>312</v>
      </c>
      <c r="B250" s="6">
        <v>45377</v>
      </c>
      <c r="C250" s="14">
        <v>45377</v>
      </c>
      <c r="D250" s="14" t="str">
        <f t="shared" si="35"/>
        <v>Q1 -2024</v>
      </c>
      <c r="E250" s="6">
        <v>45387</v>
      </c>
      <c r="F250" s="6">
        <f t="shared" si="36"/>
        <v>45387</v>
      </c>
      <c r="G250" s="12">
        <f t="shared" si="37"/>
        <v>10</v>
      </c>
      <c r="H250" s="12">
        <f t="shared" si="38"/>
        <v>0</v>
      </c>
      <c r="I250" s="4" t="s">
        <v>648</v>
      </c>
      <c r="J250" s="4" t="s">
        <v>660</v>
      </c>
      <c r="K250" s="4" t="s">
        <v>697</v>
      </c>
      <c r="L250" t="str">
        <f t="shared" si="39"/>
        <v>Americas&gt;USA&gt;Austin</v>
      </c>
      <c r="M250" s="4" t="s">
        <v>704</v>
      </c>
      <c r="N250" s="4" t="s">
        <v>711</v>
      </c>
      <c r="O250" s="4" t="s">
        <v>713</v>
      </c>
      <c r="P250" s="4" t="s">
        <v>732</v>
      </c>
      <c r="Q250" s="4" t="s">
        <v>1032</v>
      </c>
      <c r="R250" s="8">
        <v>5.66</v>
      </c>
      <c r="S250" s="8">
        <v>4.22</v>
      </c>
      <c r="T250" s="8">
        <v>4.22</v>
      </c>
      <c r="U250" s="8" t="str">
        <f>IF(T250&lt;=_xlfn.PERCENTILE.INC($T250:$T$633,0.33), "Low", IF(T250&lt;=_xlfn.PERCENTILE.INC($T250:$T$633,0.66), "Medium", "High"))</f>
        <v>Low</v>
      </c>
      <c r="V250" s="10">
        <v>0.11899999999999999</v>
      </c>
      <c r="W250" s="10">
        <f t="shared" si="40"/>
        <v>0.11899999999999999</v>
      </c>
      <c r="X250" s="12">
        <v>18</v>
      </c>
      <c r="Y250" s="8">
        <f t="shared" si="33"/>
        <v>66.920760000000001</v>
      </c>
      <c r="Z250" s="8">
        <f t="shared" si="34"/>
        <v>101.88</v>
      </c>
      <c r="AA250" s="8">
        <f t="shared" si="41"/>
        <v>-34.959239999999994</v>
      </c>
      <c r="AB250" s="10">
        <f t="shared" si="42"/>
        <v>-0.52239753403876454</v>
      </c>
      <c r="AC250" s="14">
        <f>_xlfn.MINIFS($C$2:$C$633, $J$2:$J$633, J250)</f>
        <v>44939</v>
      </c>
      <c r="AD250">
        <f>DATEDIF(AC250, C250, "m")</f>
        <v>14</v>
      </c>
      <c r="AE250" s="8">
        <f t="shared" si="43"/>
        <v>3.7178200000000001</v>
      </c>
    </row>
    <row r="251" spans="1:31" x14ac:dyDescent="0.3">
      <c r="A251" s="4" t="s">
        <v>579</v>
      </c>
      <c r="B251" s="6">
        <v>45315</v>
      </c>
      <c r="C251" s="14">
        <v>45315</v>
      </c>
      <c r="D251" s="14" t="str">
        <f t="shared" si="35"/>
        <v>Q1 -2024</v>
      </c>
      <c r="E251" s="6">
        <v>45326</v>
      </c>
      <c r="F251" s="6">
        <f t="shared" si="36"/>
        <v>45326</v>
      </c>
      <c r="G251" s="12">
        <f t="shared" si="37"/>
        <v>11</v>
      </c>
      <c r="H251" s="12">
        <f t="shared" si="38"/>
        <v>0</v>
      </c>
      <c r="I251" s="4" t="s">
        <v>649</v>
      </c>
      <c r="J251" s="4" t="s">
        <v>658</v>
      </c>
      <c r="K251" s="4" t="s">
        <v>693</v>
      </c>
      <c r="L251" t="str">
        <f t="shared" si="39"/>
        <v>Europe&gt;United Kingdom&gt;Manchester</v>
      </c>
      <c r="M251" s="4" t="s">
        <v>704</v>
      </c>
      <c r="N251" s="4" t="s">
        <v>707</v>
      </c>
      <c r="O251" s="4" t="s">
        <v>717</v>
      </c>
      <c r="P251" s="4" t="s">
        <v>731</v>
      </c>
      <c r="Q251" s="4" t="s">
        <v>1297</v>
      </c>
      <c r="R251" s="8">
        <v>525.34</v>
      </c>
      <c r="S251" s="8">
        <v>1233.79</v>
      </c>
      <c r="T251" s="8">
        <v>1233.79</v>
      </c>
      <c r="U251" s="8" t="str">
        <f>IF(T251&lt;=_xlfn.PERCENTILE.INC($T251:$T$633,0.33), "Low", IF(T251&lt;=_xlfn.PERCENTILE.INC($T251:$T$633,0.66), "Medium", "High"))</f>
        <v>Medium</v>
      </c>
      <c r="V251" s="10">
        <v>0.14299999999999999</v>
      </c>
      <c r="W251" s="10">
        <f t="shared" si="40"/>
        <v>0.14299999999999999</v>
      </c>
      <c r="X251" s="12">
        <v>4</v>
      </c>
      <c r="Y251" s="8">
        <f t="shared" si="33"/>
        <v>4229.4321199999995</v>
      </c>
      <c r="Z251" s="8">
        <f t="shared" si="34"/>
        <v>2101.36</v>
      </c>
      <c r="AA251" s="8">
        <f t="shared" si="41"/>
        <v>2128.0721199999994</v>
      </c>
      <c r="AB251" s="10">
        <f t="shared" si="42"/>
        <v>0.50315788494082736</v>
      </c>
      <c r="AC251" s="14">
        <f>_xlfn.MINIFS($C$2:$C$633, $J$2:$J$633, J251)</f>
        <v>44945</v>
      </c>
      <c r="AD251">
        <f>DATEDIF(AC251, C251, "m")</f>
        <v>12</v>
      </c>
      <c r="AE251" s="8">
        <f t="shared" si="43"/>
        <v>1057.3580299999999</v>
      </c>
    </row>
    <row r="252" spans="1:31" x14ac:dyDescent="0.3">
      <c r="A252" s="4" t="s">
        <v>495</v>
      </c>
      <c r="B252" s="6">
        <v>45538</v>
      </c>
      <c r="C252" s="14">
        <v>45538</v>
      </c>
      <c r="D252" s="14" t="str">
        <f t="shared" si="35"/>
        <v>Q3 -2024</v>
      </c>
      <c r="E252" s="6">
        <v>45542</v>
      </c>
      <c r="F252" s="6">
        <f t="shared" si="36"/>
        <v>45542</v>
      </c>
      <c r="G252" s="12">
        <f t="shared" si="37"/>
        <v>4</v>
      </c>
      <c r="H252" s="12">
        <f t="shared" si="38"/>
        <v>1</v>
      </c>
      <c r="I252" s="4" t="s">
        <v>647</v>
      </c>
      <c r="J252" s="4" t="s">
        <v>652</v>
      </c>
      <c r="K252" s="4" t="s">
        <v>689</v>
      </c>
      <c r="L252" t="str">
        <f t="shared" si="39"/>
        <v>Asia&gt;Japan&gt;Tokyo</v>
      </c>
      <c r="M252" s="4" t="s">
        <v>705</v>
      </c>
      <c r="N252" s="4" t="s">
        <v>710</v>
      </c>
      <c r="O252" s="4" t="s">
        <v>725</v>
      </c>
      <c r="P252" s="4" t="s">
        <v>728</v>
      </c>
      <c r="Q252" s="4" t="s">
        <v>1214</v>
      </c>
      <c r="R252" s="8">
        <v>43.23</v>
      </c>
      <c r="S252" s="8">
        <v>94.78</v>
      </c>
      <c r="T252" s="8">
        <v>94.78</v>
      </c>
      <c r="U252" s="8" t="str">
        <f>IF(T252&lt;=_xlfn.PERCENTILE.INC($T252:$T$633,0.33), "Low", IF(T252&lt;=_xlfn.PERCENTILE.INC($T252:$T$633,0.66), "Medium", "High"))</f>
        <v>Low</v>
      </c>
      <c r="V252" s="10">
        <v>9.0999999999999998E-2</v>
      </c>
      <c r="W252" s="10">
        <f t="shared" si="40"/>
        <v>9.0999999999999998E-2</v>
      </c>
      <c r="X252" s="12">
        <v>55</v>
      </c>
      <c r="Y252" s="8">
        <f t="shared" si="33"/>
        <v>4738.5261</v>
      </c>
      <c r="Z252" s="8">
        <f t="shared" si="34"/>
        <v>2377.6499999999996</v>
      </c>
      <c r="AA252" s="8">
        <f t="shared" si="41"/>
        <v>2360.8761000000004</v>
      </c>
      <c r="AB252" s="10">
        <f t="shared" si="42"/>
        <v>0.49823005090127082</v>
      </c>
      <c r="AC252" s="14">
        <f>_xlfn.MINIFS($C$2:$C$633, $J$2:$J$633, J252)</f>
        <v>44988</v>
      </c>
      <c r="AD252">
        <f>DATEDIF(AC252, C252, "m")</f>
        <v>18</v>
      </c>
      <c r="AE252" s="8">
        <f t="shared" si="43"/>
        <v>86.155020000000007</v>
      </c>
    </row>
    <row r="253" spans="1:31" x14ac:dyDescent="0.3">
      <c r="A253" s="4" t="s">
        <v>25</v>
      </c>
      <c r="B253" s="6">
        <v>45319</v>
      </c>
      <c r="C253" s="14">
        <v>45319</v>
      </c>
      <c r="D253" s="14" t="str">
        <f t="shared" si="35"/>
        <v>Q1 -2024</v>
      </c>
      <c r="E253" s="6">
        <v>45331</v>
      </c>
      <c r="F253" s="6">
        <f t="shared" si="36"/>
        <v>45331</v>
      </c>
      <c r="G253" s="12">
        <f t="shared" si="37"/>
        <v>12</v>
      </c>
      <c r="H253" s="12">
        <f t="shared" si="38"/>
        <v>0</v>
      </c>
      <c r="I253" s="4" t="s">
        <v>649</v>
      </c>
      <c r="J253" s="4" t="s">
        <v>656</v>
      </c>
      <c r="K253" s="4" t="s">
        <v>671</v>
      </c>
      <c r="L253" t="str">
        <f t="shared" si="39"/>
        <v>Europe&gt;Germany&gt;Berlin</v>
      </c>
      <c r="M253" s="4" t="s">
        <v>701</v>
      </c>
      <c r="N253" s="4" t="s">
        <v>708</v>
      </c>
      <c r="O253" s="4" t="s">
        <v>715</v>
      </c>
      <c r="P253" s="4" t="s">
        <v>733</v>
      </c>
      <c r="Q253" s="4" t="s">
        <v>744</v>
      </c>
      <c r="R253" s="8">
        <v>644.16999999999996</v>
      </c>
      <c r="S253" s="8">
        <v>700.12</v>
      </c>
      <c r="T253" s="8">
        <v>700.12</v>
      </c>
      <c r="U253" s="8" t="str">
        <f>IF(T253&lt;=_xlfn.PERCENTILE.INC($T253:$T$633,0.33), "Low", IF(T253&lt;=_xlfn.PERCENTILE.INC($T253:$T$633,0.66), "Medium", "High"))</f>
        <v>Low</v>
      </c>
      <c r="V253" s="10">
        <v>6.0000000000000001E-3</v>
      </c>
      <c r="W253" s="10">
        <f t="shared" si="40"/>
        <v>6.0000000000000001E-3</v>
      </c>
      <c r="X253" s="12">
        <v>23</v>
      </c>
      <c r="Y253" s="8">
        <f t="shared" si="33"/>
        <v>16006.14344</v>
      </c>
      <c r="Z253" s="8">
        <f t="shared" si="34"/>
        <v>14815.91</v>
      </c>
      <c r="AA253" s="8">
        <f t="shared" si="41"/>
        <v>1190.23344</v>
      </c>
      <c r="AB253" s="10">
        <f t="shared" si="42"/>
        <v>7.436103796405813E-2</v>
      </c>
      <c r="AC253" s="14">
        <f>_xlfn.MINIFS($C$2:$C$633, $J$2:$J$633, J253)</f>
        <v>44948</v>
      </c>
      <c r="AD253">
        <f>DATEDIF(AC253, C253, "m")</f>
        <v>12</v>
      </c>
      <c r="AE253" s="8">
        <f t="shared" si="43"/>
        <v>695.91927999999996</v>
      </c>
    </row>
    <row r="254" spans="1:31" x14ac:dyDescent="0.3">
      <c r="A254" s="4" t="s">
        <v>162</v>
      </c>
      <c r="B254" s="6">
        <v>45386</v>
      </c>
      <c r="C254" s="14">
        <v>45386</v>
      </c>
      <c r="D254" s="14" t="str">
        <f t="shared" si="35"/>
        <v>Q2 -2024</v>
      </c>
      <c r="E254" s="6">
        <v>45406</v>
      </c>
      <c r="F254" s="6">
        <f t="shared" si="36"/>
        <v>45406</v>
      </c>
      <c r="G254" s="12">
        <f t="shared" si="37"/>
        <v>20</v>
      </c>
      <c r="H254" s="12">
        <f t="shared" si="38"/>
        <v>0</v>
      </c>
      <c r="I254" s="4" t="s">
        <v>649</v>
      </c>
      <c r="J254" s="4" t="s">
        <v>656</v>
      </c>
      <c r="K254" s="4" t="s">
        <v>698</v>
      </c>
      <c r="L254" t="str">
        <f t="shared" si="39"/>
        <v>Europe&gt;Germany&gt;Frankfurt</v>
      </c>
      <c r="M254" s="4" t="s">
        <v>703</v>
      </c>
      <c r="N254" s="4" t="s">
        <v>711</v>
      </c>
      <c r="O254" s="4" t="s">
        <v>719</v>
      </c>
      <c r="P254" s="4" t="s">
        <v>733</v>
      </c>
      <c r="Q254" s="4" t="s">
        <v>881</v>
      </c>
      <c r="R254" s="8">
        <v>683.42</v>
      </c>
      <c r="S254" s="8">
        <v>951.51</v>
      </c>
      <c r="T254" s="8">
        <v>951.51</v>
      </c>
      <c r="U254" s="8" t="str">
        <f>IF(T254&lt;=_xlfn.PERCENTILE.INC($T254:$T$633,0.33), "Low", IF(T254&lt;=_xlfn.PERCENTILE.INC($T254:$T$633,0.66), "Medium", "High"))</f>
        <v>Medium</v>
      </c>
      <c r="V254" s="10">
        <v>0</v>
      </c>
      <c r="W254" s="10">
        <f t="shared" si="40"/>
        <v>0</v>
      </c>
      <c r="X254" s="12">
        <v>14</v>
      </c>
      <c r="Y254" s="8">
        <f t="shared" si="33"/>
        <v>13321.14</v>
      </c>
      <c r="Z254" s="8">
        <f t="shared" si="34"/>
        <v>9567.8799999999992</v>
      </c>
      <c r="AA254" s="8">
        <f t="shared" si="41"/>
        <v>3753.26</v>
      </c>
      <c r="AB254" s="10">
        <f t="shared" si="42"/>
        <v>0.28175216235247136</v>
      </c>
      <c r="AC254" s="14">
        <f>_xlfn.MINIFS($C$2:$C$633, $J$2:$J$633, J254)</f>
        <v>44948</v>
      </c>
      <c r="AD254">
        <f>DATEDIF(AC254, C254, "m")</f>
        <v>14</v>
      </c>
      <c r="AE254" s="8">
        <f t="shared" si="43"/>
        <v>951.51</v>
      </c>
    </row>
    <row r="255" spans="1:31" x14ac:dyDescent="0.3">
      <c r="A255" s="4" t="s">
        <v>206</v>
      </c>
      <c r="B255" s="6">
        <v>45516</v>
      </c>
      <c r="C255" s="14">
        <v>45516</v>
      </c>
      <c r="D255" s="14" t="str">
        <f t="shared" si="35"/>
        <v>Q3 -2024</v>
      </c>
      <c r="E255" s="6">
        <v>45538</v>
      </c>
      <c r="F255" s="6">
        <f t="shared" si="36"/>
        <v>45538</v>
      </c>
      <c r="G255" s="12">
        <f t="shared" si="37"/>
        <v>22</v>
      </c>
      <c r="H255" s="12">
        <f t="shared" si="38"/>
        <v>0</v>
      </c>
      <c r="I255" s="4" t="s">
        <v>648</v>
      </c>
      <c r="J255" s="4" t="s">
        <v>660</v>
      </c>
      <c r="K255" s="4" t="s">
        <v>697</v>
      </c>
      <c r="L255" t="str">
        <f t="shared" si="39"/>
        <v>Americas&gt;USA&gt;Austin</v>
      </c>
      <c r="M255" s="4" t="s">
        <v>704</v>
      </c>
      <c r="N255" s="4" t="s">
        <v>710</v>
      </c>
      <c r="O255" s="4" t="s">
        <v>714</v>
      </c>
      <c r="P255" s="4" t="s">
        <v>731</v>
      </c>
      <c r="Q255" s="4" t="s">
        <v>926</v>
      </c>
      <c r="R255" s="8">
        <v>797.8</v>
      </c>
      <c r="S255" s="8">
        <v>886.22</v>
      </c>
      <c r="T255" s="8">
        <v>886.22</v>
      </c>
      <c r="U255" s="8" t="str">
        <f>IF(T255&lt;=_xlfn.PERCENTILE.INC($T255:$T$633,0.33), "Low", IF(T255&lt;=_xlfn.PERCENTILE.INC($T255:$T$633,0.66), "Medium", "High"))</f>
        <v>Medium</v>
      </c>
      <c r="V255" s="10">
        <v>0.23599999999999999</v>
      </c>
      <c r="W255" s="10">
        <f t="shared" si="40"/>
        <v>0.23599999999999999</v>
      </c>
      <c r="X255" s="12">
        <v>36</v>
      </c>
      <c r="Y255" s="8">
        <f t="shared" si="33"/>
        <v>24374.594880000001</v>
      </c>
      <c r="Z255" s="8">
        <f t="shared" si="34"/>
        <v>28720.799999999999</v>
      </c>
      <c r="AA255" s="8">
        <f t="shared" si="41"/>
        <v>-4346.2051199999987</v>
      </c>
      <c r="AB255" s="10">
        <f t="shared" si="42"/>
        <v>-0.17830881462428633</v>
      </c>
      <c r="AC255" s="14">
        <f>_xlfn.MINIFS($C$2:$C$633, $J$2:$J$633, J255)</f>
        <v>44939</v>
      </c>
      <c r="AD255">
        <f>DATEDIF(AC255, C255, "m")</f>
        <v>18</v>
      </c>
      <c r="AE255" s="8">
        <f t="shared" si="43"/>
        <v>677.07208000000003</v>
      </c>
    </row>
    <row r="256" spans="1:31" x14ac:dyDescent="0.3">
      <c r="A256" s="4" t="s">
        <v>40</v>
      </c>
      <c r="B256" s="6">
        <v>45473</v>
      </c>
      <c r="C256" s="14">
        <v>45473</v>
      </c>
      <c r="D256" s="14" t="str">
        <f t="shared" si="35"/>
        <v>Q2 -2024</v>
      </c>
      <c r="E256" s="6">
        <v>45487</v>
      </c>
      <c r="F256" s="6">
        <f t="shared" si="36"/>
        <v>45487</v>
      </c>
      <c r="G256" s="12">
        <f t="shared" si="37"/>
        <v>14</v>
      </c>
      <c r="H256" s="12">
        <f t="shared" si="38"/>
        <v>0</v>
      </c>
      <c r="I256" s="4" t="s">
        <v>648</v>
      </c>
      <c r="J256" s="4" t="s">
        <v>655</v>
      </c>
      <c r="K256" s="4" t="s">
        <v>672</v>
      </c>
      <c r="L256" t="str">
        <f t="shared" si="39"/>
        <v>Americas&gt;Brazil&gt;Brasília</v>
      </c>
      <c r="M256" s="4" t="s">
        <v>702</v>
      </c>
      <c r="N256" s="4" t="s">
        <v>707</v>
      </c>
      <c r="O256" s="4" t="s">
        <v>712</v>
      </c>
      <c r="P256" s="4" t="s">
        <v>733</v>
      </c>
      <c r="Q256" s="4" t="s">
        <v>759</v>
      </c>
      <c r="R256" s="8">
        <v>1491.85</v>
      </c>
      <c r="S256" s="8">
        <v>2583.02</v>
      </c>
      <c r="T256" s="8">
        <v>2583.02</v>
      </c>
      <c r="U256" s="8" t="str">
        <f>IF(T256&lt;=_xlfn.PERCENTILE.INC($T256:$T$633,0.33), "Low", IF(T256&lt;=_xlfn.PERCENTILE.INC($T256:$T$633,0.66), "Medium", "High"))</f>
        <v>High</v>
      </c>
      <c r="V256" s="10">
        <v>0.16800000000000001</v>
      </c>
      <c r="W256" s="10">
        <f t="shared" si="40"/>
        <v>0.16800000000000001</v>
      </c>
      <c r="X256" s="12">
        <v>4</v>
      </c>
      <c r="Y256" s="8">
        <f t="shared" si="33"/>
        <v>8596.2905599999995</v>
      </c>
      <c r="Z256" s="8">
        <f t="shared" si="34"/>
        <v>5967.4</v>
      </c>
      <c r="AA256" s="8">
        <f t="shared" si="41"/>
        <v>2628.8905599999998</v>
      </c>
      <c r="AB256" s="10">
        <f t="shared" si="42"/>
        <v>0.30581685689321325</v>
      </c>
      <c r="AC256" s="14">
        <f>_xlfn.MINIFS($C$2:$C$633, $J$2:$J$633, J256)</f>
        <v>44955</v>
      </c>
      <c r="AD256">
        <f>DATEDIF(AC256, C256, "m")</f>
        <v>17</v>
      </c>
      <c r="AE256" s="8">
        <f t="shared" si="43"/>
        <v>2149.0726399999999</v>
      </c>
    </row>
    <row r="257" spans="1:31" x14ac:dyDescent="0.3">
      <c r="A257" s="4" t="s">
        <v>177</v>
      </c>
      <c r="B257" s="6">
        <v>45385</v>
      </c>
      <c r="C257" s="14">
        <v>45385</v>
      </c>
      <c r="D257" s="14" t="str">
        <f t="shared" si="35"/>
        <v>Q2 -2024</v>
      </c>
      <c r="E257" s="6">
        <v>45389</v>
      </c>
      <c r="F257" s="6">
        <f t="shared" si="36"/>
        <v>45389</v>
      </c>
      <c r="G257" s="12">
        <f t="shared" si="37"/>
        <v>4</v>
      </c>
      <c r="H257" s="12">
        <f t="shared" si="38"/>
        <v>1</v>
      </c>
      <c r="I257" s="4" t="s">
        <v>648</v>
      </c>
      <c r="J257" s="4" t="s">
        <v>655</v>
      </c>
      <c r="K257" s="4" t="s">
        <v>672</v>
      </c>
      <c r="L257" t="str">
        <f t="shared" si="39"/>
        <v>Americas&gt;Brazil&gt;Brasília</v>
      </c>
      <c r="M257" s="4" t="s">
        <v>703</v>
      </c>
      <c r="N257" s="4" t="s">
        <v>711</v>
      </c>
      <c r="O257" s="4" t="s">
        <v>725</v>
      </c>
      <c r="P257" s="4" t="s">
        <v>730</v>
      </c>
      <c r="Q257" s="4" t="s">
        <v>896</v>
      </c>
      <c r="R257" s="8">
        <v>1023.27</v>
      </c>
      <c r="S257" s="8">
        <v>1343.64</v>
      </c>
      <c r="T257" s="8">
        <v>1343.64</v>
      </c>
      <c r="U257" s="8" t="str">
        <f>IF(T257&lt;=_xlfn.PERCENTILE.INC($T257:$T$633,0.33), "Low", IF(T257&lt;=_xlfn.PERCENTILE.INC($T257:$T$633,0.66), "Medium", "High"))</f>
        <v>Medium</v>
      </c>
      <c r="V257" s="10">
        <v>0.13300000000000001</v>
      </c>
      <c r="W257" s="10">
        <f t="shared" si="40"/>
        <v>0.13300000000000001</v>
      </c>
      <c r="X257" s="12">
        <v>7</v>
      </c>
      <c r="Y257" s="8">
        <f t="shared" si="33"/>
        <v>8154.5511600000009</v>
      </c>
      <c r="Z257" s="8">
        <f t="shared" si="34"/>
        <v>7162.8899999999994</v>
      </c>
      <c r="AA257" s="8">
        <f t="shared" si="41"/>
        <v>991.66116000000147</v>
      </c>
      <c r="AB257" s="10">
        <f t="shared" si="42"/>
        <v>0.12160830688810116</v>
      </c>
      <c r="AC257" s="14">
        <f>_xlfn.MINIFS($C$2:$C$633, $J$2:$J$633, J257)</f>
        <v>44955</v>
      </c>
      <c r="AD257">
        <f>DATEDIF(AC257, C257, "m")</f>
        <v>14</v>
      </c>
      <c r="AE257" s="8">
        <f t="shared" si="43"/>
        <v>1164.9358800000002</v>
      </c>
    </row>
    <row r="258" spans="1:31" x14ac:dyDescent="0.3">
      <c r="A258" s="4" t="s">
        <v>266</v>
      </c>
      <c r="B258" s="6">
        <v>45366</v>
      </c>
      <c r="C258" s="14">
        <v>45366</v>
      </c>
      <c r="D258" s="14" t="str">
        <f t="shared" si="35"/>
        <v>Q1 -2024</v>
      </c>
      <c r="E258" s="6">
        <v>45391</v>
      </c>
      <c r="F258" s="6">
        <f t="shared" si="36"/>
        <v>45391</v>
      </c>
      <c r="G258" s="12">
        <f t="shared" si="37"/>
        <v>25</v>
      </c>
      <c r="H258" s="12">
        <f t="shared" si="38"/>
        <v>0</v>
      </c>
      <c r="I258" s="4" t="s">
        <v>648</v>
      </c>
      <c r="J258" s="4" t="s">
        <v>653</v>
      </c>
      <c r="K258" s="4" t="s">
        <v>688</v>
      </c>
      <c r="L258" t="str">
        <f t="shared" si="39"/>
        <v>Americas&gt;Canada&gt;Vancouver</v>
      </c>
      <c r="M258" s="4" t="s">
        <v>704</v>
      </c>
      <c r="N258" s="4" t="s">
        <v>708</v>
      </c>
      <c r="O258" s="4" t="s">
        <v>721</v>
      </c>
      <c r="P258" s="4" t="s">
        <v>732</v>
      </c>
      <c r="Q258" s="4" t="s">
        <v>986</v>
      </c>
      <c r="R258" s="8">
        <v>648.64</v>
      </c>
      <c r="S258" s="8">
        <v>815.19</v>
      </c>
      <c r="T258" s="8">
        <v>815.19</v>
      </c>
      <c r="U258" s="8" t="str">
        <f>IF(T258&lt;=_xlfn.PERCENTILE.INC($T258:$T$633,0.33), "Low", IF(T258&lt;=_xlfn.PERCENTILE.INC($T258:$T$633,0.66), "Medium", "High"))</f>
        <v>Low</v>
      </c>
      <c r="V258" s="10">
        <v>0.22500000000000001</v>
      </c>
      <c r="W258" s="10">
        <f t="shared" si="40"/>
        <v>0.22500000000000001</v>
      </c>
      <c r="X258" s="12">
        <v>28</v>
      </c>
      <c r="Y258" s="8">
        <f t="shared" ref="Y258:Y321" si="44">(T258*X258*(1-W258))</f>
        <v>17689.623</v>
      </c>
      <c r="Z258" s="8">
        <f t="shared" ref="Z258:Z321" si="45">R258*X258</f>
        <v>18161.919999999998</v>
      </c>
      <c r="AA258" s="8">
        <f t="shared" si="41"/>
        <v>-472.29699999999866</v>
      </c>
      <c r="AB258" s="10">
        <f t="shared" si="42"/>
        <v>-2.6699099240272032E-2</v>
      </c>
      <c r="AC258" s="14">
        <f>_xlfn.MINIFS($C$2:$C$633, $J$2:$J$633, J258)</f>
        <v>44928</v>
      </c>
      <c r="AD258">
        <f>DATEDIF(AC258, C258, "m")</f>
        <v>14</v>
      </c>
      <c r="AE258" s="8">
        <f t="shared" si="43"/>
        <v>631.77224999999999</v>
      </c>
    </row>
    <row r="259" spans="1:31" x14ac:dyDescent="0.3">
      <c r="A259" s="4" t="s">
        <v>126</v>
      </c>
      <c r="B259" s="6">
        <v>45453</v>
      </c>
      <c r="C259" s="14">
        <v>45453</v>
      </c>
      <c r="D259" s="14" t="str">
        <f t="shared" ref="D259:D322" si="46">IF(MONTH(C259) &lt;=3, "Q1", IF(MONTH(C259)&lt;=6, "Q2", IF(MONTH(C259)&lt;=9, "Q3", "Q4")))&amp; " -" &amp; YEAR(C259)</f>
        <v>Q2 -2024</v>
      </c>
      <c r="E259" s="6">
        <v>45454</v>
      </c>
      <c r="F259" s="6">
        <f t="shared" ref="F259:F322" si="47">IF(E259&lt;B259, E259 + 7, E259)</f>
        <v>45454</v>
      </c>
      <c r="G259" s="12">
        <f t="shared" ref="G259:G322" si="48">DATEDIF(B259, F259,"D")</f>
        <v>1</v>
      </c>
      <c r="H259" s="12">
        <f t="shared" ref="H259:H322" si="49">IF(G259&lt;=7,1,0)</f>
        <v>1</v>
      </c>
      <c r="I259" s="4" t="s">
        <v>649</v>
      </c>
      <c r="J259" s="4" t="s">
        <v>658</v>
      </c>
      <c r="K259" s="4" t="s">
        <v>674</v>
      </c>
      <c r="L259" t="str">
        <f t="shared" ref="L259:L322" si="50">I259&amp;"&gt;"&amp;J259 &amp;"&gt;"&amp;K259</f>
        <v>Europe&gt;United Kingdom&gt;Birmingham</v>
      </c>
      <c r="M259" s="4" t="s">
        <v>705</v>
      </c>
      <c r="N259" s="4" t="s">
        <v>709</v>
      </c>
      <c r="O259" s="4" t="s">
        <v>724</v>
      </c>
      <c r="P259" s="4" t="s">
        <v>731</v>
      </c>
      <c r="Q259" s="4" t="s">
        <v>845</v>
      </c>
      <c r="R259" s="8">
        <v>1187.1300000000001</v>
      </c>
      <c r="S259" s="8">
        <v>1795.17</v>
      </c>
      <c r="T259" s="8">
        <v>1795.17</v>
      </c>
      <c r="U259" s="8" t="str">
        <f>IF(T259&lt;=_xlfn.PERCENTILE.INC($T259:$T$633,0.33), "Low", IF(T259&lt;=_xlfn.PERCENTILE.INC($T259:$T$633,0.66), "Medium", "High"))</f>
        <v>High</v>
      </c>
      <c r="V259" s="10">
        <v>1.2E-2</v>
      </c>
      <c r="W259" s="10">
        <f t="shared" ref="W259:W322" si="51">IF(V259&gt;0.3,0.3,V259)</f>
        <v>1.2E-2</v>
      </c>
      <c r="X259" s="12">
        <v>17</v>
      </c>
      <c r="Y259" s="8">
        <f t="shared" si="44"/>
        <v>30151.675319999998</v>
      </c>
      <c r="Z259" s="8">
        <f t="shared" si="45"/>
        <v>20181.210000000003</v>
      </c>
      <c r="AA259" s="8">
        <f t="shared" ref="AA259:AA322" si="52">Y259-Z259</f>
        <v>9970.4653199999957</v>
      </c>
      <c r="AB259" s="10">
        <f t="shared" ref="AB259:AB322" si="53">IF(Y259 = 0, 0, AA259/Y259)</f>
        <v>0.33067699271046663</v>
      </c>
      <c r="AC259" s="14">
        <f>_xlfn.MINIFS($C$2:$C$633, $J$2:$J$633, J259)</f>
        <v>44945</v>
      </c>
      <c r="AD259">
        <f>DATEDIF(AC259, C259, "m")</f>
        <v>16</v>
      </c>
      <c r="AE259" s="8">
        <f t="shared" ref="AE259:AE322" si="54">(Y259/X259)</f>
        <v>1773.6279599999998</v>
      </c>
    </row>
    <row r="260" spans="1:31" x14ac:dyDescent="0.3">
      <c r="A260" s="4" t="s">
        <v>368</v>
      </c>
      <c r="B260" s="6">
        <v>45603</v>
      </c>
      <c r="C260" s="14">
        <v>45603</v>
      </c>
      <c r="D260" s="14" t="str">
        <f t="shared" si="46"/>
        <v>Q4 -2024</v>
      </c>
      <c r="E260" s="6">
        <v>45622</v>
      </c>
      <c r="F260" s="6">
        <f t="shared" si="47"/>
        <v>45622</v>
      </c>
      <c r="G260" s="12">
        <f t="shared" si="48"/>
        <v>19</v>
      </c>
      <c r="H260" s="12">
        <f t="shared" si="49"/>
        <v>0</v>
      </c>
      <c r="I260" s="4" t="s">
        <v>648</v>
      </c>
      <c r="J260" s="4" t="s">
        <v>655</v>
      </c>
      <c r="K260" s="4" t="s">
        <v>692</v>
      </c>
      <c r="L260" t="str">
        <f t="shared" si="50"/>
        <v>Americas&gt;Brazil&gt;Rio de Janeiro</v>
      </c>
      <c r="M260" s="4" t="s">
        <v>703</v>
      </c>
      <c r="N260" s="4" t="s">
        <v>710</v>
      </c>
      <c r="O260" s="4" t="s">
        <v>713</v>
      </c>
      <c r="P260" s="4" t="s">
        <v>728</v>
      </c>
      <c r="Q260" s="4" t="s">
        <v>1088</v>
      </c>
      <c r="R260" s="8">
        <v>55.35</v>
      </c>
      <c r="S260" s="8">
        <v>128.68</v>
      </c>
      <c r="T260" s="8">
        <v>128.68</v>
      </c>
      <c r="U260" s="8" t="str">
        <f>IF(T260&lt;=_xlfn.PERCENTILE.INC($T260:$T$633,0.33), "Low", IF(T260&lt;=_xlfn.PERCENTILE.INC($T260:$T$633,0.66), "Medium", "High"))</f>
        <v>Low</v>
      </c>
      <c r="V260" s="10">
        <v>0.128</v>
      </c>
      <c r="W260" s="10">
        <f t="shared" si="51"/>
        <v>0.128</v>
      </c>
      <c r="X260" s="12">
        <v>10</v>
      </c>
      <c r="Y260" s="8">
        <f t="shared" si="44"/>
        <v>1122.0896000000002</v>
      </c>
      <c r="Z260" s="8">
        <f t="shared" si="45"/>
        <v>553.5</v>
      </c>
      <c r="AA260" s="8">
        <f t="shared" si="52"/>
        <v>568.58960000000025</v>
      </c>
      <c r="AB260" s="10">
        <f t="shared" si="53"/>
        <v>0.50672388372550647</v>
      </c>
      <c r="AC260" s="14">
        <f>_xlfn.MINIFS($C$2:$C$633, $J$2:$J$633, J260)</f>
        <v>44955</v>
      </c>
      <c r="AD260">
        <f>DATEDIF(AC260, C260, "m")</f>
        <v>21</v>
      </c>
      <c r="AE260" s="8">
        <f t="shared" si="54"/>
        <v>112.20896000000002</v>
      </c>
    </row>
    <row r="261" spans="1:31" x14ac:dyDescent="0.3">
      <c r="A261" s="4" t="s">
        <v>154</v>
      </c>
      <c r="B261" s="6">
        <v>45336</v>
      </c>
      <c r="C261" s="14">
        <v>45336</v>
      </c>
      <c r="D261" s="14" t="str">
        <f t="shared" si="46"/>
        <v>Q1 -2024</v>
      </c>
      <c r="E261" s="6">
        <v>45336</v>
      </c>
      <c r="F261" s="6">
        <f t="shared" si="47"/>
        <v>45336</v>
      </c>
      <c r="G261" s="12">
        <f t="shared" si="48"/>
        <v>0</v>
      </c>
      <c r="H261" s="12">
        <f t="shared" si="49"/>
        <v>1</v>
      </c>
      <c r="I261" s="4" t="s">
        <v>647</v>
      </c>
      <c r="J261" s="4" t="s">
        <v>659</v>
      </c>
      <c r="K261" s="4" t="s">
        <v>699</v>
      </c>
      <c r="L261" t="str">
        <f t="shared" si="50"/>
        <v>Asia&gt;China&gt;Beijing</v>
      </c>
      <c r="M261" s="4" t="s">
        <v>701</v>
      </c>
      <c r="N261" s="4" t="s">
        <v>710</v>
      </c>
      <c r="O261" s="4" t="s">
        <v>716</v>
      </c>
      <c r="P261" s="4" t="s">
        <v>733</v>
      </c>
      <c r="Q261" s="4" t="s">
        <v>873</v>
      </c>
      <c r="R261" s="8">
        <v>65.930000000000007</v>
      </c>
      <c r="S261" s="8">
        <v>84.9</v>
      </c>
      <c r="T261" s="8">
        <v>84.9</v>
      </c>
      <c r="U261" s="8" t="str">
        <f>IF(T261&lt;=_xlfn.PERCENTILE.INC($T261:$T$633,0.33), "Low", IF(T261&lt;=_xlfn.PERCENTILE.INC($T261:$T$633,0.66), "Medium", "High"))</f>
        <v>Low</v>
      </c>
      <c r="V261" s="10">
        <v>0.25900000000000001</v>
      </c>
      <c r="W261" s="10">
        <f t="shared" si="51"/>
        <v>0.25900000000000001</v>
      </c>
      <c r="X261" s="12">
        <v>23</v>
      </c>
      <c r="Y261" s="8">
        <f t="shared" si="44"/>
        <v>1446.9507000000001</v>
      </c>
      <c r="Z261" s="8">
        <f t="shared" si="45"/>
        <v>1516.39</v>
      </c>
      <c r="AA261" s="8">
        <f t="shared" si="52"/>
        <v>-69.439300000000003</v>
      </c>
      <c r="AB261" s="10">
        <f t="shared" si="53"/>
        <v>-4.7990093926489688E-2</v>
      </c>
      <c r="AC261" s="14">
        <f>_xlfn.MINIFS($C$2:$C$633, $J$2:$J$633, J261)</f>
        <v>44938</v>
      </c>
      <c r="AD261">
        <f>DATEDIF(AC261, C261, "m")</f>
        <v>13</v>
      </c>
      <c r="AE261" s="8">
        <f t="shared" si="54"/>
        <v>62.910900000000005</v>
      </c>
    </row>
    <row r="262" spans="1:31" x14ac:dyDescent="0.3">
      <c r="A262" s="4" t="s">
        <v>196</v>
      </c>
      <c r="B262" s="6">
        <v>45568</v>
      </c>
      <c r="C262" s="14">
        <v>45568</v>
      </c>
      <c r="D262" s="14" t="str">
        <f t="shared" si="46"/>
        <v>Q4 -2024</v>
      </c>
      <c r="E262" s="6">
        <v>45576</v>
      </c>
      <c r="F262" s="6">
        <f t="shared" si="47"/>
        <v>45576</v>
      </c>
      <c r="G262" s="12">
        <f t="shared" si="48"/>
        <v>8</v>
      </c>
      <c r="H262" s="12">
        <f t="shared" si="49"/>
        <v>0</v>
      </c>
      <c r="I262" s="4" t="s">
        <v>647</v>
      </c>
      <c r="J262" s="4" t="s">
        <v>659</v>
      </c>
      <c r="K262" s="4" t="s">
        <v>699</v>
      </c>
      <c r="L262" t="str">
        <f t="shared" si="50"/>
        <v>Asia&gt;China&gt;Beijing</v>
      </c>
      <c r="M262" s="4" t="s">
        <v>706</v>
      </c>
      <c r="N262" s="4" t="s">
        <v>711</v>
      </c>
      <c r="O262" s="4" t="s">
        <v>717</v>
      </c>
      <c r="P262" s="4" t="s">
        <v>730</v>
      </c>
      <c r="Q262" s="4" t="s">
        <v>915</v>
      </c>
      <c r="R262" s="8">
        <v>1132.6099999999999</v>
      </c>
      <c r="S262" s="8">
        <v>2206.63</v>
      </c>
      <c r="T262" s="8">
        <v>2206.63</v>
      </c>
      <c r="U262" s="8" t="str">
        <f>IF(T262&lt;=_xlfn.PERCENTILE.INC($T262:$T$633,0.33), "Low", IF(T262&lt;=_xlfn.PERCENTILE.INC($T262:$T$633,0.66), "Medium", "High"))</f>
        <v>High</v>
      </c>
      <c r="V262" s="10">
        <v>6.3E-2</v>
      </c>
      <c r="W262" s="10">
        <f t="shared" si="51"/>
        <v>6.3E-2</v>
      </c>
      <c r="X262" s="12">
        <v>20</v>
      </c>
      <c r="Y262" s="8">
        <f t="shared" si="44"/>
        <v>41352.246200000009</v>
      </c>
      <c r="Z262" s="8">
        <f t="shared" si="45"/>
        <v>22652.199999999997</v>
      </c>
      <c r="AA262" s="8">
        <f t="shared" si="52"/>
        <v>18700.046200000012</v>
      </c>
      <c r="AB262" s="10">
        <f t="shared" si="53"/>
        <v>0.45221355351671338</v>
      </c>
      <c r="AC262" s="14">
        <f>_xlfn.MINIFS($C$2:$C$633, $J$2:$J$633, J262)</f>
        <v>44938</v>
      </c>
      <c r="AD262">
        <f>DATEDIF(AC262, C262, "m")</f>
        <v>20</v>
      </c>
      <c r="AE262" s="8">
        <f t="shared" si="54"/>
        <v>2067.6123100000004</v>
      </c>
    </row>
    <row r="263" spans="1:31" x14ac:dyDescent="0.3">
      <c r="A263" s="4" t="s">
        <v>601</v>
      </c>
      <c r="B263" s="6">
        <v>45364</v>
      </c>
      <c r="C263" s="14">
        <v>45364</v>
      </c>
      <c r="D263" s="14" t="str">
        <f t="shared" si="46"/>
        <v>Q1 -2024</v>
      </c>
      <c r="E263" s="6">
        <v>45388</v>
      </c>
      <c r="F263" s="6">
        <f t="shared" si="47"/>
        <v>45388</v>
      </c>
      <c r="G263" s="12">
        <f t="shared" si="48"/>
        <v>24</v>
      </c>
      <c r="H263" s="12">
        <f t="shared" si="49"/>
        <v>0</v>
      </c>
      <c r="I263" s="4" t="s">
        <v>646</v>
      </c>
      <c r="J263" s="4" t="s">
        <v>651</v>
      </c>
      <c r="K263" s="4" t="s">
        <v>669</v>
      </c>
      <c r="L263" t="str">
        <f t="shared" si="50"/>
        <v>Africa&gt;Nigeria&gt;Abuja</v>
      </c>
      <c r="M263" s="4" t="s">
        <v>704</v>
      </c>
      <c r="N263" s="4" t="s">
        <v>710</v>
      </c>
      <c r="O263" s="4" t="s">
        <v>716</v>
      </c>
      <c r="P263" s="4" t="s">
        <v>727</v>
      </c>
      <c r="Q263" s="4" t="s">
        <v>1319</v>
      </c>
      <c r="R263" s="8">
        <v>1232.78</v>
      </c>
      <c r="S263" s="8">
        <v>1731.75</v>
      </c>
      <c r="T263" s="8">
        <v>1731.75</v>
      </c>
      <c r="U263" s="8" t="str">
        <f>IF(T263&lt;=_xlfn.PERCENTILE.INC($T263:$T$633,0.33), "Low", IF(T263&lt;=_xlfn.PERCENTILE.INC($T263:$T$633,0.66), "Medium", "High"))</f>
        <v>High</v>
      </c>
      <c r="V263" s="10">
        <v>9.2999999999999999E-2</v>
      </c>
      <c r="W263" s="10">
        <f t="shared" si="51"/>
        <v>9.2999999999999999E-2</v>
      </c>
      <c r="X263" s="12">
        <v>16</v>
      </c>
      <c r="Y263" s="8">
        <f t="shared" si="44"/>
        <v>25131.155999999999</v>
      </c>
      <c r="Z263" s="8">
        <f t="shared" si="45"/>
        <v>19724.48</v>
      </c>
      <c r="AA263" s="8">
        <f t="shared" si="52"/>
        <v>5406.6759999999995</v>
      </c>
      <c r="AB263" s="10">
        <f t="shared" si="53"/>
        <v>0.21513837246484005</v>
      </c>
      <c r="AC263" s="14">
        <f>_xlfn.MINIFS($C$2:$C$633, $J$2:$J$633, J263)</f>
        <v>44941</v>
      </c>
      <c r="AD263">
        <f>DATEDIF(AC263, C263, "m")</f>
        <v>13</v>
      </c>
      <c r="AE263" s="8">
        <f t="shared" si="54"/>
        <v>1570.6972499999999</v>
      </c>
    </row>
    <row r="264" spans="1:31" x14ac:dyDescent="0.3">
      <c r="A264" s="4" t="s">
        <v>504</v>
      </c>
      <c r="B264" s="6">
        <v>45403</v>
      </c>
      <c r="C264" s="14">
        <v>45403</v>
      </c>
      <c r="D264" s="14" t="str">
        <f t="shared" si="46"/>
        <v>Q2 -2024</v>
      </c>
      <c r="E264" s="6">
        <v>45431</v>
      </c>
      <c r="F264" s="6">
        <f t="shared" si="47"/>
        <v>45431</v>
      </c>
      <c r="G264" s="12">
        <f t="shared" si="48"/>
        <v>28</v>
      </c>
      <c r="H264" s="12">
        <f t="shared" si="49"/>
        <v>0</v>
      </c>
      <c r="I264" s="4" t="s">
        <v>646</v>
      </c>
      <c r="J264" s="4" t="s">
        <v>651</v>
      </c>
      <c r="K264" s="4" t="s">
        <v>665</v>
      </c>
      <c r="L264" t="str">
        <f t="shared" si="50"/>
        <v>Africa&gt;Nigeria&gt;Lagos</v>
      </c>
      <c r="M264" s="4" t="s">
        <v>701</v>
      </c>
      <c r="N264" s="4" t="s">
        <v>710</v>
      </c>
      <c r="O264" s="4" t="s">
        <v>720</v>
      </c>
      <c r="P264" s="4" t="s">
        <v>733</v>
      </c>
      <c r="Q264" s="4" t="s">
        <v>1223</v>
      </c>
      <c r="R264" s="8">
        <v>187.22</v>
      </c>
      <c r="S264" s="8">
        <v>309.47000000000003</v>
      </c>
      <c r="T264" s="8">
        <v>309.47000000000003</v>
      </c>
      <c r="U264" s="8" t="str">
        <f>IF(T264&lt;=_xlfn.PERCENTILE.INC($T264:$T$633,0.33), "Low", IF(T264&lt;=_xlfn.PERCENTILE.INC($T264:$T$633,0.66), "Medium", "High"))</f>
        <v>Low</v>
      </c>
      <c r="V264" s="10">
        <v>0</v>
      </c>
      <c r="W264" s="10">
        <f t="shared" si="51"/>
        <v>0</v>
      </c>
      <c r="X264" s="12">
        <v>5</v>
      </c>
      <c r="Y264" s="8">
        <f t="shared" si="44"/>
        <v>1547.3500000000001</v>
      </c>
      <c r="Z264" s="8">
        <f t="shared" si="45"/>
        <v>936.1</v>
      </c>
      <c r="AA264" s="8">
        <f t="shared" si="52"/>
        <v>611.25000000000011</v>
      </c>
      <c r="AB264" s="10">
        <f t="shared" si="53"/>
        <v>0.39503021294471197</v>
      </c>
      <c r="AC264" s="14">
        <f>_xlfn.MINIFS($C$2:$C$633, $J$2:$J$633, J264)</f>
        <v>44941</v>
      </c>
      <c r="AD264">
        <f>DATEDIF(AC264, C264, "m")</f>
        <v>15</v>
      </c>
      <c r="AE264" s="8">
        <f t="shared" si="54"/>
        <v>309.47000000000003</v>
      </c>
    </row>
    <row r="265" spans="1:31" x14ac:dyDescent="0.3">
      <c r="A265" s="4" t="s">
        <v>78</v>
      </c>
      <c r="B265" s="6">
        <v>45598</v>
      </c>
      <c r="C265" s="14">
        <v>45598</v>
      </c>
      <c r="D265" s="14" t="str">
        <f t="shared" si="46"/>
        <v>Q4 -2024</v>
      </c>
      <c r="E265" s="6">
        <v>45614</v>
      </c>
      <c r="F265" s="6">
        <f t="shared" si="47"/>
        <v>45614</v>
      </c>
      <c r="G265" s="12">
        <f t="shared" si="48"/>
        <v>16</v>
      </c>
      <c r="H265" s="12">
        <f t="shared" si="49"/>
        <v>0</v>
      </c>
      <c r="I265" s="4" t="s">
        <v>647</v>
      </c>
      <c r="J265" s="4" t="s">
        <v>654</v>
      </c>
      <c r="K265" s="4" t="s">
        <v>691</v>
      </c>
      <c r="L265" t="str">
        <f t="shared" si="50"/>
        <v>Asia&gt;India&gt;Mumbai</v>
      </c>
      <c r="M265" s="4" t="s">
        <v>705</v>
      </c>
      <c r="N265" s="4" t="s">
        <v>710</v>
      </c>
      <c r="O265" s="4" t="s">
        <v>719</v>
      </c>
      <c r="P265" s="4" t="s">
        <v>732</v>
      </c>
      <c r="Q265" s="4" t="s">
        <v>797</v>
      </c>
      <c r="R265" s="8">
        <v>1233.58</v>
      </c>
      <c r="S265" s="8">
        <v>1912.51</v>
      </c>
      <c r="T265" s="8">
        <v>1912.51</v>
      </c>
      <c r="U265" s="8" t="str">
        <f>IF(T265&lt;=_xlfn.PERCENTILE.INC($T265:$T$633,0.33), "Low", IF(T265&lt;=_xlfn.PERCENTILE.INC($T265:$T$633,0.66), "Medium", "High"))</f>
        <v>High</v>
      </c>
      <c r="V265" s="10">
        <v>0.255</v>
      </c>
      <c r="W265" s="10">
        <f t="shared" si="51"/>
        <v>0.255</v>
      </c>
      <c r="X265" s="12">
        <v>51</v>
      </c>
      <c r="Y265" s="8">
        <f t="shared" si="44"/>
        <v>72665.817450000002</v>
      </c>
      <c r="Z265" s="8">
        <f t="shared" si="45"/>
        <v>62912.579999999994</v>
      </c>
      <c r="AA265" s="8">
        <f t="shared" si="52"/>
        <v>9753.2374500000078</v>
      </c>
      <c r="AB265" s="10">
        <f t="shared" si="53"/>
        <v>0.134220432553601</v>
      </c>
      <c r="AC265" s="14">
        <f>_xlfn.MINIFS($C$2:$C$633, $J$2:$J$633, J265)</f>
        <v>44955</v>
      </c>
      <c r="AD265">
        <f>DATEDIF(AC265, C265, "m")</f>
        <v>21</v>
      </c>
      <c r="AE265" s="8">
        <f t="shared" si="54"/>
        <v>1424.8199500000001</v>
      </c>
    </row>
    <row r="266" spans="1:31" x14ac:dyDescent="0.3">
      <c r="A266" s="4" t="s">
        <v>575</v>
      </c>
      <c r="B266" s="6">
        <v>45590</v>
      </c>
      <c r="C266" s="14">
        <v>45590</v>
      </c>
      <c r="D266" s="14" t="str">
        <f t="shared" si="46"/>
        <v>Q4 -2024</v>
      </c>
      <c r="E266" s="6">
        <v>45601</v>
      </c>
      <c r="F266" s="6">
        <f t="shared" si="47"/>
        <v>45601</v>
      </c>
      <c r="G266" s="12">
        <f t="shared" si="48"/>
        <v>11</v>
      </c>
      <c r="H266" s="12">
        <f t="shared" si="49"/>
        <v>0</v>
      </c>
      <c r="I266" s="4" t="s">
        <v>648</v>
      </c>
      <c r="J266" s="4" t="s">
        <v>660</v>
      </c>
      <c r="K266" s="4" t="s">
        <v>700</v>
      </c>
      <c r="L266" t="str">
        <f t="shared" si="50"/>
        <v>Americas&gt;USA&gt;New York</v>
      </c>
      <c r="M266" s="4" t="s">
        <v>701</v>
      </c>
      <c r="N266" s="4" t="s">
        <v>710</v>
      </c>
      <c r="O266" s="4" t="s">
        <v>725</v>
      </c>
      <c r="P266" s="4" t="s">
        <v>727</v>
      </c>
      <c r="Q266" s="4" t="s">
        <v>1293</v>
      </c>
      <c r="R266" s="8">
        <v>446.66</v>
      </c>
      <c r="S266" s="8">
        <v>527.64</v>
      </c>
      <c r="T266" s="8">
        <v>527.64</v>
      </c>
      <c r="U266" s="8" t="str">
        <f>IF(T266&lt;=_xlfn.PERCENTILE.INC($T266:$T$633,0.33), "Low", IF(T266&lt;=_xlfn.PERCENTILE.INC($T266:$T$633,0.66), "Medium", "High"))</f>
        <v>Low</v>
      </c>
      <c r="V266" s="10">
        <v>0.14499999999999999</v>
      </c>
      <c r="W266" s="10">
        <f t="shared" si="51"/>
        <v>0.14499999999999999</v>
      </c>
      <c r="X266" s="12">
        <v>15</v>
      </c>
      <c r="Y266" s="8">
        <f t="shared" si="44"/>
        <v>6766.9829999999993</v>
      </c>
      <c r="Z266" s="8">
        <f t="shared" si="45"/>
        <v>6699.9000000000005</v>
      </c>
      <c r="AA266" s="8">
        <f t="shared" si="52"/>
        <v>67.082999999998719</v>
      </c>
      <c r="AB266" s="10">
        <f t="shared" si="53"/>
        <v>9.9132804087137105E-3</v>
      </c>
      <c r="AC266" s="14">
        <f>_xlfn.MINIFS($C$2:$C$633, $J$2:$J$633, J266)</f>
        <v>44939</v>
      </c>
      <c r="AD266">
        <f>DATEDIF(AC266, C266, "m")</f>
        <v>21</v>
      </c>
      <c r="AE266" s="8">
        <f t="shared" si="54"/>
        <v>451.13219999999995</v>
      </c>
    </row>
    <row r="267" spans="1:31" x14ac:dyDescent="0.3">
      <c r="A267" s="4" t="s">
        <v>407</v>
      </c>
      <c r="B267" s="6">
        <v>45360</v>
      </c>
      <c r="C267" s="14">
        <v>45360</v>
      </c>
      <c r="D267" s="14" t="str">
        <f t="shared" si="46"/>
        <v>Q1 -2024</v>
      </c>
      <c r="E267" s="6">
        <v>45377</v>
      </c>
      <c r="F267" s="6">
        <f t="shared" si="47"/>
        <v>45377</v>
      </c>
      <c r="G267" s="12">
        <f t="shared" si="48"/>
        <v>17</v>
      </c>
      <c r="H267" s="12">
        <f t="shared" si="49"/>
        <v>0</v>
      </c>
      <c r="I267" s="4" t="s">
        <v>648</v>
      </c>
      <c r="J267" s="4" t="s">
        <v>660</v>
      </c>
      <c r="K267" s="4" t="s">
        <v>686</v>
      </c>
      <c r="L267" t="str">
        <f t="shared" si="50"/>
        <v>Americas&gt;USA&gt;San Francisco</v>
      </c>
      <c r="M267" s="4" t="s">
        <v>702</v>
      </c>
      <c r="N267" s="4" t="s">
        <v>711</v>
      </c>
      <c r="O267" s="4" t="s">
        <v>714</v>
      </c>
      <c r="P267" s="4" t="s">
        <v>730</v>
      </c>
      <c r="Q267" s="4" t="s">
        <v>1126</v>
      </c>
      <c r="R267" s="8">
        <v>1137.4100000000001</v>
      </c>
      <c r="S267" s="8">
        <v>1680.93</v>
      </c>
      <c r="T267" s="8">
        <v>1680.93</v>
      </c>
      <c r="U267" s="8" t="str">
        <f>IF(T267&lt;=_xlfn.PERCENTILE.INC($T267:$T$633,0.33), "Low", IF(T267&lt;=_xlfn.PERCENTILE.INC($T267:$T$633,0.66), "Medium", "High"))</f>
        <v>High</v>
      </c>
      <c r="V267" s="10">
        <v>0.254</v>
      </c>
      <c r="W267" s="10">
        <f t="shared" si="51"/>
        <v>0.254</v>
      </c>
      <c r="X267" s="12">
        <v>9</v>
      </c>
      <c r="Y267" s="8">
        <f t="shared" si="44"/>
        <v>11285.764020000001</v>
      </c>
      <c r="Z267" s="8">
        <f t="shared" si="45"/>
        <v>10236.69</v>
      </c>
      <c r="AA267" s="8">
        <f t="shared" si="52"/>
        <v>1049.07402</v>
      </c>
      <c r="AB267" s="10">
        <f t="shared" si="53"/>
        <v>9.2955516183121464E-2</v>
      </c>
      <c r="AC267" s="14">
        <f>_xlfn.MINIFS($C$2:$C$633, $J$2:$J$633, J267)</f>
        <v>44939</v>
      </c>
      <c r="AD267">
        <f>DATEDIF(AC267, C267, "m")</f>
        <v>13</v>
      </c>
      <c r="AE267" s="8">
        <f t="shared" si="54"/>
        <v>1253.97378</v>
      </c>
    </row>
    <row r="268" spans="1:31" x14ac:dyDescent="0.3">
      <c r="A268" s="4" t="s">
        <v>469</v>
      </c>
      <c r="B268" s="6">
        <v>45653</v>
      </c>
      <c r="C268" s="14">
        <v>45653</v>
      </c>
      <c r="D268" s="14" t="str">
        <f t="shared" si="46"/>
        <v>Q4 -2024</v>
      </c>
      <c r="E268" s="6">
        <v>45655</v>
      </c>
      <c r="F268" s="6">
        <f t="shared" si="47"/>
        <v>45655</v>
      </c>
      <c r="G268" s="12">
        <f t="shared" si="48"/>
        <v>2</v>
      </c>
      <c r="H268" s="12">
        <f t="shared" si="49"/>
        <v>1</v>
      </c>
      <c r="I268" s="4" t="s">
        <v>648</v>
      </c>
      <c r="J268" s="4" t="s">
        <v>653</v>
      </c>
      <c r="K268" s="4" t="s">
        <v>688</v>
      </c>
      <c r="L268" t="str">
        <f t="shared" si="50"/>
        <v>Americas&gt;Canada&gt;Vancouver</v>
      </c>
      <c r="M268" s="4" t="s">
        <v>706</v>
      </c>
      <c r="N268" s="4" t="s">
        <v>709</v>
      </c>
      <c r="O268" s="4" t="s">
        <v>712</v>
      </c>
      <c r="P268" s="4" t="s">
        <v>733</v>
      </c>
      <c r="Q268" s="4" t="s">
        <v>1188</v>
      </c>
      <c r="R268" s="8">
        <v>1146.72</v>
      </c>
      <c r="S268" s="8">
        <v>2074.34</v>
      </c>
      <c r="T268" s="8">
        <v>2074.34</v>
      </c>
      <c r="U268" s="8" t="str">
        <f>IF(T268&lt;=_xlfn.PERCENTILE.INC($T268:$T$633,0.33), "Low", IF(T268&lt;=_xlfn.PERCENTILE.INC($T268:$T$633,0.66), "Medium", "High"))</f>
        <v>High</v>
      </c>
      <c r="V268" s="10">
        <v>0.111</v>
      </c>
      <c r="W268" s="10">
        <f t="shared" si="51"/>
        <v>0.111</v>
      </c>
      <c r="X268" s="12">
        <v>8</v>
      </c>
      <c r="Y268" s="8">
        <f t="shared" si="44"/>
        <v>14752.706080000002</v>
      </c>
      <c r="Z268" s="8">
        <f t="shared" si="45"/>
        <v>9173.76</v>
      </c>
      <c r="AA268" s="8">
        <f t="shared" si="52"/>
        <v>5578.9460800000015</v>
      </c>
      <c r="AB268" s="10">
        <f t="shared" si="53"/>
        <v>0.37816425337472737</v>
      </c>
      <c r="AC268" s="14">
        <f>_xlfn.MINIFS($C$2:$C$633, $J$2:$J$633, J268)</f>
        <v>44928</v>
      </c>
      <c r="AD268">
        <f>DATEDIF(AC268, C268, "m")</f>
        <v>23</v>
      </c>
      <c r="AE268" s="8">
        <f t="shared" si="54"/>
        <v>1844.0882600000002</v>
      </c>
    </row>
    <row r="269" spans="1:31" x14ac:dyDescent="0.3">
      <c r="A269" s="4" t="s">
        <v>66</v>
      </c>
      <c r="B269" s="6">
        <v>45582</v>
      </c>
      <c r="C269" s="14">
        <v>45582</v>
      </c>
      <c r="D269" s="14" t="str">
        <f t="shared" si="46"/>
        <v>Q4 -2024</v>
      </c>
      <c r="E269" s="6">
        <v>45602</v>
      </c>
      <c r="F269" s="6">
        <f t="shared" si="47"/>
        <v>45602</v>
      </c>
      <c r="G269" s="12">
        <f t="shared" si="48"/>
        <v>20</v>
      </c>
      <c r="H269" s="12">
        <f t="shared" si="49"/>
        <v>0</v>
      </c>
      <c r="I269" s="4" t="s">
        <v>647</v>
      </c>
      <c r="J269" s="4" t="s">
        <v>654</v>
      </c>
      <c r="K269" s="4" t="s">
        <v>668</v>
      </c>
      <c r="L269" t="str">
        <f t="shared" si="50"/>
        <v>Asia&gt;India&gt;Bengaluru</v>
      </c>
      <c r="M269" s="4" t="s">
        <v>706</v>
      </c>
      <c r="N269" s="4" t="s">
        <v>710</v>
      </c>
      <c r="O269" s="4" t="s">
        <v>719</v>
      </c>
      <c r="P269" s="4" t="s">
        <v>732</v>
      </c>
      <c r="Q269" s="4" t="s">
        <v>785</v>
      </c>
      <c r="R269" s="8">
        <v>72.94</v>
      </c>
      <c r="S269" s="8">
        <v>106.3</v>
      </c>
      <c r="T269" s="8">
        <v>106.3</v>
      </c>
      <c r="U269" s="8" t="str">
        <f>IF(T269&lt;=_xlfn.PERCENTILE.INC($T269:$T$633,0.33), "Low", IF(T269&lt;=_xlfn.PERCENTILE.INC($T269:$T$633,0.66), "Medium", "High"))</f>
        <v>Low</v>
      </c>
      <c r="V269" s="10">
        <v>0.29499999999999998</v>
      </c>
      <c r="W269" s="10">
        <f t="shared" si="51"/>
        <v>0.29499999999999998</v>
      </c>
      <c r="X269" s="12">
        <v>8</v>
      </c>
      <c r="Y269" s="8">
        <f t="shared" si="44"/>
        <v>599.53200000000004</v>
      </c>
      <c r="Z269" s="8">
        <f t="shared" si="45"/>
        <v>583.52</v>
      </c>
      <c r="AA269" s="8">
        <f t="shared" si="52"/>
        <v>16.012000000000057</v>
      </c>
      <c r="AB269" s="10">
        <f t="shared" si="53"/>
        <v>2.6707498515508857E-2</v>
      </c>
      <c r="AC269" s="14">
        <f>_xlfn.MINIFS($C$2:$C$633, $J$2:$J$633, J269)</f>
        <v>44955</v>
      </c>
      <c r="AD269">
        <f>DATEDIF(AC269, C269, "m")</f>
        <v>20</v>
      </c>
      <c r="AE269" s="8">
        <f t="shared" si="54"/>
        <v>74.941500000000005</v>
      </c>
    </row>
    <row r="270" spans="1:31" x14ac:dyDescent="0.3">
      <c r="A270" s="4" t="s">
        <v>622</v>
      </c>
      <c r="B270" s="6">
        <v>45623</v>
      </c>
      <c r="C270" s="14">
        <v>45623</v>
      </c>
      <c r="D270" s="14" t="str">
        <f t="shared" si="46"/>
        <v>Q4 -2024</v>
      </c>
      <c r="E270" s="6">
        <v>45650</v>
      </c>
      <c r="F270" s="6">
        <f t="shared" si="47"/>
        <v>45650</v>
      </c>
      <c r="G270" s="12">
        <f t="shared" si="48"/>
        <v>27</v>
      </c>
      <c r="H270" s="12">
        <f t="shared" si="49"/>
        <v>0</v>
      </c>
      <c r="I270" s="4" t="s">
        <v>646</v>
      </c>
      <c r="J270" s="4" t="s">
        <v>650</v>
      </c>
      <c r="K270" s="4" t="s">
        <v>675</v>
      </c>
      <c r="L270" t="str">
        <f t="shared" si="50"/>
        <v>Africa&gt;Kenya&gt;Mombasa</v>
      </c>
      <c r="M270" s="4" t="s">
        <v>701</v>
      </c>
      <c r="N270" s="4" t="s">
        <v>710</v>
      </c>
      <c r="O270" s="4" t="s">
        <v>717</v>
      </c>
      <c r="P270" s="4" t="s">
        <v>728</v>
      </c>
      <c r="Q270" s="4" t="s">
        <v>1340</v>
      </c>
      <c r="R270" s="8">
        <v>143.33000000000001</v>
      </c>
      <c r="S270" s="8">
        <v>233.51</v>
      </c>
      <c r="T270" s="8">
        <v>233.51</v>
      </c>
      <c r="U270" s="8" t="str">
        <f>IF(T270&lt;=_xlfn.PERCENTILE.INC($T270:$T$633,0.33), "Low", IF(T270&lt;=_xlfn.PERCENTILE.INC($T270:$T$633,0.66), "Medium", "High"))</f>
        <v>Low</v>
      </c>
      <c r="V270" s="10">
        <v>0.16300000000000001</v>
      </c>
      <c r="W270" s="10">
        <f t="shared" si="51"/>
        <v>0.16300000000000001</v>
      </c>
      <c r="X270" s="12">
        <v>14</v>
      </c>
      <c r="Y270" s="8">
        <f t="shared" si="44"/>
        <v>2736.27018</v>
      </c>
      <c r="Z270" s="8">
        <f t="shared" si="45"/>
        <v>2006.6200000000001</v>
      </c>
      <c r="AA270" s="8">
        <f t="shared" si="52"/>
        <v>729.65017999999986</v>
      </c>
      <c r="AB270" s="10">
        <f t="shared" si="53"/>
        <v>0.26665867476580835</v>
      </c>
      <c r="AC270" s="14">
        <f>_xlfn.MINIFS($C$2:$C$633, $J$2:$J$633, J270)</f>
        <v>44946</v>
      </c>
      <c r="AD270">
        <f>DATEDIF(AC270, C270, "m")</f>
        <v>22</v>
      </c>
      <c r="AE270" s="8">
        <f t="shared" si="54"/>
        <v>195.44786999999999</v>
      </c>
    </row>
    <row r="271" spans="1:31" x14ac:dyDescent="0.3">
      <c r="A271" s="4" t="s">
        <v>15</v>
      </c>
      <c r="B271" s="6">
        <v>45362</v>
      </c>
      <c r="C271" s="14">
        <v>45362</v>
      </c>
      <c r="D271" s="14" t="str">
        <f t="shared" si="46"/>
        <v>Q1 -2024</v>
      </c>
      <c r="E271" s="6">
        <v>45388</v>
      </c>
      <c r="F271" s="6">
        <f t="shared" si="47"/>
        <v>45388</v>
      </c>
      <c r="G271" s="12">
        <f t="shared" si="48"/>
        <v>26</v>
      </c>
      <c r="H271" s="12">
        <f t="shared" si="49"/>
        <v>0</v>
      </c>
      <c r="I271" s="4" t="s">
        <v>646</v>
      </c>
      <c r="J271" s="4" t="s">
        <v>650</v>
      </c>
      <c r="K271" s="4" t="s">
        <v>662</v>
      </c>
      <c r="L271" t="str">
        <f t="shared" si="50"/>
        <v>Africa&gt;Kenya&gt;Kisumu</v>
      </c>
      <c r="M271" s="4" t="s">
        <v>701</v>
      </c>
      <c r="N271" s="4" t="s">
        <v>707</v>
      </c>
      <c r="O271" s="4" t="s">
        <v>712</v>
      </c>
      <c r="P271" s="4" t="s">
        <v>727</v>
      </c>
      <c r="Q271" s="4" t="s">
        <v>734</v>
      </c>
      <c r="R271" s="8">
        <v>279.24</v>
      </c>
      <c r="S271" s="8">
        <v>608.9</v>
      </c>
      <c r="T271" s="8">
        <v>608.9</v>
      </c>
      <c r="U271" s="8" t="str">
        <f>IF(T271&lt;=_xlfn.PERCENTILE.INC($T271:$T$633,0.33), "Low", IF(T271&lt;=_xlfn.PERCENTILE.INC($T271:$T$633,0.66), "Medium", "High"))</f>
        <v>Low</v>
      </c>
      <c r="V271" s="10">
        <v>0.112</v>
      </c>
      <c r="W271" s="10">
        <f t="shared" si="51"/>
        <v>0.112</v>
      </c>
      <c r="X271" s="12">
        <v>9</v>
      </c>
      <c r="Y271" s="8">
        <f t="shared" si="44"/>
        <v>4866.3287999999993</v>
      </c>
      <c r="Z271" s="8">
        <f t="shared" si="45"/>
        <v>2513.16</v>
      </c>
      <c r="AA271" s="8">
        <f t="shared" si="52"/>
        <v>2353.1687999999995</v>
      </c>
      <c r="AB271" s="10">
        <f t="shared" si="53"/>
        <v>0.48356140670149533</v>
      </c>
      <c r="AC271" s="14">
        <f>_xlfn.MINIFS($C$2:$C$633, $J$2:$J$633, J271)</f>
        <v>44946</v>
      </c>
      <c r="AD271">
        <f>DATEDIF(AC271, C271, "m")</f>
        <v>13</v>
      </c>
      <c r="AE271" s="8">
        <f t="shared" si="54"/>
        <v>540.70319999999992</v>
      </c>
    </row>
    <row r="272" spans="1:31" x14ac:dyDescent="0.3">
      <c r="A272" s="4" t="s">
        <v>302</v>
      </c>
      <c r="B272" s="6">
        <v>45319</v>
      </c>
      <c r="C272" s="14">
        <v>45319</v>
      </c>
      <c r="D272" s="14" t="str">
        <f t="shared" si="46"/>
        <v>Q1 -2024</v>
      </c>
      <c r="E272" s="6">
        <v>45321</v>
      </c>
      <c r="F272" s="6">
        <f t="shared" si="47"/>
        <v>45321</v>
      </c>
      <c r="G272" s="12">
        <f t="shared" si="48"/>
        <v>2</v>
      </c>
      <c r="H272" s="12">
        <f t="shared" si="49"/>
        <v>1</v>
      </c>
      <c r="I272" s="4" t="s">
        <v>646</v>
      </c>
      <c r="J272" s="4" t="s">
        <v>661</v>
      </c>
      <c r="K272" s="4" t="s">
        <v>695</v>
      </c>
      <c r="L272" t="str">
        <f t="shared" si="50"/>
        <v>Africa&gt;South Africa&gt;Cape Town</v>
      </c>
      <c r="M272" s="4" t="s">
        <v>704</v>
      </c>
      <c r="N272" s="4" t="s">
        <v>711</v>
      </c>
      <c r="O272" s="4" t="s">
        <v>721</v>
      </c>
      <c r="P272" s="4" t="s">
        <v>733</v>
      </c>
      <c r="Q272" s="4" t="s">
        <v>1022</v>
      </c>
      <c r="R272" s="8">
        <v>798.45</v>
      </c>
      <c r="S272" s="8">
        <v>1592.02</v>
      </c>
      <c r="T272" s="8">
        <v>1592.02</v>
      </c>
      <c r="U272" s="8" t="str">
        <f>IF(T272&lt;=_xlfn.PERCENTILE.INC($T272:$T$633,0.33), "Low", IF(T272&lt;=_xlfn.PERCENTILE.INC($T272:$T$633,0.66), "Medium", "High"))</f>
        <v>Medium</v>
      </c>
      <c r="V272" s="10">
        <v>6.6000000000000003E-2</v>
      </c>
      <c r="W272" s="10">
        <f t="shared" si="51"/>
        <v>6.6000000000000003E-2</v>
      </c>
      <c r="X272" s="12">
        <v>18</v>
      </c>
      <c r="Y272" s="8">
        <f t="shared" si="44"/>
        <v>26765.040239999998</v>
      </c>
      <c r="Z272" s="8">
        <f t="shared" si="45"/>
        <v>14372.1</v>
      </c>
      <c r="AA272" s="8">
        <f t="shared" si="52"/>
        <v>12392.940239999998</v>
      </c>
      <c r="AB272" s="10">
        <f t="shared" si="53"/>
        <v>0.46302714768494585</v>
      </c>
      <c r="AC272" s="14">
        <f>_xlfn.MINIFS($C$2:$C$633, $J$2:$J$633, J272)</f>
        <v>44933</v>
      </c>
      <c r="AD272">
        <f>DATEDIF(AC272, C272, "m")</f>
        <v>12</v>
      </c>
      <c r="AE272" s="8">
        <f t="shared" si="54"/>
        <v>1486.94668</v>
      </c>
    </row>
    <row r="273" spans="1:31" x14ac:dyDescent="0.3">
      <c r="A273" s="4" t="s">
        <v>249</v>
      </c>
      <c r="B273" s="6">
        <v>45302</v>
      </c>
      <c r="C273" s="14">
        <v>45302</v>
      </c>
      <c r="D273" s="14" t="str">
        <f t="shared" si="46"/>
        <v>Q1 -2024</v>
      </c>
      <c r="E273" s="6">
        <v>45324</v>
      </c>
      <c r="F273" s="6">
        <f t="shared" si="47"/>
        <v>45324</v>
      </c>
      <c r="G273" s="12">
        <f t="shared" si="48"/>
        <v>22</v>
      </c>
      <c r="H273" s="12">
        <f t="shared" si="49"/>
        <v>0</v>
      </c>
      <c r="I273" s="4" t="s">
        <v>647</v>
      </c>
      <c r="J273" s="4" t="s">
        <v>652</v>
      </c>
      <c r="K273" s="4" t="s">
        <v>694</v>
      </c>
      <c r="L273" t="str">
        <f t="shared" si="50"/>
        <v>Asia&gt;Japan&gt;Nagoya</v>
      </c>
      <c r="M273" s="4" t="s">
        <v>705</v>
      </c>
      <c r="N273" s="4" t="s">
        <v>708</v>
      </c>
      <c r="O273" s="4" t="s">
        <v>1424</v>
      </c>
      <c r="P273" s="4" t="s">
        <v>728</v>
      </c>
      <c r="Q273" s="4" t="s">
        <v>969</v>
      </c>
      <c r="R273" s="8">
        <v>1237.68</v>
      </c>
      <c r="S273" s="8">
        <v>1432.8</v>
      </c>
      <c r="T273" s="8">
        <v>1432.8</v>
      </c>
      <c r="U273" s="8" t="str">
        <f>IF(T273&lt;=_xlfn.PERCENTILE.INC($T273:$T$633,0.33), "Low", IF(T273&lt;=_xlfn.PERCENTILE.INC($T273:$T$633,0.66), "Medium", "High"))</f>
        <v>Medium</v>
      </c>
      <c r="V273" s="10">
        <v>6.8000000000000005E-2</v>
      </c>
      <c r="W273" s="10">
        <f t="shared" si="51"/>
        <v>6.8000000000000005E-2</v>
      </c>
      <c r="X273" s="12">
        <v>13</v>
      </c>
      <c r="Y273" s="8">
        <f t="shared" si="44"/>
        <v>17359.804799999998</v>
      </c>
      <c r="Z273" s="8">
        <f t="shared" si="45"/>
        <v>16089.84</v>
      </c>
      <c r="AA273" s="8">
        <f t="shared" si="52"/>
        <v>1269.9647999999979</v>
      </c>
      <c r="AB273" s="10">
        <f t="shared" si="53"/>
        <v>7.315547695559331E-2</v>
      </c>
      <c r="AC273" s="14">
        <f>_xlfn.MINIFS($C$2:$C$633, $J$2:$J$633, J273)</f>
        <v>44988</v>
      </c>
      <c r="AD273">
        <f>DATEDIF(AC273, C273, "m")</f>
        <v>10</v>
      </c>
      <c r="AE273" s="8">
        <f t="shared" si="54"/>
        <v>1335.3695999999998</v>
      </c>
    </row>
    <row r="274" spans="1:31" x14ac:dyDescent="0.3">
      <c r="A274" s="4" t="s">
        <v>122</v>
      </c>
      <c r="B274" s="6">
        <v>45518</v>
      </c>
      <c r="C274" s="14">
        <v>45518</v>
      </c>
      <c r="D274" s="14" t="str">
        <f t="shared" si="46"/>
        <v>Q3 -2024</v>
      </c>
      <c r="E274" s="6">
        <v>45539</v>
      </c>
      <c r="F274" s="6">
        <f t="shared" si="47"/>
        <v>45539</v>
      </c>
      <c r="G274" s="12">
        <f t="shared" si="48"/>
        <v>21</v>
      </c>
      <c r="H274" s="12">
        <f t="shared" si="49"/>
        <v>0</v>
      </c>
      <c r="I274" s="4" t="s">
        <v>649</v>
      </c>
      <c r="J274" s="4" t="s">
        <v>658</v>
      </c>
      <c r="K274" s="4" t="s">
        <v>693</v>
      </c>
      <c r="L274" t="str">
        <f t="shared" si="50"/>
        <v>Europe&gt;United Kingdom&gt;Manchester</v>
      </c>
      <c r="M274" s="4" t="s">
        <v>703</v>
      </c>
      <c r="N274" s="4" t="s">
        <v>708</v>
      </c>
      <c r="O274" s="4" t="s">
        <v>713</v>
      </c>
      <c r="P274" s="4" t="s">
        <v>730</v>
      </c>
      <c r="Q274" s="4" t="s">
        <v>841</v>
      </c>
      <c r="R274" s="8">
        <v>1138.8</v>
      </c>
      <c r="S274" s="8">
        <v>2250.81</v>
      </c>
      <c r="T274" s="8">
        <v>2250.81</v>
      </c>
      <c r="U274" s="8" t="str">
        <f>IF(T274&lt;=_xlfn.PERCENTILE.INC($T274:$T$633,0.33), "Low", IF(T274&lt;=_xlfn.PERCENTILE.INC($T274:$T$633,0.66), "Medium", "High"))</f>
        <v>High</v>
      </c>
      <c r="V274" s="10">
        <v>0.123</v>
      </c>
      <c r="W274" s="10">
        <f t="shared" si="51"/>
        <v>0.123</v>
      </c>
      <c r="X274" s="12">
        <v>12</v>
      </c>
      <c r="Y274" s="8">
        <f t="shared" si="44"/>
        <v>23687.524440000001</v>
      </c>
      <c r="Z274" s="8">
        <f t="shared" si="45"/>
        <v>13665.599999999999</v>
      </c>
      <c r="AA274" s="8">
        <f t="shared" si="52"/>
        <v>10021.924440000003</v>
      </c>
      <c r="AB274" s="10">
        <f t="shared" si="53"/>
        <v>0.42308872188756258</v>
      </c>
      <c r="AC274" s="14">
        <f>_xlfn.MINIFS($C$2:$C$633, $J$2:$J$633, J274)</f>
        <v>44945</v>
      </c>
      <c r="AD274">
        <f>DATEDIF(AC274, C274, "m")</f>
        <v>18</v>
      </c>
      <c r="AE274" s="8">
        <f t="shared" si="54"/>
        <v>1973.96037</v>
      </c>
    </row>
    <row r="275" spans="1:31" x14ac:dyDescent="0.3">
      <c r="A275" s="4" t="s">
        <v>85</v>
      </c>
      <c r="B275" s="6">
        <v>45369</v>
      </c>
      <c r="C275" s="14">
        <v>45369</v>
      </c>
      <c r="D275" s="14" t="str">
        <f t="shared" si="46"/>
        <v>Q1 -2024</v>
      </c>
      <c r="E275" s="6">
        <v>45372</v>
      </c>
      <c r="F275" s="6">
        <f t="shared" si="47"/>
        <v>45372</v>
      </c>
      <c r="G275" s="12">
        <f t="shared" si="48"/>
        <v>3</v>
      </c>
      <c r="H275" s="12">
        <f t="shared" si="49"/>
        <v>1</v>
      </c>
      <c r="I275" s="4" t="s">
        <v>649</v>
      </c>
      <c r="J275" s="4" t="s">
        <v>656</v>
      </c>
      <c r="K275" s="4" t="s">
        <v>684</v>
      </c>
      <c r="L275" t="str">
        <f t="shared" si="50"/>
        <v>Europe&gt;Germany&gt;Munich</v>
      </c>
      <c r="M275" s="4" t="s">
        <v>705</v>
      </c>
      <c r="N275" s="4" t="s">
        <v>708</v>
      </c>
      <c r="O275" s="4" t="s">
        <v>724</v>
      </c>
      <c r="P275" s="4" t="s">
        <v>733</v>
      </c>
      <c r="Q275" s="4" t="s">
        <v>804</v>
      </c>
      <c r="R275" s="8">
        <v>910.63</v>
      </c>
      <c r="S275" s="8">
        <v>1269.4000000000001</v>
      </c>
      <c r="T275" s="8">
        <v>1269.4000000000001</v>
      </c>
      <c r="U275" s="8" t="str">
        <f>IF(T275&lt;=_xlfn.PERCENTILE.INC($T275:$T$633,0.33), "Low", IF(T275&lt;=_xlfn.PERCENTILE.INC($T275:$T$633,0.66), "Medium", "High"))</f>
        <v>Medium</v>
      </c>
      <c r="V275" s="10">
        <v>6.8000000000000005E-2</v>
      </c>
      <c r="W275" s="10">
        <f t="shared" si="51"/>
        <v>6.8000000000000005E-2</v>
      </c>
      <c r="X275" s="12">
        <v>9</v>
      </c>
      <c r="Y275" s="8">
        <f t="shared" si="44"/>
        <v>10647.727199999999</v>
      </c>
      <c r="Z275" s="8">
        <f t="shared" si="45"/>
        <v>8195.67</v>
      </c>
      <c r="AA275" s="8">
        <f t="shared" si="52"/>
        <v>2452.0571999999993</v>
      </c>
      <c r="AB275" s="10">
        <f t="shared" si="53"/>
        <v>0.23028925834989455</v>
      </c>
      <c r="AC275" s="14">
        <f>_xlfn.MINIFS($C$2:$C$633, $J$2:$J$633, J275)</f>
        <v>44948</v>
      </c>
      <c r="AD275">
        <f>DATEDIF(AC275, C275, "m")</f>
        <v>13</v>
      </c>
      <c r="AE275" s="8">
        <f t="shared" si="54"/>
        <v>1183.0808</v>
      </c>
    </row>
    <row r="276" spans="1:31" x14ac:dyDescent="0.3">
      <c r="A276" s="4" t="s">
        <v>72</v>
      </c>
      <c r="B276" s="6">
        <v>45643</v>
      </c>
      <c r="C276" s="14">
        <v>45643</v>
      </c>
      <c r="D276" s="14" t="str">
        <f t="shared" si="46"/>
        <v>Q4 -2024</v>
      </c>
      <c r="E276" s="6">
        <v>45644</v>
      </c>
      <c r="F276" s="6">
        <f t="shared" si="47"/>
        <v>45644</v>
      </c>
      <c r="G276" s="12">
        <f t="shared" si="48"/>
        <v>1</v>
      </c>
      <c r="H276" s="12">
        <f t="shared" si="49"/>
        <v>1</v>
      </c>
      <c r="I276" s="4" t="s">
        <v>649</v>
      </c>
      <c r="J276" s="4" t="s">
        <v>656</v>
      </c>
      <c r="K276" s="4" t="s">
        <v>684</v>
      </c>
      <c r="L276" t="str">
        <f t="shared" si="50"/>
        <v>Europe&gt;Germany&gt;Munich</v>
      </c>
      <c r="M276" s="4" t="s">
        <v>702</v>
      </c>
      <c r="N276" s="4" t="s">
        <v>707</v>
      </c>
      <c r="O276" s="4" t="s">
        <v>716</v>
      </c>
      <c r="P276" s="4" t="s">
        <v>733</v>
      </c>
      <c r="Q276" s="4" t="s">
        <v>791</v>
      </c>
      <c r="R276" s="8">
        <v>346.82</v>
      </c>
      <c r="S276" s="8">
        <v>701.95</v>
      </c>
      <c r="T276" s="8">
        <v>701.95</v>
      </c>
      <c r="U276" s="8" t="str">
        <f>IF(T276&lt;=_xlfn.PERCENTILE.INC($T276:$T$633,0.33), "Low", IF(T276&lt;=_xlfn.PERCENTILE.INC($T276:$T$633,0.66), "Medium", "High"))</f>
        <v>Low</v>
      </c>
      <c r="V276" s="10">
        <v>0.14699999999999999</v>
      </c>
      <c r="W276" s="10">
        <f t="shared" si="51"/>
        <v>0.14699999999999999</v>
      </c>
      <c r="X276" s="12">
        <v>8</v>
      </c>
      <c r="Y276" s="8">
        <f t="shared" si="44"/>
        <v>4790.1068000000005</v>
      </c>
      <c r="Z276" s="8">
        <f t="shared" si="45"/>
        <v>2774.56</v>
      </c>
      <c r="AA276" s="8">
        <f t="shared" si="52"/>
        <v>2015.5468000000005</v>
      </c>
      <c r="AB276" s="10">
        <f t="shared" si="53"/>
        <v>0.42077283120284509</v>
      </c>
      <c r="AC276" s="14">
        <f>_xlfn.MINIFS($C$2:$C$633, $J$2:$J$633, J276)</f>
        <v>44948</v>
      </c>
      <c r="AD276">
        <f>DATEDIF(AC276, C276, "m")</f>
        <v>22</v>
      </c>
      <c r="AE276" s="8">
        <f t="shared" si="54"/>
        <v>598.76335000000006</v>
      </c>
    </row>
    <row r="277" spans="1:31" x14ac:dyDescent="0.3">
      <c r="A277" s="4" t="s">
        <v>56</v>
      </c>
      <c r="B277" s="6">
        <v>45302</v>
      </c>
      <c r="C277" s="14">
        <v>45302</v>
      </c>
      <c r="D277" s="14" t="str">
        <f t="shared" si="46"/>
        <v>Q1 -2024</v>
      </c>
      <c r="E277" s="6">
        <v>45324</v>
      </c>
      <c r="F277" s="6">
        <f t="shared" si="47"/>
        <v>45324</v>
      </c>
      <c r="G277" s="12">
        <f t="shared" si="48"/>
        <v>22</v>
      </c>
      <c r="H277" s="12">
        <f t="shared" si="49"/>
        <v>0</v>
      </c>
      <c r="I277" s="4" t="s">
        <v>646</v>
      </c>
      <c r="J277" s="4" t="s">
        <v>661</v>
      </c>
      <c r="K277" s="4" t="s">
        <v>687</v>
      </c>
      <c r="L277" t="str">
        <f t="shared" si="50"/>
        <v>Africa&gt;South Africa&gt;Durban</v>
      </c>
      <c r="M277" s="4" t="s">
        <v>704</v>
      </c>
      <c r="N277" s="4" t="s">
        <v>708</v>
      </c>
      <c r="O277" s="4" t="s">
        <v>723</v>
      </c>
      <c r="P277" s="4" t="s">
        <v>729</v>
      </c>
      <c r="Q277" s="4" t="s">
        <v>775</v>
      </c>
      <c r="R277" s="8">
        <v>1206.2</v>
      </c>
      <c r="S277" s="8">
        <v>1759.79</v>
      </c>
      <c r="T277" s="8">
        <v>1759.79</v>
      </c>
      <c r="U277" s="8" t="str">
        <f>IF(T277&lt;=_xlfn.PERCENTILE.INC($T277:$T$633,0.33), "Low", IF(T277&lt;=_xlfn.PERCENTILE.INC($T277:$T$633,0.66), "Medium", "High"))</f>
        <v>High</v>
      </c>
      <c r="V277" s="10">
        <v>0</v>
      </c>
      <c r="W277" s="10">
        <f t="shared" si="51"/>
        <v>0</v>
      </c>
      <c r="X277" s="12">
        <v>6</v>
      </c>
      <c r="Y277" s="8">
        <f t="shared" si="44"/>
        <v>10558.74</v>
      </c>
      <c r="Z277" s="8">
        <f t="shared" si="45"/>
        <v>7237.2000000000007</v>
      </c>
      <c r="AA277" s="8">
        <f t="shared" si="52"/>
        <v>3321.5399999999991</v>
      </c>
      <c r="AB277" s="10">
        <f t="shared" si="53"/>
        <v>0.31457730751964713</v>
      </c>
      <c r="AC277" s="14">
        <f>_xlfn.MINIFS($C$2:$C$633, $J$2:$J$633, J277)</f>
        <v>44933</v>
      </c>
      <c r="AD277">
        <f>DATEDIF(AC277, C277, "m")</f>
        <v>12</v>
      </c>
      <c r="AE277" s="8">
        <f t="shared" si="54"/>
        <v>1759.79</v>
      </c>
    </row>
    <row r="278" spans="1:31" x14ac:dyDescent="0.3">
      <c r="A278" s="4" t="s">
        <v>267</v>
      </c>
      <c r="B278" s="6">
        <v>45502</v>
      </c>
      <c r="C278" s="14">
        <v>45502</v>
      </c>
      <c r="D278" s="14" t="str">
        <f t="shared" si="46"/>
        <v>Q3 -2024</v>
      </c>
      <c r="E278" s="6">
        <v>45504</v>
      </c>
      <c r="F278" s="6">
        <f t="shared" si="47"/>
        <v>45504</v>
      </c>
      <c r="G278" s="12">
        <f t="shared" si="48"/>
        <v>2</v>
      </c>
      <c r="H278" s="12">
        <f t="shared" si="49"/>
        <v>1</v>
      </c>
      <c r="I278" s="4" t="s">
        <v>648</v>
      </c>
      <c r="J278" s="4" t="s">
        <v>660</v>
      </c>
      <c r="K278" s="4" t="s">
        <v>700</v>
      </c>
      <c r="L278" t="str">
        <f t="shared" si="50"/>
        <v>Americas&gt;USA&gt;New York</v>
      </c>
      <c r="M278" s="4" t="s">
        <v>702</v>
      </c>
      <c r="N278" s="4" t="s">
        <v>709</v>
      </c>
      <c r="O278" s="4" t="s">
        <v>714</v>
      </c>
      <c r="P278" s="4" t="s">
        <v>728</v>
      </c>
      <c r="Q278" s="4" t="s">
        <v>987</v>
      </c>
      <c r="R278" s="8">
        <v>798.97</v>
      </c>
      <c r="S278" s="8">
        <v>1814.06</v>
      </c>
      <c r="T278" s="8">
        <v>1814.06</v>
      </c>
      <c r="U278" s="8" t="str">
        <f>IF(T278&lt;=_xlfn.PERCENTILE.INC($T278:$T$633,0.33), "Low", IF(T278&lt;=_xlfn.PERCENTILE.INC($T278:$T$633,0.66), "Medium", "High"))</f>
        <v>High</v>
      </c>
      <c r="V278" s="10">
        <v>0.122</v>
      </c>
      <c r="W278" s="10">
        <f t="shared" si="51"/>
        <v>0.122</v>
      </c>
      <c r="X278" s="12">
        <v>16</v>
      </c>
      <c r="Y278" s="8">
        <f t="shared" si="44"/>
        <v>25483.91488</v>
      </c>
      <c r="Z278" s="8">
        <f t="shared" si="45"/>
        <v>12783.52</v>
      </c>
      <c r="AA278" s="8">
        <f t="shared" si="52"/>
        <v>12700.39488</v>
      </c>
      <c r="AB278" s="10">
        <f t="shared" si="53"/>
        <v>0.49836906691159061</v>
      </c>
      <c r="AC278" s="14">
        <f>_xlfn.MINIFS($C$2:$C$633, $J$2:$J$633, J278)</f>
        <v>44939</v>
      </c>
      <c r="AD278">
        <f>DATEDIF(AC278, C278, "m")</f>
        <v>18</v>
      </c>
      <c r="AE278" s="8">
        <f t="shared" si="54"/>
        <v>1592.74468</v>
      </c>
    </row>
    <row r="279" spans="1:31" x14ac:dyDescent="0.3">
      <c r="A279" s="4" t="s">
        <v>405</v>
      </c>
      <c r="B279" s="6">
        <v>45514</v>
      </c>
      <c r="C279" s="14">
        <v>45514</v>
      </c>
      <c r="D279" s="14" t="str">
        <f t="shared" si="46"/>
        <v>Q3 -2024</v>
      </c>
      <c r="E279" s="6">
        <v>45542</v>
      </c>
      <c r="F279" s="6">
        <f t="shared" si="47"/>
        <v>45542</v>
      </c>
      <c r="G279" s="12">
        <f t="shared" si="48"/>
        <v>28</v>
      </c>
      <c r="H279" s="12">
        <f t="shared" si="49"/>
        <v>0</v>
      </c>
      <c r="I279" s="4" t="s">
        <v>649</v>
      </c>
      <c r="J279" s="4" t="s">
        <v>657</v>
      </c>
      <c r="K279" s="4" t="s">
        <v>673</v>
      </c>
      <c r="L279" t="str">
        <f t="shared" si="50"/>
        <v>Europe&gt;France&gt;Marseille</v>
      </c>
      <c r="M279" s="4" t="s">
        <v>703</v>
      </c>
      <c r="N279" s="4" t="s">
        <v>711</v>
      </c>
      <c r="O279" s="4" t="s">
        <v>721</v>
      </c>
      <c r="P279" s="4" t="s">
        <v>728</v>
      </c>
      <c r="Q279" s="4" t="s">
        <v>1124</v>
      </c>
      <c r="R279" s="8">
        <v>229.96</v>
      </c>
      <c r="S279" s="8">
        <v>564.26</v>
      </c>
      <c r="T279" s="8">
        <v>564.26</v>
      </c>
      <c r="U279" s="8" t="str">
        <f>IF(T279&lt;=_xlfn.PERCENTILE.INC($T279:$T$633,0.33), "Low", IF(T279&lt;=_xlfn.PERCENTILE.INC($T279:$T$633,0.66), "Medium", "High"))</f>
        <v>Low</v>
      </c>
      <c r="V279" s="10">
        <v>0.105</v>
      </c>
      <c r="W279" s="10">
        <f t="shared" si="51"/>
        <v>0.105</v>
      </c>
      <c r="X279" s="12">
        <v>5</v>
      </c>
      <c r="Y279" s="8">
        <f t="shared" si="44"/>
        <v>2525.0635000000002</v>
      </c>
      <c r="Z279" s="8">
        <f t="shared" si="45"/>
        <v>1149.8</v>
      </c>
      <c r="AA279" s="8">
        <f t="shared" si="52"/>
        <v>1375.2635000000002</v>
      </c>
      <c r="AB279" s="10">
        <f t="shared" si="53"/>
        <v>0.54464511486542821</v>
      </c>
      <c r="AC279" s="14">
        <f>_xlfn.MINIFS($C$2:$C$633, $J$2:$J$633, J279)</f>
        <v>44936</v>
      </c>
      <c r="AD279">
        <f>DATEDIF(AC279, C279, "m")</f>
        <v>19</v>
      </c>
      <c r="AE279" s="8">
        <f t="shared" si="54"/>
        <v>505.01270000000005</v>
      </c>
    </row>
    <row r="280" spans="1:31" x14ac:dyDescent="0.3">
      <c r="A280" s="4" t="s">
        <v>519</v>
      </c>
      <c r="B280" s="6">
        <v>45387</v>
      </c>
      <c r="C280" s="14">
        <v>45387</v>
      </c>
      <c r="D280" s="14" t="str">
        <f t="shared" si="46"/>
        <v>Q2 -2024</v>
      </c>
      <c r="E280" s="6">
        <v>45391</v>
      </c>
      <c r="F280" s="6">
        <f t="shared" si="47"/>
        <v>45391</v>
      </c>
      <c r="G280" s="12">
        <f t="shared" si="48"/>
        <v>4</v>
      </c>
      <c r="H280" s="12">
        <f t="shared" si="49"/>
        <v>1</v>
      </c>
      <c r="I280" s="4" t="s">
        <v>646</v>
      </c>
      <c r="J280" s="4" t="s">
        <v>651</v>
      </c>
      <c r="K280" s="4" t="s">
        <v>665</v>
      </c>
      <c r="L280" t="str">
        <f t="shared" si="50"/>
        <v>Africa&gt;Nigeria&gt;Lagos</v>
      </c>
      <c r="M280" s="4" t="s">
        <v>703</v>
      </c>
      <c r="N280" s="4" t="s">
        <v>711</v>
      </c>
      <c r="O280" s="4" t="s">
        <v>723</v>
      </c>
      <c r="P280" s="4" t="s">
        <v>727</v>
      </c>
      <c r="Q280" s="4" t="s">
        <v>1238</v>
      </c>
      <c r="R280" s="8">
        <v>395.07</v>
      </c>
      <c r="S280" s="8">
        <v>970.27</v>
      </c>
      <c r="T280" s="8">
        <v>970.27</v>
      </c>
      <c r="U280" s="8" t="str">
        <f>IF(T280&lt;=_xlfn.PERCENTILE.INC($T280:$T$633,0.33), "Low", IF(T280&lt;=_xlfn.PERCENTILE.INC($T280:$T$633,0.66), "Medium", "High"))</f>
        <v>Medium</v>
      </c>
      <c r="V280" s="10">
        <v>0.123</v>
      </c>
      <c r="W280" s="10">
        <f t="shared" si="51"/>
        <v>0.123</v>
      </c>
      <c r="X280" s="12">
        <v>38</v>
      </c>
      <c r="Y280" s="8">
        <f t="shared" si="44"/>
        <v>32335.21802</v>
      </c>
      <c r="Z280" s="8">
        <f t="shared" si="45"/>
        <v>15012.66</v>
      </c>
      <c r="AA280" s="8">
        <f t="shared" si="52"/>
        <v>17322.55802</v>
      </c>
      <c r="AB280" s="10">
        <f t="shared" si="53"/>
        <v>0.53571799049833657</v>
      </c>
      <c r="AC280" s="14">
        <f>_xlfn.MINIFS($C$2:$C$633, $J$2:$J$633, J280)</f>
        <v>44941</v>
      </c>
      <c r="AD280">
        <f>DATEDIF(AC280, C280, "m")</f>
        <v>14</v>
      </c>
      <c r="AE280" s="8">
        <f t="shared" si="54"/>
        <v>850.92678999999998</v>
      </c>
    </row>
    <row r="281" spans="1:31" x14ac:dyDescent="0.3">
      <c r="A281" s="4" t="s">
        <v>262</v>
      </c>
      <c r="B281" s="6">
        <v>45604</v>
      </c>
      <c r="C281" s="14">
        <v>45604</v>
      </c>
      <c r="D281" s="14" t="str">
        <f t="shared" si="46"/>
        <v>Q4 -2024</v>
      </c>
      <c r="E281" s="6">
        <v>45604</v>
      </c>
      <c r="F281" s="6">
        <f t="shared" si="47"/>
        <v>45604</v>
      </c>
      <c r="G281" s="12">
        <f t="shared" si="48"/>
        <v>0</v>
      </c>
      <c r="H281" s="12">
        <f t="shared" si="49"/>
        <v>1</v>
      </c>
      <c r="I281" s="4" t="s">
        <v>646</v>
      </c>
      <c r="J281" s="4" t="s">
        <v>650</v>
      </c>
      <c r="K281" s="4" t="s">
        <v>678</v>
      </c>
      <c r="L281" t="str">
        <f t="shared" si="50"/>
        <v>Africa&gt;Kenya&gt;Nakuru</v>
      </c>
      <c r="M281" s="4" t="s">
        <v>706</v>
      </c>
      <c r="N281" s="4" t="s">
        <v>709</v>
      </c>
      <c r="O281" s="4" t="s">
        <v>724</v>
      </c>
      <c r="P281" s="4" t="s">
        <v>729</v>
      </c>
      <c r="Q281" s="4" t="s">
        <v>982</v>
      </c>
      <c r="R281" s="8">
        <v>803.28</v>
      </c>
      <c r="S281" s="8">
        <v>1009</v>
      </c>
      <c r="T281" s="8">
        <v>1009</v>
      </c>
      <c r="U281" s="8" t="str">
        <f>IF(T281&lt;=_xlfn.PERCENTILE.INC($T281:$T$633,0.33), "Low", IF(T281&lt;=_xlfn.PERCENTILE.INC($T281:$T$633,0.66), "Medium", "High"))</f>
        <v>Medium</v>
      </c>
      <c r="V281" s="10">
        <v>0.11</v>
      </c>
      <c r="W281" s="10">
        <f t="shared" si="51"/>
        <v>0.11</v>
      </c>
      <c r="X281" s="12">
        <v>4</v>
      </c>
      <c r="Y281" s="8">
        <f t="shared" si="44"/>
        <v>3592.04</v>
      </c>
      <c r="Z281" s="8">
        <f t="shared" si="45"/>
        <v>3213.12</v>
      </c>
      <c r="AA281" s="8">
        <f t="shared" si="52"/>
        <v>378.92000000000007</v>
      </c>
      <c r="AB281" s="10">
        <f t="shared" si="53"/>
        <v>0.10548880302001093</v>
      </c>
      <c r="AC281" s="14">
        <f>_xlfn.MINIFS($C$2:$C$633, $J$2:$J$633, J281)</f>
        <v>44946</v>
      </c>
      <c r="AD281">
        <f>DATEDIF(AC281, C281, "m")</f>
        <v>21</v>
      </c>
      <c r="AE281" s="8">
        <f t="shared" si="54"/>
        <v>898.01</v>
      </c>
    </row>
    <row r="282" spans="1:31" x14ac:dyDescent="0.3">
      <c r="A282" s="4" t="s">
        <v>182</v>
      </c>
      <c r="B282" s="6">
        <v>45435</v>
      </c>
      <c r="C282" s="14">
        <v>45435</v>
      </c>
      <c r="D282" s="14" t="str">
        <f t="shared" si="46"/>
        <v>Q2 -2024</v>
      </c>
      <c r="E282" s="6">
        <v>45457</v>
      </c>
      <c r="F282" s="6">
        <f t="shared" si="47"/>
        <v>45457</v>
      </c>
      <c r="G282" s="12">
        <f t="shared" si="48"/>
        <v>22</v>
      </c>
      <c r="H282" s="12">
        <f t="shared" si="49"/>
        <v>0</v>
      </c>
      <c r="I282" s="4" t="s">
        <v>649</v>
      </c>
      <c r="J282" s="4" t="s">
        <v>657</v>
      </c>
      <c r="K282" s="4" t="s">
        <v>673</v>
      </c>
      <c r="L282" t="str">
        <f t="shared" si="50"/>
        <v>Europe&gt;France&gt;Marseille</v>
      </c>
      <c r="M282" s="4" t="s">
        <v>705</v>
      </c>
      <c r="N282" s="4" t="s">
        <v>708</v>
      </c>
      <c r="O282" s="4" t="s">
        <v>725</v>
      </c>
      <c r="P282" s="4" t="s">
        <v>732</v>
      </c>
      <c r="Q282" s="4" t="s">
        <v>901</v>
      </c>
      <c r="R282" s="8">
        <v>1481.74</v>
      </c>
      <c r="S282" s="8">
        <v>1848.97</v>
      </c>
      <c r="T282" s="8">
        <v>1848.97</v>
      </c>
      <c r="U282" s="8" t="str">
        <f>IF(T282&lt;=_xlfn.PERCENTILE.INC($T282:$T$633,0.33), "Low", IF(T282&lt;=_xlfn.PERCENTILE.INC($T282:$T$633,0.66), "Medium", "High"))</f>
        <v>High</v>
      </c>
      <c r="V282" s="10">
        <v>0.254</v>
      </c>
      <c r="W282" s="10">
        <f t="shared" si="51"/>
        <v>0.254</v>
      </c>
      <c r="X282" s="12">
        <v>9</v>
      </c>
      <c r="Y282" s="8">
        <f t="shared" si="44"/>
        <v>12413.98458</v>
      </c>
      <c r="Z282" s="8">
        <f t="shared" si="45"/>
        <v>13335.66</v>
      </c>
      <c r="AA282" s="8">
        <f t="shared" si="52"/>
        <v>-921.67541999999958</v>
      </c>
      <c r="AB282" s="10">
        <f t="shared" si="53"/>
        <v>-7.4244930309072407E-2</v>
      </c>
      <c r="AC282" s="14">
        <f>_xlfn.MINIFS($C$2:$C$633, $J$2:$J$633, J282)</f>
        <v>44936</v>
      </c>
      <c r="AD282">
        <f>DATEDIF(AC282, C282, "m")</f>
        <v>16</v>
      </c>
      <c r="AE282" s="8">
        <f t="shared" si="54"/>
        <v>1379.3316199999999</v>
      </c>
    </row>
    <row r="283" spans="1:31" x14ac:dyDescent="0.3">
      <c r="A283" s="4" t="s">
        <v>576</v>
      </c>
      <c r="B283" s="6">
        <v>45626</v>
      </c>
      <c r="C283" s="14">
        <v>45626</v>
      </c>
      <c r="D283" s="14" t="str">
        <f t="shared" si="46"/>
        <v>Q4 -2024</v>
      </c>
      <c r="E283" s="6">
        <v>45645</v>
      </c>
      <c r="F283" s="6">
        <f t="shared" si="47"/>
        <v>45645</v>
      </c>
      <c r="G283" s="12">
        <f t="shared" si="48"/>
        <v>19</v>
      </c>
      <c r="H283" s="12">
        <f t="shared" si="49"/>
        <v>0</v>
      </c>
      <c r="I283" s="4" t="s">
        <v>646</v>
      </c>
      <c r="J283" s="4" t="s">
        <v>650</v>
      </c>
      <c r="K283" s="4" t="s">
        <v>662</v>
      </c>
      <c r="L283" t="str">
        <f t="shared" si="50"/>
        <v>Africa&gt;Kenya&gt;Kisumu</v>
      </c>
      <c r="M283" s="4" t="s">
        <v>701</v>
      </c>
      <c r="N283" s="4" t="s">
        <v>708</v>
      </c>
      <c r="O283" s="4" t="s">
        <v>716</v>
      </c>
      <c r="P283" s="4" t="s">
        <v>730</v>
      </c>
      <c r="Q283" s="4" t="s">
        <v>1294</v>
      </c>
      <c r="R283" s="8">
        <v>1195.98</v>
      </c>
      <c r="S283" s="8">
        <v>1841.9</v>
      </c>
      <c r="T283" s="8">
        <v>1841.9</v>
      </c>
      <c r="U283" s="8" t="str">
        <f>IF(T283&lt;=_xlfn.PERCENTILE.INC($T283:$T$633,0.33), "Low", IF(T283&lt;=_xlfn.PERCENTILE.INC($T283:$T$633,0.66), "Medium", "High"))</f>
        <v>High</v>
      </c>
      <c r="V283" s="10">
        <v>5.5E-2</v>
      </c>
      <c r="W283" s="10">
        <f t="shared" si="51"/>
        <v>5.5E-2</v>
      </c>
      <c r="X283" s="12">
        <v>19</v>
      </c>
      <c r="Y283" s="8">
        <f t="shared" si="44"/>
        <v>33071.3145</v>
      </c>
      <c r="Z283" s="8">
        <f t="shared" si="45"/>
        <v>22723.62</v>
      </c>
      <c r="AA283" s="8">
        <f t="shared" si="52"/>
        <v>10347.694500000001</v>
      </c>
      <c r="AB283" s="10">
        <f t="shared" si="53"/>
        <v>0.31289032977506842</v>
      </c>
      <c r="AC283" s="14">
        <f>_xlfn.MINIFS($C$2:$C$633, $J$2:$J$633, J283)</f>
        <v>44946</v>
      </c>
      <c r="AD283">
        <f>DATEDIF(AC283, C283, "m")</f>
        <v>22</v>
      </c>
      <c r="AE283" s="8">
        <f t="shared" si="54"/>
        <v>1740.5955000000001</v>
      </c>
    </row>
    <row r="284" spans="1:31" x14ac:dyDescent="0.3">
      <c r="A284" s="4" t="s">
        <v>625</v>
      </c>
      <c r="B284" s="6">
        <v>45323</v>
      </c>
      <c r="C284" s="14">
        <v>45323</v>
      </c>
      <c r="D284" s="14" t="str">
        <f t="shared" si="46"/>
        <v>Q1 -2024</v>
      </c>
      <c r="E284" s="6">
        <v>45323</v>
      </c>
      <c r="F284" s="6">
        <f t="shared" si="47"/>
        <v>45323</v>
      </c>
      <c r="G284" s="12">
        <f t="shared" si="48"/>
        <v>0</v>
      </c>
      <c r="H284" s="12">
        <f t="shared" si="49"/>
        <v>1</v>
      </c>
      <c r="I284" s="4" t="s">
        <v>648</v>
      </c>
      <c r="J284" s="4" t="s">
        <v>660</v>
      </c>
      <c r="K284" s="4" t="s">
        <v>697</v>
      </c>
      <c r="L284" t="str">
        <f t="shared" si="50"/>
        <v>Americas&gt;USA&gt;Austin</v>
      </c>
      <c r="M284" s="4" t="s">
        <v>704</v>
      </c>
      <c r="N284" s="4" t="s">
        <v>710</v>
      </c>
      <c r="O284" s="4" t="s">
        <v>722</v>
      </c>
      <c r="P284" s="4" t="s">
        <v>728</v>
      </c>
      <c r="Q284" s="4" t="s">
        <v>1343</v>
      </c>
      <c r="R284" s="8">
        <v>714.43</v>
      </c>
      <c r="S284" s="8">
        <v>1595.52</v>
      </c>
      <c r="T284" s="8">
        <v>1595.52</v>
      </c>
      <c r="U284" s="8" t="str">
        <f>IF(T284&lt;=_xlfn.PERCENTILE.INC($T284:$T$633,0.33), "Low", IF(T284&lt;=_xlfn.PERCENTILE.INC($T284:$T$633,0.66), "Medium", "High"))</f>
        <v>Medium</v>
      </c>
      <c r="V284" s="10">
        <v>0.19400000000000001</v>
      </c>
      <c r="W284" s="10">
        <f t="shared" si="51"/>
        <v>0.19400000000000001</v>
      </c>
      <c r="X284" s="12">
        <v>14</v>
      </c>
      <c r="Y284" s="8">
        <f t="shared" si="44"/>
        <v>18003.847679999999</v>
      </c>
      <c r="Z284" s="8">
        <f t="shared" si="45"/>
        <v>10002.019999999999</v>
      </c>
      <c r="AA284" s="8">
        <f t="shared" si="52"/>
        <v>8001.8276800000003</v>
      </c>
      <c r="AB284" s="10">
        <f t="shared" si="53"/>
        <v>0.44445097638151093</v>
      </c>
      <c r="AC284" s="14">
        <f>_xlfn.MINIFS($C$2:$C$633, $J$2:$J$633, J284)</f>
        <v>44939</v>
      </c>
      <c r="AD284">
        <f>DATEDIF(AC284, C284, "m")</f>
        <v>12</v>
      </c>
      <c r="AE284" s="8">
        <f t="shared" si="54"/>
        <v>1285.98912</v>
      </c>
    </row>
    <row r="285" spans="1:31" x14ac:dyDescent="0.3">
      <c r="A285" s="4" t="s">
        <v>349</v>
      </c>
      <c r="B285" s="6">
        <v>45391</v>
      </c>
      <c r="C285" s="14">
        <v>45391</v>
      </c>
      <c r="D285" s="14" t="str">
        <f t="shared" si="46"/>
        <v>Q2 -2024</v>
      </c>
      <c r="E285" s="6">
        <v>45400</v>
      </c>
      <c r="F285" s="6">
        <f t="shared" si="47"/>
        <v>45400</v>
      </c>
      <c r="G285" s="12">
        <f t="shared" si="48"/>
        <v>9</v>
      </c>
      <c r="H285" s="12">
        <f t="shared" si="49"/>
        <v>0</v>
      </c>
      <c r="I285" s="4" t="s">
        <v>649</v>
      </c>
      <c r="J285" s="4" t="s">
        <v>657</v>
      </c>
      <c r="K285" s="4" t="s">
        <v>679</v>
      </c>
      <c r="L285" t="str">
        <f t="shared" si="50"/>
        <v>Europe&gt;France&gt;Lyon</v>
      </c>
      <c r="M285" s="4" t="s">
        <v>704</v>
      </c>
      <c r="N285" s="4" t="s">
        <v>708</v>
      </c>
      <c r="O285" s="4" t="s">
        <v>718</v>
      </c>
      <c r="P285" s="4" t="s">
        <v>728</v>
      </c>
      <c r="Q285" s="4" t="s">
        <v>1069</v>
      </c>
      <c r="R285" s="8">
        <v>1288.8499999999999</v>
      </c>
      <c r="S285" s="8">
        <v>2751.84</v>
      </c>
      <c r="T285" s="8">
        <v>2751.84</v>
      </c>
      <c r="U285" s="8" t="str">
        <f>IF(T285&lt;=_xlfn.PERCENTILE.INC($T285:$T$633,0.33), "Low", IF(T285&lt;=_xlfn.PERCENTILE.INC($T285:$T$633,0.66), "Medium", "High"))</f>
        <v>High</v>
      </c>
      <c r="V285" s="10">
        <v>0.158</v>
      </c>
      <c r="W285" s="10">
        <f t="shared" si="51"/>
        <v>0.158</v>
      </c>
      <c r="X285" s="12">
        <v>7</v>
      </c>
      <c r="Y285" s="8">
        <f t="shared" si="44"/>
        <v>16219.34496</v>
      </c>
      <c r="Z285" s="8">
        <f t="shared" si="45"/>
        <v>9021.9499999999989</v>
      </c>
      <c r="AA285" s="8">
        <f t="shared" si="52"/>
        <v>7197.3949600000014</v>
      </c>
      <c r="AB285" s="10">
        <f t="shared" si="53"/>
        <v>0.44375373837538756</v>
      </c>
      <c r="AC285" s="14">
        <f>_xlfn.MINIFS($C$2:$C$633, $J$2:$J$633, J285)</f>
        <v>44936</v>
      </c>
      <c r="AD285">
        <f>DATEDIF(AC285, C285, "m")</f>
        <v>14</v>
      </c>
      <c r="AE285" s="8">
        <f t="shared" si="54"/>
        <v>2317.0492800000002</v>
      </c>
    </row>
    <row r="286" spans="1:31" x14ac:dyDescent="0.3">
      <c r="A286" s="4" t="s">
        <v>356</v>
      </c>
      <c r="B286" s="6">
        <v>45594</v>
      </c>
      <c r="C286" s="14">
        <v>45594</v>
      </c>
      <c r="D286" s="14" t="str">
        <f t="shared" si="46"/>
        <v>Q4 -2024</v>
      </c>
      <c r="E286" s="6">
        <v>45600</v>
      </c>
      <c r="F286" s="6">
        <f t="shared" si="47"/>
        <v>45600</v>
      </c>
      <c r="G286" s="12">
        <f t="shared" si="48"/>
        <v>6</v>
      </c>
      <c r="H286" s="12">
        <f t="shared" si="49"/>
        <v>1</v>
      </c>
      <c r="I286" s="4" t="s">
        <v>646</v>
      </c>
      <c r="J286" s="4" t="s">
        <v>650</v>
      </c>
      <c r="K286" s="4" t="s">
        <v>664</v>
      </c>
      <c r="L286" t="str">
        <f t="shared" si="50"/>
        <v>Africa&gt;Kenya&gt;Nairobi</v>
      </c>
      <c r="M286" s="4" t="s">
        <v>701</v>
      </c>
      <c r="N286" s="4" t="s">
        <v>710</v>
      </c>
      <c r="O286" s="4" t="s">
        <v>724</v>
      </c>
      <c r="P286" s="4" t="s">
        <v>728</v>
      </c>
      <c r="Q286" s="4" t="s">
        <v>1076</v>
      </c>
      <c r="R286" s="8">
        <v>805.81</v>
      </c>
      <c r="S286" s="8">
        <v>1823.04</v>
      </c>
      <c r="T286" s="8">
        <v>1823.04</v>
      </c>
      <c r="U286" s="8" t="str">
        <f>IF(T286&lt;=_xlfn.PERCENTILE.INC($T286:$T$633,0.33), "Low", IF(T286&lt;=_xlfn.PERCENTILE.INC($T286:$T$633,0.66), "Medium", "High"))</f>
        <v>High</v>
      </c>
      <c r="V286" s="10">
        <v>0</v>
      </c>
      <c r="W286" s="10">
        <f t="shared" si="51"/>
        <v>0</v>
      </c>
      <c r="X286" s="12">
        <v>11</v>
      </c>
      <c r="Y286" s="8">
        <f t="shared" si="44"/>
        <v>20053.439999999999</v>
      </c>
      <c r="Z286" s="8">
        <f t="shared" si="45"/>
        <v>8863.91</v>
      </c>
      <c r="AA286" s="8">
        <f t="shared" si="52"/>
        <v>11189.529999999999</v>
      </c>
      <c r="AB286" s="10">
        <f t="shared" si="53"/>
        <v>0.55798556257679477</v>
      </c>
      <c r="AC286" s="14">
        <f>_xlfn.MINIFS($C$2:$C$633, $J$2:$J$633, J286)</f>
        <v>44946</v>
      </c>
      <c r="AD286">
        <f>DATEDIF(AC286, C286, "m")</f>
        <v>21</v>
      </c>
      <c r="AE286" s="8">
        <f t="shared" si="54"/>
        <v>1823.04</v>
      </c>
    </row>
    <row r="287" spans="1:31" x14ac:dyDescent="0.3">
      <c r="A287" s="4" t="s">
        <v>21</v>
      </c>
      <c r="B287" s="6">
        <v>45653</v>
      </c>
      <c r="C287" s="14">
        <v>45653</v>
      </c>
      <c r="D287" s="14" t="str">
        <f t="shared" si="46"/>
        <v>Q4 -2024</v>
      </c>
      <c r="E287" s="6">
        <v>45671</v>
      </c>
      <c r="F287" s="6">
        <f t="shared" si="47"/>
        <v>45671</v>
      </c>
      <c r="G287" s="12">
        <f t="shared" si="48"/>
        <v>18</v>
      </c>
      <c r="H287" s="12">
        <f t="shared" si="49"/>
        <v>0</v>
      </c>
      <c r="I287" s="4" t="s">
        <v>647</v>
      </c>
      <c r="J287" s="4" t="s">
        <v>654</v>
      </c>
      <c r="K287" s="4" t="s">
        <v>668</v>
      </c>
      <c r="L287" t="str">
        <f t="shared" si="50"/>
        <v>Asia&gt;India&gt;Bengaluru</v>
      </c>
      <c r="M287" s="4" t="s">
        <v>705</v>
      </c>
      <c r="N287" s="4" t="s">
        <v>709</v>
      </c>
      <c r="O287" s="4" t="s">
        <v>718</v>
      </c>
      <c r="P287" s="4" t="s">
        <v>732</v>
      </c>
      <c r="Q287" s="4" t="s">
        <v>740</v>
      </c>
      <c r="R287" s="8">
        <v>586.07000000000005</v>
      </c>
      <c r="S287" s="8">
        <v>845.97</v>
      </c>
      <c r="T287" s="8">
        <v>845.97</v>
      </c>
      <c r="U287" s="8" t="str">
        <f>IF(T287&lt;=_xlfn.PERCENTILE.INC($T287:$T$633,0.33), "Low", IF(T287&lt;=_xlfn.PERCENTILE.INC($T287:$T$633,0.66), "Medium", "High"))</f>
        <v>Medium</v>
      </c>
      <c r="V287" s="10">
        <v>0.14699999999999999</v>
      </c>
      <c r="W287" s="10">
        <f t="shared" si="51"/>
        <v>0.14699999999999999</v>
      </c>
      <c r="X287" s="12">
        <v>4</v>
      </c>
      <c r="Y287" s="8">
        <f t="shared" si="44"/>
        <v>2886.4496399999998</v>
      </c>
      <c r="Z287" s="8">
        <f t="shared" si="45"/>
        <v>2344.2800000000002</v>
      </c>
      <c r="AA287" s="8">
        <f t="shared" si="52"/>
        <v>542.16963999999962</v>
      </c>
      <c r="AB287" s="10">
        <f t="shared" si="53"/>
        <v>0.18783270370862928</v>
      </c>
      <c r="AC287" s="14">
        <f>_xlfn.MINIFS($C$2:$C$633, $J$2:$J$633, J287)</f>
        <v>44955</v>
      </c>
      <c r="AD287">
        <f>DATEDIF(AC287, C287, "m")</f>
        <v>22</v>
      </c>
      <c r="AE287" s="8">
        <f t="shared" si="54"/>
        <v>721.61240999999995</v>
      </c>
    </row>
    <row r="288" spans="1:31" x14ac:dyDescent="0.3">
      <c r="A288" s="4" t="s">
        <v>627</v>
      </c>
      <c r="B288" s="6">
        <v>45468</v>
      </c>
      <c r="C288" s="14">
        <v>45468</v>
      </c>
      <c r="D288" s="14" t="str">
        <f t="shared" si="46"/>
        <v>Q2 -2024</v>
      </c>
      <c r="E288" s="6">
        <v>45473</v>
      </c>
      <c r="F288" s="6">
        <f t="shared" si="47"/>
        <v>45473</v>
      </c>
      <c r="G288" s="12">
        <f t="shared" si="48"/>
        <v>5</v>
      </c>
      <c r="H288" s="12">
        <f t="shared" si="49"/>
        <v>1</v>
      </c>
      <c r="I288" s="4" t="s">
        <v>646</v>
      </c>
      <c r="J288" s="4" t="s">
        <v>650</v>
      </c>
      <c r="K288" s="4" t="s">
        <v>662</v>
      </c>
      <c r="L288" t="str">
        <f t="shared" si="50"/>
        <v>Africa&gt;Kenya&gt;Kisumu</v>
      </c>
      <c r="M288" s="4" t="s">
        <v>702</v>
      </c>
      <c r="N288" s="4" t="s">
        <v>711</v>
      </c>
      <c r="O288" s="4" t="s">
        <v>724</v>
      </c>
      <c r="P288" s="4" t="s">
        <v>729</v>
      </c>
      <c r="Q288" s="4" t="s">
        <v>1345</v>
      </c>
      <c r="R288" s="8">
        <v>1323.55</v>
      </c>
      <c r="S288" s="8">
        <v>3230.35</v>
      </c>
      <c r="T288" s="8">
        <v>3230.35</v>
      </c>
      <c r="U288" s="8" t="str">
        <f>IF(T288&lt;=_xlfn.PERCENTILE.INC($T288:$T$633,0.33), "Low", IF(T288&lt;=_xlfn.PERCENTILE.INC($T288:$T$633,0.66), "Medium", "High"))</f>
        <v>High</v>
      </c>
      <c r="V288" s="10">
        <v>2.1999999999999999E-2</v>
      </c>
      <c r="W288" s="10">
        <f t="shared" si="51"/>
        <v>2.1999999999999999E-2</v>
      </c>
      <c r="X288" s="12">
        <v>26</v>
      </c>
      <c r="Y288" s="8">
        <f t="shared" si="44"/>
        <v>82141.339799999987</v>
      </c>
      <c r="Z288" s="8">
        <f t="shared" si="45"/>
        <v>34412.299999999996</v>
      </c>
      <c r="AA288" s="8">
        <f t="shared" si="52"/>
        <v>47729.039799999991</v>
      </c>
      <c r="AB288" s="10">
        <f t="shared" si="53"/>
        <v>0.58105991351263542</v>
      </c>
      <c r="AC288" s="14">
        <f>_xlfn.MINIFS($C$2:$C$633, $J$2:$J$633, J288)</f>
        <v>44946</v>
      </c>
      <c r="AD288">
        <f>DATEDIF(AC288, C288, "m")</f>
        <v>17</v>
      </c>
      <c r="AE288" s="8">
        <f t="shared" si="54"/>
        <v>3159.2822999999994</v>
      </c>
    </row>
    <row r="289" spans="1:31" x14ac:dyDescent="0.3">
      <c r="A289" s="4" t="s">
        <v>377</v>
      </c>
      <c r="B289" s="6">
        <v>45360</v>
      </c>
      <c r="C289" s="14">
        <v>45360</v>
      </c>
      <c r="D289" s="14" t="str">
        <f t="shared" si="46"/>
        <v>Q1 -2024</v>
      </c>
      <c r="E289" s="6">
        <v>45377</v>
      </c>
      <c r="F289" s="6">
        <f t="shared" si="47"/>
        <v>45377</v>
      </c>
      <c r="G289" s="12">
        <f t="shared" si="48"/>
        <v>17</v>
      </c>
      <c r="H289" s="12">
        <f t="shared" si="49"/>
        <v>0</v>
      </c>
      <c r="I289" s="4" t="s">
        <v>647</v>
      </c>
      <c r="J289" s="4" t="s">
        <v>659</v>
      </c>
      <c r="K289" s="4" t="s">
        <v>676</v>
      </c>
      <c r="L289" t="str">
        <f t="shared" si="50"/>
        <v>Asia&gt;China&gt;Shenzhen</v>
      </c>
      <c r="M289" s="4" t="s">
        <v>706</v>
      </c>
      <c r="N289" s="4" t="s">
        <v>708</v>
      </c>
      <c r="O289" s="4" t="s">
        <v>723</v>
      </c>
      <c r="P289" s="4" t="s">
        <v>732</v>
      </c>
      <c r="Q289" s="4" t="s">
        <v>1097</v>
      </c>
      <c r="R289" s="8">
        <v>1029.67</v>
      </c>
      <c r="S289" s="8">
        <v>1118.43</v>
      </c>
      <c r="T289" s="8">
        <v>1118.43</v>
      </c>
      <c r="U289" s="8" t="str">
        <f>IF(T289&lt;=_xlfn.PERCENTILE.INC($T289:$T$633,0.33), "Low", IF(T289&lt;=_xlfn.PERCENTILE.INC($T289:$T$633,0.66), "Medium", "High"))</f>
        <v>Medium</v>
      </c>
      <c r="V289" s="10">
        <v>0.27200000000000002</v>
      </c>
      <c r="W289" s="10">
        <f t="shared" si="51"/>
        <v>0.27200000000000002</v>
      </c>
      <c r="X289" s="12">
        <v>9</v>
      </c>
      <c r="Y289" s="8">
        <f t="shared" si="44"/>
        <v>7327.9533600000004</v>
      </c>
      <c r="Z289" s="8">
        <f t="shared" si="45"/>
        <v>9267.0300000000007</v>
      </c>
      <c r="AA289" s="8">
        <f t="shared" si="52"/>
        <v>-1939.0766400000002</v>
      </c>
      <c r="AB289" s="10">
        <f t="shared" si="53"/>
        <v>-0.26461367106736061</v>
      </c>
      <c r="AC289" s="14">
        <f>_xlfn.MINIFS($C$2:$C$633, $J$2:$J$633, J289)</f>
        <v>44938</v>
      </c>
      <c r="AD289">
        <f>DATEDIF(AC289, C289, "m")</f>
        <v>13</v>
      </c>
      <c r="AE289" s="8">
        <f t="shared" si="54"/>
        <v>814.21704</v>
      </c>
    </row>
    <row r="290" spans="1:31" x14ac:dyDescent="0.3">
      <c r="A290" s="4" t="s">
        <v>82</v>
      </c>
      <c r="B290" s="6">
        <v>45434</v>
      </c>
      <c r="C290" s="14">
        <v>45434</v>
      </c>
      <c r="D290" s="14" t="str">
        <f t="shared" si="46"/>
        <v>Q2 -2024</v>
      </c>
      <c r="E290" s="6">
        <v>45449</v>
      </c>
      <c r="F290" s="6">
        <f t="shared" si="47"/>
        <v>45449</v>
      </c>
      <c r="G290" s="12">
        <f t="shared" si="48"/>
        <v>15</v>
      </c>
      <c r="H290" s="12">
        <f t="shared" si="49"/>
        <v>0</v>
      </c>
      <c r="I290" s="4" t="s">
        <v>647</v>
      </c>
      <c r="J290" s="4" t="s">
        <v>652</v>
      </c>
      <c r="K290" s="4" t="s">
        <v>694</v>
      </c>
      <c r="L290" t="str">
        <f t="shared" si="50"/>
        <v>Asia&gt;Japan&gt;Nagoya</v>
      </c>
      <c r="M290" s="4" t="s">
        <v>701</v>
      </c>
      <c r="N290" s="4" t="s">
        <v>710</v>
      </c>
      <c r="O290" s="4" t="s">
        <v>712</v>
      </c>
      <c r="P290" s="4" t="s">
        <v>732</v>
      </c>
      <c r="Q290" s="4" t="s">
        <v>801</v>
      </c>
      <c r="R290" s="8">
        <v>673.88</v>
      </c>
      <c r="S290" s="8">
        <v>1228.01</v>
      </c>
      <c r="T290" s="8">
        <v>1228.01</v>
      </c>
      <c r="U290" s="8" t="str">
        <f>IF(T290&lt;=_xlfn.PERCENTILE.INC($T290:$T$633,0.33), "Low", IF(T290&lt;=_xlfn.PERCENTILE.INC($T290:$T$633,0.66), "Medium", "High"))</f>
        <v>Medium</v>
      </c>
      <c r="V290" s="10">
        <v>0.105</v>
      </c>
      <c r="W290" s="10">
        <f t="shared" si="51"/>
        <v>0.105</v>
      </c>
      <c r="X290" s="12">
        <v>13</v>
      </c>
      <c r="Y290" s="8">
        <f t="shared" si="44"/>
        <v>14287.896349999999</v>
      </c>
      <c r="Z290" s="8">
        <f t="shared" si="45"/>
        <v>8760.44</v>
      </c>
      <c r="AA290" s="8">
        <f t="shared" si="52"/>
        <v>5527.4563499999986</v>
      </c>
      <c r="AB290" s="10">
        <f t="shared" si="53"/>
        <v>0.38686285332689996</v>
      </c>
      <c r="AC290" s="14">
        <f>_xlfn.MINIFS($C$2:$C$633, $J$2:$J$633, J290)</f>
        <v>44988</v>
      </c>
      <c r="AD290">
        <f>DATEDIF(AC290, C290, "m")</f>
        <v>14</v>
      </c>
      <c r="AE290" s="8">
        <f t="shared" si="54"/>
        <v>1099.0689499999999</v>
      </c>
    </row>
    <row r="291" spans="1:31" x14ac:dyDescent="0.3">
      <c r="A291" s="4" t="s">
        <v>268</v>
      </c>
      <c r="B291" s="6">
        <v>45592</v>
      </c>
      <c r="C291" s="14">
        <v>45592</v>
      </c>
      <c r="D291" s="14" t="str">
        <f t="shared" si="46"/>
        <v>Q4 -2024</v>
      </c>
      <c r="E291" s="6">
        <v>45616</v>
      </c>
      <c r="F291" s="6">
        <f t="shared" si="47"/>
        <v>45616</v>
      </c>
      <c r="G291" s="12">
        <f t="shared" si="48"/>
        <v>24</v>
      </c>
      <c r="H291" s="12">
        <f t="shared" si="49"/>
        <v>0</v>
      </c>
      <c r="I291" s="4" t="s">
        <v>647</v>
      </c>
      <c r="J291" s="4" t="s">
        <v>652</v>
      </c>
      <c r="K291" s="4" t="s">
        <v>694</v>
      </c>
      <c r="L291" t="str">
        <f t="shared" si="50"/>
        <v>Asia&gt;Japan&gt;Nagoya</v>
      </c>
      <c r="M291" s="4" t="s">
        <v>703</v>
      </c>
      <c r="N291" s="4" t="s">
        <v>708</v>
      </c>
      <c r="O291" s="4" t="s">
        <v>722</v>
      </c>
      <c r="P291" s="4" t="s">
        <v>732</v>
      </c>
      <c r="Q291" s="4" t="s">
        <v>988</v>
      </c>
      <c r="R291" s="8">
        <v>317.25</v>
      </c>
      <c r="S291" s="8">
        <v>758.92</v>
      </c>
      <c r="T291" s="8">
        <v>758.92</v>
      </c>
      <c r="U291" s="8" t="str">
        <f>IF(T291&lt;=_xlfn.PERCENTILE.INC($T291:$T$633,0.33), "Low", IF(T291&lt;=_xlfn.PERCENTILE.INC($T291:$T$633,0.66), "Medium", "High"))</f>
        <v>Low</v>
      </c>
      <c r="V291" s="10">
        <v>5.2999999999999999E-2</v>
      </c>
      <c r="W291" s="10">
        <f t="shared" si="51"/>
        <v>5.2999999999999999E-2</v>
      </c>
      <c r="X291" s="12">
        <v>9</v>
      </c>
      <c r="Y291" s="8">
        <f t="shared" si="44"/>
        <v>6468.2751599999992</v>
      </c>
      <c r="Z291" s="8">
        <f t="shared" si="45"/>
        <v>2855.25</v>
      </c>
      <c r="AA291" s="8">
        <f t="shared" si="52"/>
        <v>3613.0251599999992</v>
      </c>
      <c r="AB291" s="10">
        <f t="shared" si="53"/>
        <v>0.5585762928489888</v>
      </c>
      <c r="AC291" s="14">
        <f>_xlfn.MINIFS($C$2:$C$633, $J$2:$J$633, J291)</f>
        <v>44988</v>
      </c>
      <c r="AD291">
        <f>DATEDIF(AC291, C291, "m")</f>
        <v>19</v>
      </c>
      <c r="AE291" s="8">
        <f t="shared" si="54"/>
        <v>718.69723999999997</v>
      </c>
    </row>
    <row r="292" spans="1:31" x14ac:dyDescent="0.3">
      <c r="A292" s="4" t="s">
        <v>551</v>
      </c>
      <c r="B292" s="6">
        <v>45520</v>
      </c>
      <c r="C292" s="14">
        <v>45520</v>
      </c>
      <c r="D292" s="14" t="str">
        <f t="shared" si="46"/>
        <v>Q3 -2024</v>
      </c>
      <c r="E292" s="6">
        <v>45530</v>
      </c>
      <c r="F292" s="6">
        <f t="shared" si="47"/>
        <v>45530</v>
      </c>
      <c r="G292" s="12">
        <f t="shared" si="48"/>
        <v>10</v>
      </c>
      <c r="H292" s="12">
        <f t="shared" si="49"/>
        <v>0</v>
      </c>
      <c r="I292" s="4" t="s">
        <v>648</v>
      </c>
      <c r="J292" s="4" t="s">
        <v>660</v>
      </c>
      <c r="K292" s="4" t="s">
        <v>677</v>
      </c>
      <c r="L292" t="str">
        <f t="shared" si="50"/>
        <v>Americas&gt;USA&gt;Chicago</v>
      </c>
      <c r="M292" s="4" t="s">
        <v>701</v>
      </c>
      <c r="N292" s="4" t="s">
        <v>710</v>
      </c>
      <c r="O292" s="4" t="s">
        <v>716</v>
      </c>
      <c r="P292" s="4" t="s">
        <v>731</v>
      </c>
      <c r="Q292" s="4" t="s">
        <v>1121</v>
      </c>
      <c r="R292" s="8">
        <v>1291.7</v>
      </c>
      <c r="S292" s="8">
        <v>2657.84</v>
      </c>
      <c r="T292" s="8">
        <v>2657.84</v>
      </c>
      <c r="U292" s="8" t="str">
        <f>IF(T292&lt;=_xlfn.PERCENTILE.INC($T292:$T$633,0.33), "Low", IF(T292&lt;=_xlfn.PERCENTILE.INC($T292:$T$633,0.66), "Medium", "High"))</f>
        <v>High</v>
      </c>
      <c r="V292" s="10">
        <v>8.6999999999999994E-2</v>
      </c>
      <c r="W292" s="10">
        <f t="shared" si="51"/>
        <v>8.6999999999999994E-2</v>
      </c>
      <c r="X292" s="12">
        <v>21</v>
      </c>
      <c r="Y292" s="8">
        <f t="shared" si="44"/>
        <v>50958.766320000002</v>
      </c>
      <c r="Z292" s="8">
        <f t="shared" si="45"/>
        <v>27125.7</v>
      </c>
      <c r="AA292" s="8">
        <f t="shared" si="52"/>
        <v>23833.066320000002</v>
      </c>
      <c r="AB292" s="10">
        <f t="shared" si="53"/>
        <v>0.46769315745083367</v>
      </c>
      <c r="AC292" s="14">
        <f>_xlfn.MINIFS($C$2:$C$633, $J$2:$J$633, J292)</f>
        <v>44939</v>
      </c>
      <c r="AD292">
        <f>DATEDIF(AC292, C292, "m")</f>
        <v>19</v>
      </c>
      <c r="AE292" s="8">
        <f t="shared" si="54"/>
        <v>2426.6079199999999</v>
      </c>
    </row>
    <row r="293" spans="1:31" x14ac:dyDescent="0.3">
      <c r="A293" s="4" t="s">
        <v>587</v>
      </c>
      <c r="B293" s="6">
        <v>45293</v>
      </c>
      <c r="C293" s="14">
        <v>45293</v>
      </c>
      <c r="D293" s="14" t="str">
        <f t="shared" si="46"/>
        <v>Q1 -2024</v>
      </c>
      <c r="E293" s="6">
        <v>45293</v>
      </c>
      <c r="F293" s="6">
        <f t="shared" si="47"/>
        <v>45293</v>
      </c>
      <c r="G293" s="12">
        <f t="shared" si="48"/>
        <v>0</v>
      </c>
      <c r="H293" s="12">
        <f t="shared" si="49"/>
        <v>1</v>
      </c>
      <c r="I293" s="4" t="s">
        <v>648</v>
      </c>
      <c r="J293" s="4" t="s">
        <v>653</v>
      </c>
      <c r="K293" s="4" t="s">
        <v>688</v>
      </c>
      <c r="L293" t="str">
        <f t="shared" si="50"/>
        <v>Americas&gt;Canada&gt;Vancouver</v>
      </c>
      <c r="M293" s="4" t="s">
        <v>702</v>
      </c>
      <c r="N293" s="4" t="s">
        <v>711</v>
      </c>
      <c r="O293" s="4" t="s">
        <v>720</v>
      </c>
      <c r="P293" s="4" t="s">
        <v>731</v>
      </c>
      <c r="Q293" s="4" t="s">
        <v>1305</v>
      </c>
      <c r="R293" s="8">
        <v>444.41</v>
      </c>
      <c r="S293" s="8">
        <v>754.24</v>
      </c>
      <c r="T293" s="8">
        <v>754.24</v>
      </c>
      <c r="U293" s="8" t="str">
        <f>IF(T293&lt;=_xlfn.PERCENTILE.INC($T293:$T$633,0.33), "Low", IF(T293&lt;=_xlfn.PERCENTILE.INC($T293:$T$633,0.66), "Medium", "High"))</f>
        <v>Low</v>
      </c>
      <c r="V293" s="10">
        <v>0.20699999999999999</v>
      </c>
      <c r="W293" s="10">
        <f t="shared" si="51"/>
        <v>0.20699999999999999</v>
      </c>
      <c r="X293" s="12">
        <v>32</v>
      </c>
      <c r="Y293" s="8">
        <f t="shared" si="44"/>
        <v>19139.594240000002</v>
      </c>
      <c r="Z293" s="8">
        <f t="shared" si="45"/>
        <v>14221.12</v>
      </c>
      <c r="AA293" s="8">
        <f t="shared" si="52"/>
        <v>4918.4742400000014</v>
      </c>
      <c r="AB293" s="10">
        <f t="shared" si="53"/>
        <v>0.25697902360546598</v>
      </c>
      <c r="AC293" s="14">
        <f>_xlfn.MINIFS($C$2:$C$633, $J$2:$J$633, J293)</f>
        <v>44928</v>
      </c>
      <c r="AD293">
        <f>DATEDIF(AC293, C293, "m")</f>
        <v>12</v>
      </c>
      <c r="AE293" s="8">
        <f t="shared" si="54"/>
        <v>598.11232000000007</v>
      </c>
    </row>
    <row r="294" spans="1:31" x14ac:dyDescent="0.3">
      <c r="A294" s="4" t="s">
        <v>476</v>
      </c>
      <c r="B294" s="6">
        <v>45358</v>
      </c>
      <c r="C294" s="14">
        <v>45358</v>
      </c>
      <c r="D294" s="14" t="str">
        <f t="shared" si="46"/>
        <v>Q1 -2024</v>
      </c>
      <c r="E294" s="6">
        <v>45385</v>
      </c>
      <c r="F294" s="6">
        <f t="shared" si="47"/>
        <v>45385</v>
      </c>
      <c r="G294" s="12">
        <f t="shared" si="48"/>
        <v>27</v>
      </c>
      <c r="H294" s="12">
        <f t="shared" si="49"/>
        <v>0</v>
      </c>
      <c r="I294" s="4" t="s">
        <v>649</v>
      </c>
      <c r="J294" s="4" t="s">
        <v>656</v>
      </c>
      <c r="K294" s="4" t="s">
        <v>698</v>
      </c>
      <c r="L294" t="str">
        <f t="shared" si="50"/>
        <v>Europe&gt;Germany&gt;Frankfurt</v>
      </c>
      <c r="M294" s="4" t="s">
        <v>701</v>
      </c>
      <c r="N294" s="4" t="s">
        <v>711</v>
      </c>
      <c r="O294" s="4" t="s">
        <v>724</v>
      </c>
      <c r="P294" s="4" t="s">
        <v>728</v>
      </c>
      <c r="Q294" s="4" t="s">
        <v>1195</v>
      </c>
      <c r="R294" s="8">
        <v>738.16</v>
      </c>
      <c r="S294" s="8">
        <v>956.49</v>
      </c>
      <c r="T294" s="8">
        <v>956.49</v>
      </c>
      <c r="U294" s="8" t="str">
        <f>IF(T294&lt;=_xlfn.PERCENTILE.INC($T294:$T$633,0.33), "Low", IF(T294&lt;=_xlfn.PERCENTILE.INC($T294:$T$633,0.66), "Medium", "High"))</f>
        <v>Medium</v>
      </c>
      <c r="V294" s="10">
        <v>0.152</v>
      </c>
      <c r="W294" s="10">
        <f t="shared" si="51"/>
        <v>0.152</v>
      </c>
      <c r="X294" s="12">
        <v>5</v>
      </c>
      <c r="Y294" s="8">
        <f t="shared" si="44"/>
        <v>4055.5175999999997</v>
      </c>
      <c r="Z294" s="8">
        <f t="shared" si="45"/>
        <v>3690.7999999999997</v>
      </c>
      <c r="AA294" s="8">
        <f t="shared" si="52"/>
        <v>364.71759999999995</v>
      </c>
      <c r="AB294" s="10">
        <f t="shared" si="53"/>
        <v>8.9931208780847108E-2</v>
      </c>
      <c r="AC294" s="14">
        <f>_xlfn.MINIFS($C$2:$C$633, $J$2:$J$633, J294)</f>
        <v>44948</v>
      </c>
      <c r="AD294">
        <f>DATEDIF(AC294, C294, "m")</f>
        <v>13</v>
      </c>
      <c r="AE294" s="8">
        <f t="shared" si="54"/>
        <v>811.10351999999989</v>
      </c>
    </row>
    <row r="295" spans="1:31" x14ac:dyDescent="0.3">
      <c r="A295" s="4" t="s">
        <v>176</v>
      </c>
      <c r="B295" s="6">
        <v>45595</v>
      </c>
      <c r="C295" s="14">
        <v>45595</v>
      </c>
      <c r="D295" s="14" t="str">
        <f t="shared" si="46"/>
        <v>Q4 -2024</v>
      </c>
      <c r="E295" s="6">
        <v>45620</v>
      </c>
      <c r="F295" s="6">
        <f t="shared" si="47"/>
        <v>45620</v>
      </c>
      <c r="G295" s="12">
        <f t="shared" si="48"/>
        <v>25</v>
      </c>
      <c r="H295" s="12">
        <f t="shared" si="49"/>
        <v>0</v>
      </c>
      <c r="I295" s="4" t="s">
        <v>647</v>
      </c>
      <c r="J295" s="4" t="s">
        <v>659</v>
      </c>
      <c r="K295" s="4" t="s">
        <v>676</v>
      </c>
      <c r="L295" t="str">
        <f t="shared" si="50"/>
        <v>Asia&gt;China&gt;Shenzhen</v>
      </c>
      <c r="M295" s="4" t="s">
        <v>705</v>
      </c>
      <c r="N295" s="4" t="s">
        <v>708</v>
      </c>
      <c r="O295" s="4" t="s">
        <v>718</v>
      </c>
      <c r="P295" s="4" t="s">
        <v>727</v>
      </c>
      <c r="Q295" s="4" t="s">
        <v>895</v>
      </c>
      <c r="R295" s="8">
        <v>811.05</v>
      </c>
      <c r="S295" s="8">
        <v>1217.71</v>
      </c>
      <c r="T295" s="8">
        <v>1217.71</v>
      </c>
      <c r="U295" s="8" t="str">
        <f>IF(T295&lt;=_xlfn.PERCENTILE.INC($T295:$T$633,0.33), "Low", IF(T295&lt;=_xlfn.PERCENTILE.INC($T295:$T$633,0.66), "Medium", "High"))</f>
        <v>Medium</v>
      </c>
      <c r="V295" s="10">
        <v>7.1999999999999995E-2</v>
      </c>
      <c r="W295" s="10">
        <f t="shared" si="51"/>
        <v>7.1999999999999995E-2</v>
      </c>
      <c r="X295" s="12">
        <v>5</v>
      </c>
      <c r="Y295" s="8">
        <f t="shared" si="44"/>
        <v>5650.1744000000008</v>
      </c>
      <c r="Z295" s="8">
        <f t="shared" si="45"/>
        <v>4055.25</v>
      </c>
      <c r="AA295" s="8">
        <f t="shared" si="52"/>
        <v>1594.9244000000008</v>
      </c>
      <c r="AB295" s="10">
        <f t="shared" si="53"/>
        <v>0.28227879125288602</v>
      </c>
      <c r="AC295" s="14">
        <f>_xlfn.MINIFS($C$2:$C$633, $J$2:$J$633, J295)</f>
        <v>44938</v>
      </c>
      <c r="AD295">
        <f>DATEDIF(AC295, C295, "m")</f>
        <v>21</v>
      </c>
      <c r="AE295" s="8">
        <f t="shared" si="54"/>
        <v>1130.0348800000002</v>
      </c>
    </row>
    <row r="296" spans="1:31" x14ac:dyDescent="0.3">
      <c r="A296" s="4" t="s">
        <v>16</v>
      </c>
      <c r="B296" s="6">
        <v>45588</v>
      </c>
      <c r="C296" s="14">
        <v>45588</v>
      </c>
      <c r="D296" s="14" t="str">
        <f t="shared" si="46"/>
        <v>Q4 -2024</v>
      </c>
      <c r="E296" s="6">
        <v>45587</v>
      </c>
      <c r="F296" s="6">
        <f t="shared" si="47"/>
        <v>45594</v>
      </c>
      <c r="G296" s="12">
        <f t="shared" si="48"/>
        <v>6</v>
      </c>
      <c r="H296" s="12">
        <f t="shared" si="49"/>
        <v>1</v>
      </c>
      <c r="I296" s="4" t="s">
        <v>646</v>
      </c>
      <c r="J296" s="4" t="s">
        <v>651</v>
      </c>
      <c r="K296" s="4" t="s">
        <v>663</v>
      </c>
      <c r="L296" t="str">
        <f t="shared" si="50"/>
        <v>Africa&gt;Nigeria&gt;Port Harcourt</v>
      </c>
      <c r="M296" s="4" t="s">
        <v>702</v>
      </c>
      <c r="N296" s="4" t="s">
        <v>708</v>
      </c>
      <c r="O296" s="4" t="s">
        <v>713</v>
      </c>
      <c r="P296" s="4" t="s">
        <v>728</v>
      </c>
      <c r="Q296" s="4" t="s">
        <v>735</v>
      </c>
      <c r="R296" s="8">
        <v>1084.3900000000001</v>
      </c>
      <c r="S296" s="8">
        <v>759.33</v>
      </c>
      <c r="T296" s="8">
        <v>759.33</v>
      </c>
      <c r="U296" s="8" t="str">
        <f>IF(T296&lt;=_xlfn.PERCENTILE.INC($T296:$T$633,0.33), "Low", IF(T296&lt;=_xlfn.PERCENTILE.INC($T296:$T$633,0.66), "Medium", "High"))</f>
        <v>Low</v>
      </c>
      <c r="V296" s="10">
        <v>0.23699999999999999</v>
      </c>
      <c r="W296" s="10">
        <f t="shared" si="51"/>
        <v>0.23699999999999999</v>
      </c>
      <c r="X296" s="12">
        <v>31</v>
      </c>
      <c r="Y296" s="8">
        <f t="shared" si="44"/>
        <v>17960.432489999999</v>
      </c>
      <c r="Z296" s="8">
        <f t="shared" si="45"/>
        <v>33616.090000000004</v>
      </c>
      <c r="AA296" s="8">
        <f t="shared" si="52"/>
        <v>-15655.657510000005</v>
      </c>
      <c r="AB296" s="10">
        <f t="shared" si="53"/>
        <v>-0.87167486187856302</v>
      </c>
      <c r="AC296" s="14">
        <f>_xlfn.MINIFS($C$2:$C$633, $J$2:$J$633, J296)</f>
        <v>44941</v>
      </c>
      <c r="AD296">
        <f>DATEDIF(AC296, C296, "m")</f>
        <v>21</v>
      </c>
      <c r="AE296" s="8">
        <f t="shared" si="54"/>
        <v>579.36878999999999</v>
      </c>
    </row>
    <row r="297" spans="1:31" x14ac:dyDescent="0.3">
      <c r="A297" s="4" t="s">
        <v>539</v>
      </c>
      <c r="B297" s="6">
        <v>45398</v>
      </c>
      <c r="C297" s="14">
        <v>45398</v>
      </c>
      <c r="D297" s="14" t="str">
        <f t="shared" si="46"/>
        <v>Q2 -2024</v>
      </c>
      <c r="E297" s="6">
        <v>45409</v>
      </c>
      <c r="F297" s="6">
        <f t="shared" si="47"/>
        <v>45409</v>
      </c>
      <c r="G297" s="12">
        <f t="shared" si="48"/>
        <v>11</v>
      </c>
      <c r="H297" s="12">
        <f t="shared" si="49"/>
        <v>0</v>
      </c>
      <c r="I297" s="4" t="s">
        <v>646</v>
      </c>
      <c r="J297" s="4" t="s">
        <v>650</v>
      </c>
      <c r="K297" s="4" t="s">
        <v>678</v>
      </c>
      <c r="L297" t="str">
        <f t="shared" si="50"/>
        <v>Africa&gt;Kenya&gt;Nakuru</v>
      </c>
      <c r="M297" s="4" t="s">
        <v>706</v>
      </c>
      <c r="N297" s="4" t="s">
        <v>708</v>
      </c>
      <c r="O297" s="4" t="s">
        <v>726</v>
      </c>
      <c r="P297" s="4" t="s">
        <v>728</v>
      </c>
      <c r="Q297" s="4" t="s">
        <v>1258</v>
      </c>
      <c r="R297" s="8">
        <v>401.3</v>
      </c>
      <c r="S297" s="8">
        <v>826.47</v>
      </c>
      <c r="T297" s="8">
        <v>826.47</v>
      </c>
      <c r="U297" s="8" t="str">
        <f>IF(T297&lt;=_xlfn.PERCENTILE.INC($T297:$T$633,0.33), "Low", IF(T297&lt;=_xlfn.PERCENTILE.INC($T297:$T$633,0.66), "Medium", "High"))</f>
        <v>Low</v>
      </c>
      <c r="V297" s="10">
        <v>0.22500000000000001</v>
      </c>
      <c r="W297" s="10">
        <f t="shared" si="51"/>
        <v>0.22500000000000001</v>
      </c>
      <c r="X297" s="12">
        <v>13</v>
      </c>
      <c r="Y297" s="8">
        <f t="shared" si="44"/>
        <v>8326.6852500000005</v>
      </c>
      <c r="Z297" s="8">
        <f t="shared" si="45"/>
        <v>5216.9000000000005</v>
      </c>
      <c r="AA297" s="8">
        <f t="shared" si="52"/>
        <v>3109.7852499999999</v>
      </c>
      <c r="AB297" s="10">
        <f t="shared" si="53"/>
        <v>0.37347217489696755</v>
      </c>
      <c r="AC297" s="14">
        <f>_xlfn.MINIFS($C$2:$C$633, $J$2:$J$633, J297)</f>
        <v>44946</v>
      </c>
      <c r="AD297">
        <f>DATEDIF(AC297, C297, "m")</f>
        <v>14</v>
      </c>
      <c r="AE297" s="8">
        <f t="shared" si="54"/>
        <v>640.51425000000006</v>
      </c>
    </row>
    <row r="298" spans="1:31" x14ac:dyDescent="0.3">
      <c r="A298" s="4" t="s">
        <v>298</v>
      </c>
      <c r="B298" s="6">
        <v>45304</v>
      </c>
      <c r="C298" s="14">
        <v>45304</v>
      </c>
      <c r="D298" s="14" t="str">
        <f t="shared" si="46"/>
        <v>Q1 -2024</v>
      </c>
      <c r="E298" s="6">
        <v>45327</v>
      </c>
      <c r="F298" s="6">
        <f t="shared" si="47"/>
        <v>45327</v>
      </c>
      <c r="G298" s="12">
        <f t="shared" si="48"/>
        <v>23</v>
      </c>
      <c r="H298" s="12">
        <f t="shared" si="49"/>
        <v>0</v>
      </c>
      <c r="I298" s="4" t="s">
        <v>649</v>
      </c>
      <c r="J298" s="4" t="s">
        <v>656</v>
      </c>
      <c r="K298" s="4" t="s">
        <v>698</v>
      </c>
      <c r="L298" t="str">
        <f t="shared" si="50"/>
        <v>Europe&gt;Germany&gt;Frankfurt</v>
      </c>
      <c r="M298" s="4" t="s">
        <v>702</v>
      </c>
      <c r="N298" s="4" t="s">
        <v>711</v>
      </c>
      <c r="O298" s="4" t="s">
        <v>717</v>
      </c>
      <c r="P298" s="4" t="s">
        <v>731</v>
      </c>
      <c r="Q298" s="4" t="s">
        <v>1018</v>
      </c>
      <c r="R298" s="8">
        <v>1017.93</v>
      </c>
      <c r="S298" s="8">
        <v>1529.14</v>
      </c>
      <c r="T298" s="8">
        <v>1529.14</v>
      </c>
      <c r="U298" s="8" t="str">
        <f>IF(T298&lt;=_xlfn.PERCENTILE.INC($T298:$T$633,0.33), "Low", IF(T298&lt;=_xlfn.PERCENTILE.INC($T298:$T$633,0.66), "Medium", "High"))</f>
        <v>Medium</v>
      </c>
      <c r="V298" s="10">
        <v>0.155</v>
      </c>
      <c r="W298" s="10">
        <f t="shared" si="51"/>
        <v>0.155</v>
      </c>
      <c r="X298" s="12">
        <v>12</v>
      </c>
      <c r="Y298" s="8">
        <f t="shared" si="44"/>
        <v>15505.479600000001</v>
      </c>
      <c r="Z298" s="8">
        <f t="shared" si="45"/>
        <v>12215.16</v>
      </c>
      <c r="AA298" s="8">
        <f t="shared" si="52"/>
        <v>3290.3196000000007</v>
      </c>
      <c r="AB298" s="10">
        <f t="shared" si="53"/>
        <v>0.21220366508366503</v>
      </c>
      <c r="AC298" s="14">
        <f>_xlfn.MINIFS($C$2:$C$633, $J$2:$J$633, J298)</f>
        <v>44948</v>
      </c>
      <c r="AD298">
        <f>DATEDIF(AC298, C298, "m")</f>
        <v>11</v>
      </c>
      <c r="AE298" s="8">
        <f t="shared" si="54"/>
        <v>1292.1233</v>
      </c>
    </row>
    <row r="299" spans="1:31" x14ac:dyDescent="0.3">
      <c r="A299" s="4" t="s">
        <v>501</v>
      </c>
      <c r="B299" s="6">
        <v>45613</v>
      </c>
      <c r="C299" s="14">
        <v>45613</v>
      </c>
      <c r="D299" s="14" t="str">
        <f t="shared" si="46"/>
        <v>Q4 -2024</v>
      </c>
      <c r="E299" s="6">
        <v>45624</v>
      </c>
      <c r="F299" s="6">
        <f t="shared" si="47"/>
        <v>45624</v>
      </c>
      <c r="G299" s="12">
        <f t="shared" si="48"/>
        <v>11</v>
      </c>
      <c r="H299" s="12">
        <f t="shared" si="49"/>
        <v>0</v>
      </c>
      <c r="I299" s="4" t="s">
        <v>648</v>
      </c>
      <c r="J299" s="4" t="s">
        <v>653</v>
      </c>
      <c r="K299" s="4" t="s">
        <v>1422</v>
      </c>
      <c r="L299" t="str">
        <f t="shared" si="50"/>
        <v>Americas&gt;Canada&gt;Unknown</v>
      </c>
      <c r="M299" s="4" t="s">
        <v>704</v>
      </c>
      <c r="N299" s="4" t="s">
        <v>710</v>
      </c>
      <c r="O299" s="4" t="s">
        <v>720</v>
      </c>
      <c r="P299" s="4" t="s">
        <v>728</v>
      </c>
      <c r="Q299" s="4" t="s">
        <v>1220</v>
      </c>
      <c r="R299" s="8">
        <v>1008.16</v>
      </c>
      <c r="S299" s="8">
        <v>2077.5</v>
      </c>
      <c r="T299" s="8">
        <v>2077.5</v>
      </c>
      <c r="U299" s="8" t="str">
        <f>IF(T299&lt;=_xlfn.PERCENTILE.INC($T299:$T$633,0.33), "Low", IF(T299&lt;=_xlfn.PERCENTILE.INC($T299:$T$633,0.66), "Medium", "High"))</f>
        <v>High</v>
      </c>
      <c r="V299" s="10">
        <v>7.3999999999999996E-2</v>
      </c>
      <c r="W299" s="10">
        <f t="shared" si="51"/>
        <v>7.3999999999999996E-2</v>
      </c>
      <c r="X299" s="12">
        <v>15</v>
      </c>
      <c r="Y299" s="8">
        <f t="shared" si="44"/>
        <v>28856.475000000002</v>
      </c>
      <c r="Z299" s="8">
        <f t="shared" si="45"/>
        <v>15122.4</v>
      </c>
      <c r="AA299" s="8">
        <f t="shared" si="52"/>
        <v>13734.075000000003</v>
      </c>
      <c r="AB299" s="10">
        <f t="shared" si="53"/>
        <v>0.47594430712691005</v>
      </c>
      <c r="AC299" s="14">
        <f>_xlfn.MINIFS($C$2:$C$633, $J$2:$J$633, J299)</f>
        <v>44928</v>
      </c>
      <c r="AD299">
        <f>DATEDIF(AC299, C299, "m")</f>
        <v>22</v>
      </c>
      <c r="AE299" s="8">
        <f t="shared" si="54"/>
        <v>1923.7650000000001</v>
      </c>
    </row>
    <row r="300" spans="1:31" x14ac:dyDescent="0.3">
      <c r="A300" s="4" t="s">
        <v>425</v>
      </c>
      <c r="B300" s="6">
        <v>45430</v>
      </c>
      <c r="C300" s="14">
        <v>45430</v>
      </c>
      <c r="D300" s="14" t="str">
        <f t="shared" si="46"/>
        <v>Q2 -2024</v>
      </c>
      <c r="E300" s="6">
        <v>45433</v>
      </c>
      <c r="F300" s="6">
        <f t="shared" si="47"/>
        <v>45433</v>
      </c>
      <c r="G300" s="12">
        <f t="shared" si="48"/>
        <v>3</v>
      </c>
      <c r="H300" s="12">
        <f t="shared" si="49"/>
        <v>1</v>
      </c>
      <c r="I300" s="4" t="s">
        <v>649</v>
      </c>
      <c r="J300" s="4" t="s">
        <v>657</v>
      </c>
      <c r="K300" s="4" t="s">
        <v>673</v>
      </c>
      <c r="L300" t="str">
        <f t="shared" si="50"/>
        <v>Europe&gt;France&gt;Marseille</v>
      </c>
      <c r="M300" s="4" t="s">
        <v>703</v>
      </c>
      <c r="N300" s="4" t="s">
        <v>709</v>
      </c>
      <c r="O300" s="4" t="s">
        <v>726</v>
      </c>
      <c r="P300" s="4" t="s">
        <v>728</v>
      </c>
      <c r="Q300" s="4" t="s">
        <v>1144</v>
      </c>
      <c r="R300" s="8">
        <v>663.66</v>
      </c>
      <c r="S300" s="8">
        <v>824.26</v>
      </c>
      <c r="T300" s="8">
        <v>824.26</v>
      </c>
      <c r="U300" s="8" t="str">
        <f>IF(T300&lt;=_xlfn.PERCENTILE.INC($T300:$T$633,0.33), "Low", IF(T300&lt;=_xlfn.PERCENTILE.INC($T300:$T$633,0.66), "Medium", "High"))</f>
        <v>Low</v>
      </c>
      <c r="V300" s="10">
        <v>0.23899999999999999</v>
      </c>
      <c r="W300" s="10">
        <f t="shared" si="51"/>
        <v>0.23899999999999999</v>
      </c>
      <c r="X300" s="12">
        <v>11</v>
      </c>
      <c r="Y300" s="8">
        <f t="shared" si="44"/>
        <v>6899.8804600000003</v>
      </c>
      <c r="Z300" s="8">
        <f t="shared" si="45"/>
        <v>7300.2599999999993</v>
      </c>
      <c r="AA300" s="8">
        <f t="shared" si="52"/>
        <v>-400.379539999999</v>
      </c>
      <c r="AB300" s="10">
        <f t="shared" si="53"/>
        <v>-5.8027025587048933E-2</v>
      </c>
      <c r="AC300" s="14">
        <f>_xlfn.MINIFS($C$2:$C$633, $J$2:$J$633, J300)</f>
        <v>44936</v>
      </c>
      <c r="AD300">
        <f>DATEDIF(AC300, C300, "m")</f>
        <v>16</v>
      </c>
      <c r="AE300" s="8">
        <f t="shared" si="54"/>
        <v>627.26186000000007</v>
      </c>
    </row>
    <row r="301" spans="1:31" x14ac:dyDescent="0.3">
      <c r="A301" s="4" t="s">
        <v>444</v>
      </c>
      <c r="B301" s="6">
        <v>45597</v>
      </c>
      <c r="C301" s="14">
        <v>45597</v>
      </c>
      <c r="D301" s="14" t="str">
        <f t="shared" si="46"/>
        <v>Q4 -2024</v>
      </c>
      <c r="E301" s="6">
        <v>45608</v>
      </c>
      <c r="F301" s="6">
        <f t="shared" si="47"/>
        <v>45608</v>
      </c>
      <c r="G301" s="12">
        <f t="shared" si="48"/>
        <v>11</v>
      </c>
      <c r="H301" s="12">
        <f t="shared" si="49"/>
        <v>0</v>
      </c>
      <c r="I301" s="4" t="s">
        <v>649</v>
      </c>
      <c r="J301" s="4" t="s">
        <v>656</v>
      </c>
      <c r="K301" s="4" t="s">
        <v>698</v>
      </c>
      <c r="L301" t="str">
        <f t="shared" si="50"/>
        <v>Europe&gt;Germany&gt;Frankfurt</v>
      </c>
      <c r="M301" s="4" t="s">
        <v>704</v>
      </c>
      <c r="N301" s="4" t="s">
        <v>708</v>
      </c>
      <c r="O301" s="4" t="s">
        <v>717</v>
      </c>
      <c r="P301" s="4" t="s">
        <v>728</v>
      </c>
      <c r="Q301" s="4" t="s">
        <v>1163</v>
      </c>
      <c r="R301" s="8">
        <v>599.84</v>
      </c>
      <c r="S301" s="8">
        <v>1330.85</v>
      </c>
      <c r="T301" s="8">
        <v>1330.85</v>
      </c>
      <c r="U301" s="8" t="str">
        <f>IF(T301&lt;=_xlfn.PERCENTILE.INC($T301:$T$633,0.33), "Low", IF(T301&lt;=_xlfn.PERCENTILE.INC($T301:$T$633,0.66), "Medium", "High"))</f>
        <v>Medium</v>
      </c>
      <c r="V301" s="10">
        <v>0.115</v>
      </c>
      <c r="W301" s="10">
        <f t="shared" si="51"/>
        <v>0.115</v>
      </c>
      <c r="X301" s="12">
        <v>11</v>
      </c>
      <c r="Y301" s="8">
        <f t="shared" si="44"/>
        <v>12955.824749999998</v>
      </c>
      <c r="Z301" s="8">
        <f t="shared" si="45"/>
        <v>6598.2400000000007</v>
      </c>
      <c r="AA301" s="8">
        <f t="shared" si="52"/>
        <v>6357.5847499999973</v>
      </c>
      <c r="AB301" s="10">
        <f t="shared" si="53"/>
        <v>0.49071246892252063</v>
      </c>
      <c r="AC301" s="14">
        <f>_xlfn.MINIFS($C$2:$C$633, $J$2:$J$633, J301)</f>
        <v>44948</v>
      </c>
      <c r="AD301">
        <f>DATEDIF(AC301, C301, "m")</f>
        <v>21</v>
      </c>
      <c r="AE301" s="8">
        <f t="shared" si="54"/>
        <v>1177.8022499999997</v>
      </c>
    </row>
    <row r="302" spans="1:31" x14ac:dyDescent="0.3">
      <c r="A302" s="4" t="s">
        <v>499</v>
      </c>
      <c r="B302" s="6">
        <v>45634</v>
      </c>
      <c r="C302" s="14">
        <v>45634</v>
      </c>
      <c r="D302" s="14" t="str">
        <f t="shared" si="46"/>
        <v>Q4 -2024</v>
      </c>
      <c r="E302" s="6">
        <v>45634</v>
      </c>
      <c r="F302" s="6">
        <f t="shared" si="47"/>
        <v>45634</v>
      </c>
      <c r="G302" s="12">
        <f t="shared" si="48"/>
        <v>0</v>
      </c>
      <c r="H302" s="12">
        <f t="shared" si="49"/>
        <v>1</v>
      </c>
      <c r="I302" s="4" t="s">
        <v>649</v>
      </c>
      <c r="J302" s="4" t="s">
        <v>657</v>
      </c>
      <c r="K302" s="4" t="s">
        <v>679</v>
      </c>
      <c r="L302" t="str">
        <f t="shared" si="50"/>
        <v>Europe&gt;France&gt;Lyon</v>
      </c>
      <c r="M302" s="4" t="s">
        <v>706</v>
      </c>
      <c r="N302" s="4" t="s">
        <v>707</v>
      </c>
      <c r="O302" s="4" t="s">
        <v>722</v>
      </c>
      <c r="P302" s="4" t="s">
        <v>727</v>
      </c>
      <c r="Q302" s="4" t="s">
        <v>1218</v>
      </c>
      <c r="R302" s="8">
        <v>257.44</v>
      </c>
      <c r="S302" s="8">
        <v>290.33</v>
      </c>
      <c r="T302" s="8">
        <v>290.33</v>
      </c>
      <c r="U302" s="8" t="str">
        <f>IF(T302&lt;=_xlfn.PERCENTILE.INC($T302:$T$633,0.33), "Low", IF(T302&lt;=_xlfn.PERCENTILE.INC($T302:$T$633,0.66), "Medium", "High"))</f>
        <v>Low</v>
      </c>
      <c r="V302" s="10">
        <v>9.1999999999999998E-2</v>
      </c>
      <c r="W302" s="10">
        <f t="shared" si="51"/>
        <v>9.1999999999999998E-2</v>
      </c>
      <c r="X302" s="12">
        <v>23</v>
      </c>
      <c r="Y302" s="8">
        <f t="shared" si="44"/>
        <v>6063.2517199999993</v>
      </c>
      <c r="Z302" s="8">
        <f t="shared" si="45"/>
        <v>5921.12</v>
      </c>
      <c r="AA302" s="8">
        <f t="shared" si="52"/>
        <v>142.1317199999994</v>
      </c>
      <c r="AB302" s="10">
        <f t="shared" si="53"/>
        <v>2.3441500792581216E-2</v>
      </c>
      <c r="AC302" s="14">
        <f>_xlfn.MINIFS($C$2:$C$633, $J$2:$J$633, J302)</f>
        <v>44936</v>
      </c>
      <c r="AD302">
        <f>DATEDIF(AC302, C302, "m")</f>
        <v>22</v>
      </c>
      <c r="AE302" s="8">
        <f t="shared" si="54"/>
        <v>263.61963999999995</v>
      </c>
    </row>
    <row r="303" spans="1:31" x14ac:dyDescent="0.3">
      <c r="A303" s="4" t="s">
        <v>158</v>
      </c>
      <c r="B303" s="6">
        <v>45458</v>
      </c>
      <c r="C303" s="14">
        <v>45458</v>
      </c>
      <c r="D303" s="14" t="str">
        <f t="shared" si="46"/>
        <v>Q2 -2024</v>
      </c>
      <c r="E303" s="6">
        <v>45479</v>
      </c>
      <c r="F303" s="6">
        <f t="shared" si="47"/>
        <v>45479</v>
      </c>
      <c r="G303" s="12">
        <f t="shared" si="48"/>
        <v>21</v>
      </c>
      <c r="H303" s="12">
        <f t="shared" si="49"/>
        <v>0</v>
      </c>
      <c r="I303" s="4" t="s">
        <v>648</v>
      </c>
      <c r="J303" s="4" t="s">
        <v>653</v>
      </c>
      <c r="K303" s="4" t="s">
        <v>667</v>
      </c>
      <c r="L303" t="str">
        <f t="shared" si="50"/>
        <v>Americas&gt;Canada&gt;Toronto</v>
      </c>
      <c r="M303" s="4" t="s">
        <v>706</v>
      </c>
      <c r="N303" s="4" t="s">
        <v>710</v>
      </c>
      <c r="O303" s="4" t="s">
        <v>716</v>
      </c>
      <c r="P303" s="4" t="s">
        <v>728</v>
      </c>
      <c r="Q303" s="4" t="s">
        <v>877</v>
      </c>
      <c r="R303" s="8">
        <v>817.23</v>
      </c>
      <c r="S303" s="8">
        <v>1467.17</v>
      </c>
      <c r="T303" s="8">
        <v>1467.17</v>
      </c>
      <c r="U303" s="8" t="str">
        <f>IF(T303&lt;=_xlfn.PERCENTILE.INC($T303:$T$633,0.33), "Low", IF(T303&lt;=_xlfn.PERCENTILE.INC($T303:$T$633,0.66), "Medium", "High"))</f>
        <v>Medium</v>
      </c>
      <c r="V303" s="10">
        <v>0.245</v>
      </c>
      <c r="W303" s="10">
        <f t="shared" si="51"/>
        <v>0.245</v>
      </c>
      <c r="X303" s="12">
        <v>9</v>
      </c>
      <c r="Y303" s="8">
        <f t="shared" si="44"/>
        <v>9969.4201499999999</v>
      </c>
      <c r="Z303" s="8">
        <f t="shared" si="45"/>
        <v>7355.07</v>
      </c>
      <c r="AA303" s="8">
        <f t="shared" si="52"/>
        <v>2614.3501500000002</v>
      </c>
      <c r="AB303" s="10">
        <f t="shared" si="53"/>
        <v>0.26223693160328893</v>
      </c>
      <c r="AC303" s="14">
        <f>_xlfn.MINIFS($C$2:$C$633, $J$2:$J$633, J303)</f>
        <v>44928</v>
      </c>
      <c r="AD303">
        <f>DATEDIF(AC303, C303, "m")</f>
        <v>17</v>
      </c>
      <c r="AE303" s="8">
        <f t="shared" si="54"/>
        <v>1107.71335</v>
      </c>
    </row>
    <row r="304" spans="1:31" x14ac:dyDescent="0.3">
      <c r="A304" s="4" t="s">
        <v>59</v>
      </c>
      <c r="B304" s="6">
        <v>45432</v>
      </c>
      <c r="C304" s="14">
        <v>45432</v>
      </c>
      <c r="D304" s="14" t="str">
        <f t="shared" si="46"/>
        <v>Q2 -2024</v>
      </c>
      <c r="E304" s="6">
        <v>45445</v>
      </c>
      <c r="F304" s="6">
        <f t="shared" si="47"/>
        <v>45445</v>
      </c>
      <c r="G304" s="12">
        <f t="shared" si="48"/>
        <v>13</v>
      </c>
      <c r="H304" s="12">
        <f t="shared" si="49"/>
        <v>0</v>
      </c>
      <c r="I304" s="4" t="s">
        <v>648</v>
      </c>
      <c r="J304" s="4" t="s">
        <v>653</v>
      </c>
      <c r="K304" s="4" t="s">
        <v>688</v>
      </c>
      <c r="L304" t="str">
        <f t="shared" si="50"/>
        <v>Americas&gt;Canada&gt;Vancouver</v>
      </c>
      <c r="M304" s="4" t="s">
        <v>706</v>
      </c>
      <c r="N304" s="4" t="s">
        <v>709</v>
      </c>
      <c r="O304" s="4" t="s">
        <v>723</v>
      </c>
      <c r="P304" s="4" t="s">
        <v>727</v>
      </c>
      <c r="Q304" s="4" t="s">
        <v>778</v>
      </c>
      <c r="R304" s="8">
        <v>675.43</v>
      </c>
      <c r="S304" s="8">
        <v>996.36</v>
      </c>
      <c r="T304" s="8">
        <v>996.36</v>
      </c>
      <c r="U304" s="8" t="str">
        <f>IF(T304&lt;=_xlfn.PERCENTILE.INC($T304:$T$633,0.33), "Low", IF(T304&lt;=_xlfn.PERCENTILE.INC($T304:$T$633,0.66), "Medium", "High"))</f>
        <v>Medium</v>
      </c>
      <c r="V304" s="10">
        <v>0.182</v>
      </c>
      <c r="W304" s="10">
        <f t="shared" si="51"/>
        <v>0.182</v>
      </c>
      <c r="X304" s="12">
        <v>22</v>
      </c>
      <c r="Y304" s="8">
        <f t="shared" si="44"/>
        <v>17930.494560000003</v>
      </c>
      <c r="Z304" s="8">
        <f t="shared" si="45"/>
        <v>14859.46</v>
      </c>
      <c r="AA304" s="8">
        <f t="shared" si="52"/>
        <v>3071.0345600000037</v>
      </c>
      <c r="AB304" s="10">
        <f t="shared" si="53"/>
        <v>0.17127439233332575</v>
      </c>
      <c r="AC304" s="14">
        <f>_xlfn.MINIFS($C$2:$C$633, $J$2:$J$633, J304)</f>
        <v>44928</v>
      </c>
      <c r="AD304">
        <f>DATEDIF(AC304, C304, "m")</f>
        <v>16</v>
      </c>
      <c r="AE304" s="8">
        <f t="shared" si="54"/>
        <v>815.02248000000009</v>
      </c>
    </row>
    <row r="305" spans="1:31" x14ac:dyDescent="0.3">
      <c r="A305" s="4" t="s">
        <v>420</v>
      </c>
      <c r="B305" s="6">
        <v>45646</v>
      </c>
      <c r="C305" s="14">
        <v>45646</v>
      </c>
      <c r="D305" s="14" t="str">
        <f t="shared" si="46"/>
        <v>Q4 -2024</v>
      </c>
      <c r="E305" s="6">
        <v>45671</v>
      </c>
      <c r="F305" s="6">
        <f t="shared" si="47"/>
        <v>45671</v>
      </c>
      <c r="G305" s="12">
        <f t="shared" si="48"/>
        <v>25</v>
      </c>
      <c r="H305" s="12">
        <f t="shared" si="49"/>
        <v>0</v>
      </c>
      <c r="I305" s="4" t="s">
        <v>647</v>
      </c>
      <c r="J305" s="4" t="s">
        <v>654</v>
      </c>
      <c r="K305" s="4" t="s">
        <v>680</v>
      </c>
      <c r="L305" t="str">
        <f t="shared" si="50"/>
        <v>Asia&gt;India&gt;Delhi</v>
      </c>
      <c r="M305" s="4" t="s">
        <v>705</v>
      </c>
      <c r="N305" s="4" t="s">
        <v>707</v>
      </c>
      <c r="O305" s="4" t="s">
        <v>724</v>
      </c>
      <c r="P305" s="4" t="s">
        <v>728</v>
      </c>
      <c r="Q305" s="4" t="s">
        <v>1139</v>
      </c>
      <c r="R305" s="8">
        <v>1361.34</v>
      </c>
      <c r="S305" s="8">
        <v>1737.9</v>
      </c>
      <c r="T305" s="8">
        <v>1737.9</v>
      </c>
      <c r="U305" s="8" t="str">
        <f>IF(T305&lt;=_xlfn.PERCENTILE.INC($T305:$T$633,0.33), "Low", IF(T305&lt;=_xlfn.PERCENTILE.INC($T305:$T$633,0.66), "Medium", "High"))</f>
        <v>High</v>
      </c>
      <c r="V305" s="10">
        <v>7.6999999999999999E-2</v>
      </c>
      <c r="W305" s="10">
        <f t="shared" si="51"/>
        <v>7.6999999999999999E-2</v>
      </c>
      <c r="X305" s="12">
        <v>14</v>
      </c>
      <c r="Y305" s="8">
        <f t="shared" si="44"/>
        <v>22457.143800000002</v>
      </c>
      <c r="Z305" s="8">
        <f t="shared" si="45"/>
        <v>19058.759999999998</v>
      </c>
      <c r="AA305" s="8">
        <f t="shared" si="52"/>
        <v>3398.3838000000032</v>
      </c>
      <c r="AB305" s="10">
        <f t="shared" si="53"/>
        <v>0.15132751654731813</v>
      </c>
      <c r="AC305" s="14">
        <f>_xlfn.MINIFS($C$2:$C$633, $J$2:$J$633, J305)</f>
        <v>44955</v>
      </c>
      <c r="AD305">
        <f>DATEDIF(AC305, C305, "m")</f>
        <v>22</v>
      </c>
      <c r="AE305" s="8">
        <f t="shared" si="54"/>
        <v>1604.0817000000002</v>
      </c>
    </row>
    <row r="306" spans="1:31" x14ac:dyDescent="0.3">
      <c r="A306" s="4" t="s">
        <v>398</v>
      </c>
      <c r="B306" s="6">
        <v>45491</v>
      </c>
      <c r="C306" s="14">
        <v>45491</v>
      </c>
      <c r="D306" s="14" t="str">
        <f t="shared" si="46"/>
        <v>Q3 -2024</v>
      </c>
      <c r="E306" s="6">
        <v>45511</v>
      </c>
      <c r="F306" s="6">
        <f t="shared" si="47"/>
        <v>45511</v>
      </c>
      <c r="G306" s="12">
        <f t="shared" si="48"/>
        <v>20</v>
      </c>
      <c r="H306" s="12">
        <f t="shared" si="49"/>
        <v>0</v>
      </c>
      <c r="I306" s="4" t="s">
        <v>649</v>
      </c>
      <c r="J306" s="4" t="s">
        <v>657</v>
      </c>
      <c r="K306" s="4" t="s">
        <v>673</v>
      </c>
      <c r="L306" t="str">
        <f t="shared" si="50"/>
        <v>Europe&gt;France&gt;Marseille</v>
      </c>
      <c r="M306" s="4" t="s">
        <v>701</v>
      </c>
      <c r="N306" s="4" t="s">
        <v>707</v>
      </c>
      <c r="O306" s="4" t="s">
        <v>721</v>
      </c>
      <c r="P306" s="4" t="s">
        <v>732</v>
      </c>
      <c r="Q306" s="4" t="s">
        <v>1117</v>
      </c>
      <c r="R306" s="8">
        <v>941.35</v>
      </c>
      <c r="S306" s="8">
        <v>899.83</v>
      </c>
      <c r="T306" s="8">
        <v>899.83</v>
      </c>
      <c r="U306" s="8" t="str">
        <f>IF(T306&lt;=_xlfn.PERCENTILE.INC($T306:$T$633,0.33), "Low", IF(T306&lt;=_xlfn.PERCENTILE.INC($T306:$T$633,0.66), "Medium", "High"))</f>
        <v>Medium</v>
      </c>
      <c r="V306" s="10">
        <v>5.8000000000000003E-2</v>
      </c>
      <c r="W306" s="10">
        <f t="shared" si="51"/>
        <v>5.8000000000000003E-2</v>
      </c>
      <c r="X306" s="12">
        <v>18</v>
      </c>
      <c r="Y306" s="8">
        <f t="shared" si="44"/>
        <v>15257.51748</v>
      </c>
      <c r="Z306" s="8">
        <f t="shared" si="45"/>
        <v>16944.3</v>
      </c>
      <c r="AA306" s="8">
        <f t="shared" si="52"/>
        <v>-1686.7825199999988</v>
      </c>
      <c r="AB306" s="10">
        <f t="shared" si="53"/>
        <v>-0.11055419220139073</v>
      </c>
      <c r="AC306" s="14">
        <f>_xlfn.MINIFS($C$2:$C$633, $J$2:$J$633, J306)</f>
        <v>44936</v>
      </c>
      <c r="AD306">
        <f>DATEDIF(AC306, C306, "m")</f>
        <v>18</v>
      </c>
      <c r="AE306" s="8">
        <f t="shared" si="54"/>
        <v>847.63986</v>
      </c>
    </row>
    <row r="307" spans="1:31" x14ac:dyDescent="0.3">
      <c r="A307" s="4" t="s">
        <v>532</v>
      </c>
      <c r="B307" s="6">
        <v>45413</v>
      </c>
      <c r="C307" s="14">
        <v>45413</v>
      </c>
      <c r="D307" s="14" t="str">
        <f t="shared" si="46"/>
        <v>Q2 -2024</v>
      </c>
      <c r="E307" s="6">
        <v>45438</v>
      </c>
      <c r="F307" s="6">
        <f t="shared" si="47"/>
        <v>45438</v>
      </c>
      <c r="G307" s="12">
        <f t="shared" si="48"/>
        <v>25</v>
      </c>
      <c r="H307" s="12">
        <f t="shared" si="49"/>
        <v>0</v>
      </c>
      <c r="I307" s="4" t="s">
        <v>649</v>
      </c>
      <c r="J307" s="4" t="s">
        <v>656</v>
      </c>
      <c r="K307" s="4" t="s">
        <v>671</v>
      </c>
      <c r="L307" t="str">
        <f t="shared" si="50"/>
        <v>Europe&gt;Germany&gt;Berlin</v>
      </c>
      <c r="M307" s="4" t="s">
        <v>703</v>
      </c>
      <c r="N307" s="4" t="s">
        <v>707</v>
      </c>
      <c r="O307" s="4" t="s">
        <v>717</v>
      </c>
      <c r="P307" s="4" t="s">
        <v>729</v>
      </c>
      <c r="Q307" s="4" t="s">
        <v>1251</v>
      </c>
      <c r="R307" s="8">
        <v>930.71</v>
      </c>
      <c r="S307" s="8">
        <v>1625.42</v>
      </c>
      <c r="T307" s="8">
        <v>1625.42</v>
      </c>
      <c r="U307" s="8" t="str">
        <f>IF(T307&lt;=_xlfn.PERCENTILE.INC($T307:$T$633,0.33), "Low", IF(T307&lt;=_xlfn.PERCENTILE.INC($T307:$T$633,0.66), "Medium", "High"))</f>
        <v>Medium</v>
      </c>
      <c r="V307" s="10">
        <v>0.13800000000000001</v>
      </c>
      <c r="W307" s="10">
        <f t="shared" si="51"/>
        <v>0.13800000000000001</v>
      </c>
      <c r="X307" s="12">
        <v>7</v>
      </c>
      <c r="Y307" s="8">
        <f t="shared" si="44"/>
        <v>9807.7842799999999</v>
      </c>
      <c r="Z307" s="8">
        <f t="shared" si="45"/>
        <v>6514.97</v>
      </c>
      <c r="AA307" s="8">
        <f t="shared" si="52"/>
        <v>3292.8142799999996</v>
      </c>
      <c r="AB307" s="10">
        <f t="shared" si="53"/>
        <v>0.33573477821231196</v>
      </c>
      <c r="AC307" s="14">
        <f>_xlfn.MINIFS($C$2:$C$633, $J$2:$J$633, J307)</f>
        <v>44948</v>
      </c>
      <c r="AD307">
        <f>DATEDIF(AC307, C307, "m")</f>
        <v>15</v>
      </c>
      <c r="AE307" s="8">
        <f t="shared" si="54"/>
        <v>1401.11204</v>
      </c>
    </row>
    <row r="308" spans="1:31" x14ac:dyDescent="0.3">
      <c r="A308" s="4" t="s">
        <v>325</v>
      </c>
      <c r="B308" s="6">
        <v>45435</v>
      </c>
      <c r="C308" s="14">
        <v>45435</v>
      </c>
      <c r="D308" s="14" t="str">
        <f t="shared" si="46"/>
        <v>Q2 -2024</v>
      </c>
      <c r="E308" s="6">
        <v>45449</v>
      </c>
      <c r="F308" s="6">
        <f t="shared" si="47"/>
        <v>45449</v>
      </c>
      <c r="G308" s="12">
        <f t="shared" si="48"/>
        <v>14</v>
      </c>
      <c r="H308" s="12">
        <f t="shared" si="49"/>
        <v>0</v>
      </c>
      <c r="I308" s="4" t="s">
        <v>648</v>
      </c>
      <c r="J308" s="4" t="s">
        <v>655</v>
      </c>
      <c r="K308" s="4" t="s">
        <v>692</v>
      </c>
      <c r="L308" t="str">
        <f t="shared" si="50"/>
        <v>Americas&gt;Brazil&gt;Rio de Janeiro</v>
      </c>
      <c r="M308" s="4" t="s">
        <v>703</v>
      </c>
      <c r="N308" s="4" t="s">
        <v>708</v>
      </c>
      <c r="O308" s="4" t="s">
        <v>714</v>
      </c>
      <c r="P308" s="4" t="s">
        <v>729</v>
      </c>
      <c r="Q308" s="4" t="s">
        <v>1045</v>
      </c>
      <c r="R308" s="8">
        <v>51.13</v>
      </c>
      <c r="S308" s="8">
        <v>57.53</v>
      </c>
      <c r="T308" s="8">
        <v>57.53</v>
      </c>
      <c r="U308" s="8" t="str">
        <f>IF(T308&lt;=_xlfn.PERCENTILE.INC($T308:$T$633,0.33), "Low", IF(T308&lt;=_xlfn.PERCENTILE.INC($T308:$T$633,0.66), "Medium", "High"))</f>
        <v>Low</v>
      </c>
      <c r="V308" s="10">
        <v>4.4999999999999998E-2</v>
      </c>
      <c r="W308" s="10">
        <f t="shared" si="51"/>
        <v>4.4999999999999998E-2</v>
      </c>
      <c r="X308" s="12">
        <v>16</v>
      </c>
      <c r="Y308" s="8">
        <f t="shared" si="44"/>
        <v>879.05840000000001</v>
      </c>
      <c r="Z308" s="8">
        <f t="shared" si="45"/>
        <v>818.08</v>
      </c>
      <c r="AA308" s="8">
        <f t="shared" si="52"/>
        <v>60.978399999999965</v>
      </c>
      <c r="AB308" s="10">
        <f t="shared" si="53"/>
        <v>6.9367859973808302E-2</v>
      </c>
      <c r="AC308" s="14">
        <f>_xlfn.MINIFS($C$2:$C$633, $J$2:$J$633, J308)</f>
        <v>44955</v>
      </c>
      <c r="AD308">
        <f>DATEDIF(AC308, C308, "m")</f>
        <v>15</v>
      </c>
      <c r="AE308" s="8">
        <f t="shared" si="54"/>
        <v>54.94115</v>
      </c>
    </row>
    <row r="309" spans="1:31" x14ac:dyDescent="0.3">
      <c r="A309" s="4" t="s">
        <v>560</v>
      </c>
      <c r="B309" s="6">
        <v>45355</v>
      </c>
      <c r="C309" s="14">
        <v>45355</v>
      </c>
      <c r="D309" s="14" t="str">
        <f t="shared" si="46"/>
        <v>Q1 -2024</v>
      </c>
      <c r="E309" s="6">
        <v>45367</v>
      </c>
      <c r="F309" s="6">
        <f t="shared" si="47"/>
        <v>45367</v>
      </c>
      <c r="G309" s="12">
        <f t="shared" si="48"/>
        <v>12</v>
      </c>
      <c r="H309" s="12">
        <f t="shared" si="49"/>
        <v>0</v>
      </c>
      <c r="I309" s="4" t="s">
        <v>646</v>
      </c>
      <c r="J309" s="4" t="s">
        <v>661</v>
      </c>
      <c r="K309" s="4" t="s">
        <v>682</v>
      </c>
      <c r="L309" t="str">
        <f t="shared" si="50"/>
        <v>Africa&gt;South Africa&gt;Johannesburg</v>
      </c>
      <c r="M309" s="4" t="s">
        <v>706</v>
      </c>
      <c r="N309" s="4" t="s">
        <v>710</v>
      </c>
      <c r="O309" s="4" t="s">
        <v>724</v>
      </c>
      <c r="P309" s="4" t="s">
        <v>732</v>
      </c>
      <c r="Q309" s="4" t="s">
        <v>1278</v>
      </c>
      <c r="R309" s="8">
        <v>441.08</v>
      </c>
      <c r="S309" s="8">
        <v>1054.29</v>
      </c>
      <c r="T309" s="8">
        <v>1054.29</v>
      </c>
      <c r="U309" s="8" t="str">
        <f>IF(T309&lt;=_xlfn.PERCENTILE.INC($T309:$T$633,0.33), "Low", IF(T309&lt;=_xlfn.PERCENTILE.INC($T309:$T$633,0.66), "Medium", "High"))</f>
        <v>Medium</v>
      </c>
      <c r="V309" s="10">
        <v>0.23699999999999999</v>
      </c>
      <c r="W309" s="10">
        <f t="shared" si="51"/>
        <v>0.23699999999999999</v>
      </c>
      <c r="X309" s="12">
        <v>6</v>
      </c>
      <c r="Y309" s="8">
        <f t="shared" si="44"/>
        <v>4826.5396199999996</v>
      </c>
      <c r="Z309" s="8">
        <f t="shared" si="45"/>
        <v>2646.48</v>
      </c>
      <c r="AA309" s="8">
        <f t="shared" si="52"/>
        <v>2180.0596199999995</v>
      </c>
      <c r="AB309" s="10">
        <f t="shared" si="53"/>
        <v>0.45168169985932899</v>
      </c>
      <c r="AC309" s="14">
        <f>_xlfn.MINIFS($C$2:$C$633, $J$2:$J$633, J309)</f>
        <v>44933</v>
      </c>
      <c r="AD309">
        <f>DATEDIF(AC309, C309, "m")</f>
        <v>13</v>
      </c>
      <c r="AE309" s="8">
        <f t="shared" si="54"/>
        <v>804.42326999999989</v>
      </c>
    </row>
    <row r="310" spans="1:31" x14ac:dyDescent="0.3">
      <c r="A310" s="4" t="s">
        <v>246</v>
      </c>
      <c r="B310" s="6">
        <v>45538</v>
      </c>
      <c r="C310" s="14">
        <v>45538</v>
      </c>
      <c r="D310" s="14" t="str">
        <f t="shared" si="46"/>
        <v>Q3 -2024</v>
      </c>
      <c r="E310" s="6">
        <v>45543</v>
      </c>
      <c r="F310" s="6">
        <f t="shared" si="47"/>
        <v>45543</v>
      </c>
      <c r="G310" s="12">
        <f t="shared" si="48"/>
        <v>5</v>
      </c>
      <c r="H310" s="12">
        <f t="shared" si="49"/>
        <v>1</v>
      </c>
      <c r="I310" s="4" t="s">
        <v>646</v>
      </c>
      <c r="J310" s="4" t="s">
        <v>651</v>
      </c>
      <c r="K310" s="4" t="s">
        <v>665</v>
      </c>
      <c r="L310" t="str">
        <f t="shared" si="50"/>
        <v>Africa&gt;Nigeria&gt;Lagos</v>
      </c>
      <c r="M310" s="4" t="s">
        <v>705</v>
      </c>
      <c r="N310" s="4" t="s">
        <v>711</v>
      </c>
      <c r="O310" s="4" t="s">
        <v>723</v>
      </c>
      <c r="P310" s="4" t="s">
        <v>728</v>
      </c>
      <c r="Q310" s="4" t="s">
        <v>966</v>
      </c>
      <c r="R310" s="8">
        <v>197.63</v>
      </c>
      <c r="S310" s="8">
        <v>325.79000000000002</v>
      </c>
      <c r="T310" s="8">
        <v>325.79000000000002</v>
      </c>
      <c r="U310" s="8" t="str">
        <f>IF(T310&lt;=_xlfn.PERCENTILE.INC($T310:$T$633,0.33), "Low", IF(T310&lt;=_xlfn.PERCENTILE.INC($T310:$T$633,0.66), "Medium", "High"))</f>
        <v>Low</v>
      </c>
      <c r="V310" s="10">
        <v>0.11600000000000001</v>
      </c>
      <c r="W310" s="10">
        <f t="shared" si="51"/>
        <v>0.11600000000000001</v>
      </c>
      <c r="X310" s="12">
        <v>10</v>
      </c>
      <c r="Y310" s="8">
        <f t="shared" si="44"/>
        <v>2879.9836</v>
      </c>
      <c r="Z310" s="8">
        <f t="shared" si="45"/>
        <v>1976.3</v>
      </c>
      <c r="AA310" s="8">
        <f t="shared" si="52"/>
        <v>903.68360000000007</v>
      </c>
      <c r="AB310" s="10">
        <f t="shared" si="53"/>
        <v>0.31378081458519419</v>
      </c>
      <c r="AC310" s="14">
        <f>_xlfn.MINIFS($C$2:$C$633, $J$2:$J$633, J310)</f>
        <v>44941</v>
      </c>
      <c r="AD310">
        <f>DATEDIF(AC310, C310, "m")</f>
        <v>19</v>
      </c>
      <c r="AE310" s="8">
        <f t="shared" si="54"/>
        <v>287.99835999999999</v>
      </c>
    </row>
    <row r="311" spans="1:31" x14ac:dyDescent="0.3">
      <c r="A311" s="4" t="s">
        <v>328</v>
      </c>
      <c r="B311" s="6">
        <v>45451</v>
      </c>
      <c r="C311" s="14">
        <v>45451</v>
      </c>
      <c r="D311" s="14" t="str">
        <f t="shared" si="46"/>
        <v>Q2 -2024</v>
      </c>
      <c r="E311" s="6">
        <v>45467</v>
      </c>
      <c r="F311" s="6">
        <f t="shared" si="47"/>
        <v>45467</v>
      </c>
      <c r="G311" s="12">
        <f t="shared" si="48"/>
        <v>16</v>
      </c>
      <c r="H311" s="12">
        <f t="shared" si="49"/>
        <v>0</v>
      </c>
      <c r="I311" s="4" t="s">
        <v>646</v>
      </c>
      <c r="J311" s="4" t="s">
        <v>661</v>
      </c>
      <c r="K311" s="4" t="s">
        <v>687</v>
      </c>
      <c r="L311" t="str">
        <f t="shared" si="50"/>
        <v>Africa&gt;South Africa&gt;Durban</v>
      </c>
      <c r="M311" s="4" t="s">
        <v>702</v>
      </c>
      <c r="N311" s="4" t="s">
        <v>710</v>
      </c>
      <c r="O311" s="4" t="s">
        <v>722</v>
      </c>
      <c r="P311" s="4" t="s">
        <v>732</v>
      </c>
      <c r="Q311" s="4" t="s">
        <v>1048</v>
      </c>
      <c r="R311" s="8">
        <v>597.85</v>
      </c>
      <c r="S311" s="8">
        <v>741.92</v>
      </c>
      <c r="T311" s="8">
        <v>741.92</v>
      </c>
      <c r="U311" s="8" t="str">
        <f>IF(T311&lt;=_xlfn.PERCENTILE.INC($T311:$T$633,0.33), "Low", IF(T311&lt;=_xlfn.PERCENTILE.INC($T311:$T$633,0.66), "Medium", "High"))</f>
        <v>Low</v>
      </c>
      <c r="V311" s="10">
        <v>3.1E-2</v>
      </c>
      <c r="W311" s="10">
        <f t="shared" si="51"/>
        <v>3.1E-2</v>
      </c>
      <c r="X311" s="12">
        <v>7</v>
      </c>
      <c r="Y311" s="8">
        <f t="shared" si="44"/>
        <v>5032.4433599999993</v>
      </c>
      <c r="Z311" s="8">
        <f t="shared" si="45"/>
        <v>4184.95</v>
      </c>
      <c r="AA311" s="8">
        <f t="shared" si="52"/>
        <v>847.49335999999948</v>
      </c>
      <c r="AB311" s="10">
        <f t="shared" si="53"/>
        <v>0.16840594108544515</v>
      </c>
      <c r="AC311" s="14">
        <f>_xlfn.MINIFS($C$2:$C$633, $J$2:$J$633, J311)</f>
        <v>44933</v>
      </c>
      <c r="AD311">
        <f>DATEDIF(AC311, C311, "m")</f>
        <v>17</v>
      </c>
      <c r="AE311" s="8">
        <f t="shared" si="54"/>
        <v>718.92047999999988</v>
      </c>
    </row>
    <row r="312" spans="1:31" x14ac:dyDescent="0.3">
      <c r="A312" s="4" t="s">
        <v>509</v>
      </c>
      <c r="B312" s="6">
        <v>45508</v>
      </c>
      <c r="C312" s="14">
        <v>45508</v>
      </c>
      <c r="D312" s="14" t="str">
        <f t="shared" si="46"/>
        <v>Q3 -2024</v>
      </c>
      <c r="E312" s="6">
        <v>45521</v>
      </c>
      <c r="F312" s="6">
        <f t="shared" si="47"/>
        <v>45521</v>
      </c>
      <c r="G312" s="12">
        <f t="shared" si="48"/>
        <v>13</v>
      </c>
      <c r="H312" s="12">
        <f t="shared" si="49"/>
        <v>0</v>
      </c>
      <c r="I312" s="4" t="s">
        <v>648</v>
      </c>
      <c r="J312" s="4" t="s">
        <v>660</v>
      </c>
      <c r="K312" s="4" t="s">
        <v>697</v>
      </c>
      <c r="L312" t="str">
        <f t="shared" si="50"/>
        <v>Americas&gt;USA&gt;Austin</v>
      </c>
      <c r="M312" s="4" t="s">
        <v>704</v>
      </c>
      <c r="N312" s="4" t="s">
        <v>707</v>
      </c>
      <c r="O312" s="4" t="s">
        <v>726</v>
      </c>
      <c r="P312" s="4" t="s">
        <v>732</v>
      </c>
      <c r="Q312" s="4" t="s">
        <v>1228</v>
      </c>
      <c r="R312" s="8">
        <v>352.79</v>
      </c>
      <c r="S312" s="8">
        <v>754.22</v>
      </c>
      <c r="T312" s="8">
        <v>754.22</v>
      </c>
      <c r="U312" s="8" t="str">
        <f>IF(T312&lt;=_xlfn.PERCENTILE.INC($T312:$T$633,0.33), "Low", IF(T312&lt;=_xlfn.PERCENTILE.INC($T312:$T$633,0.66), "Medium", "High"))</f>
        <v>Low</v>
      </c>
      <c r="V312" s="10">
        <v>0.113</v>
      </c>
      <c r="W312" s="10">
        <f t="shared" si="51"/>
        <v>0.113</v>
      </c>
      <c r="X312" s="12">
        <v>7</v>
      </c>
      <c r="Y312" s="8">
        <f t="shared" si="44"/>
        <v>4682.9519799999998</v>
      </c>
      <c r="Z312" s="8">
        <f t="shared" si="45"/>
        <v>2469.5300000000002</v>
      </c>
      <c r="AA312" s="8">
        <f t="shared" si="52"/>
        <v>2213.4219799999996</v>
      </c>
      <c r="AB312" s="10">
        <f t="shared" si="53"/>
        <v>0.47265528014233443</v>
      </c>
      <c r="AC312" s="14">
        <f>_xlfn.MINIFS($C$2:$C$633, $J$2:$J$633, J312)</f>
        <v>44939</v>
      </c>
      <c r="AD312">
        <f>DATEDIF(AC312, C312, "m")</f>
        <v>18</v>
      </c>
      <c r="AE312" s="8">
        <f t="shared" si="54"/>
        <v>668.99313999999993</v>
      </c>
    </row>
    <row r="313" spans="1:31" x14ac:dyDescent="0.3">
      <c r="A313" s="4" t="s">
        <v>583</v>
      </c>
      <c r="B313" s="6">
        <v>45342</v>
      </c>
      <c r="C313" s="14">
        <v>45342</v>
      </c>
      <c r="D313" s="14" t="str">
        <f t="shared" si="46"/>
        <v>Q1 -2024</v>
      </c>
      <c r="E313" s="6">
        <v>45342</v>
      </c>
      <c r="F313" s="6">
        <f t="shared" si="47"/>
        <v>45342</v>
      </c>
      <c r="G313" s="12">
        <f t="shared" si="48"/>
        <v>0</v>
      </c>
      <c r="H313" s="12">
        <f t="shared" si="49"/>
        <v>1</v>
      </c>
      <c r="I313" s="4" t="s">
        <v>648</v>
      </c>
      <c r="J313" s="4" t="s">
        <v>660</v>
      </c>
      <c r="K313" s="4" t="s">
        <v>700</v>
      </c>
      <c r="L313" t="str">
        <f t="shared" si="50"/>
        <v>Americas&gt;USA&gt;New York</v>
      </c>
      <c r="M313" s="4" t="s">
        <v>706</v>
      </c>
      <c r="N313" s="4" t="s">
        <v>708</v>
      </c>
      <c r="O313" s="4" t="s">
        <v>712</v>
      </c>
      <c r="P313" s="4" t="s">
        <v>729</v>
      </c>
      <c r="Q313" s="4" t="s">
        <v>1301</v>
      </c>
      <c r="R313" s="8">
        <v>1407.05</v>
      </c>
      <c r="S313" s="8">
        <v>2858.93</v>
      </c>
      <c r="T313" s="8">
        <v>2858.93</v>
      </c>
      <c r="U313" s="8" t="str">
        <f>IF(T313&lt;=_xlfn.PERCENTILE.INC($T313:$T$633,0.33), "Low", IF(T313&lt;=_xlfn.PERCENTILE.INC($T313:$T$633,0.66), "Medium", "High"))</f>
        <v>High</v>
      </c>
      <c r="V313" s="10">
        <v>0</v>
      </c>
      <c r="W313" s="10">
        <f t="shared" si="51"/>
        <v>0</v>
      </c>
      <c r="X313" s="12">
        <v>12</v>
      </c>
      <c r="Y313" s="8">
        <f t="shared" si="44"/>
        <v>34307.159999999996</v>
      </c>
      <c r="Z313" s="8">
        <f t="shared" si="45"/>
        <v>16884.599999999999</v>
      </c>
      <c r="AA313" s="8">
        <f t="shared" si="52"/>
        <v>17422.559999999998</v>
      </c>
      <c r="AB313" s="10">
        <f t="shared" si="53"/>
        <v>0.50784034586366222</v>
      </c>
      <c r="AC313" s="14">
        <f>_xlfn.MINIFS($C$2:$C$633, $J$2:$J$633, J313)</f>
        <v>44939</v>
      </c>
      <c r="AD313">
        <f>DATEDIF(AC313, C313, "m")</f>
        <v>13</v>
      </c>
      <c r="AE313" s="8">
        <f t="shared" si="54"/>
        <v>2858.93</v>
      </c>
    </row>
    <row r="314" spans="1:31" x14ac:dyDescent="0.3">
      <c r="A314" s="4" t="s">
        <v>164</v>
      </c>
      <c r="B314" s="6">
        <v>45558</v>
      </c>
      <c r="C314" s="14">
        <v>45558</v>
      </c>
      <c r="D314" s="14" t="str">
        <f t="shared" si="46"/>
        <v>Q3 -2024</v>
      </c>
      <c r="E314" s="6">
        <v>45583</v>
      </c>
      <c r="F314" s="6">
        <f t="shared" si="47"/>
        <v>45583</v>
      </c>
      <c r="G314" s="12">
        <f t="shared" si="48"/>
        <v>25</v>
      </c>
      <c r="H314" s="12">
        <f t="shared" si="49"/>
        <v>0</v>
      </c>
      <c r="I314" s="4" t="s">
        <v>648</v>
      </c>
      <c r="J314" s="4" t="s">
        <v>653</v>
      </c>
      <c r="K314" s="4" t="s">
        <v>688</v>
      </c>
      <c r="L314" t="str">
        <f t="shared" si="50"/>
        <v>Americas&gt;Canada&gt;Vancouver</v>
      </c>
      <c r="M314" s="4" t="s">
        <v>705</v>
      </c>
      <c r="N314" s="4" t="s">
        <v>708</v>
      </c>
      <c r="O314" s="4" t="s">
        <v>725</v>
      </c>
      <c r="P314" s="4" t="s">
        <v>730</v>
      </c>
      <c r="Q314" s="4" t="s">
        <v>883</v>
      </c>
      <c r="R314" s="8">
        <v>1297</v>
      </c>
      <c r="S314" s="8">
        <v>2411.52</v>
      </c>
      <c r="T314" s="8">
        <v>2411.52</v>
      </c>
      <c r="U314" s="8" t="str">
        <f>IF(T314&lt;=_xlfn.PERCENTILE.INC($T314:$T$633,0.33), "Low", IF(T314&lt;=_xlfn.PERCENTILE.INC($T314:$T$633,0.66), "Medium", "High"))</f>
        <v>High</v>
      </c>
      <c r="V314" s="10">
        <v>2.1000000000000001E-2</v>
      </c>
      <c r="W314" s="10">
        <f t="shared" si="51"/>
        <v>2.1000000000000001E-2</v>
      </c>
      <c r="X314" s="12">
        <v>18</v>
      </c>
      <c r="Y314" s="8">
        <f t="shared" si="44"/>
        <v>42495.805439999996</v>
      </c>
      <c r="Z314" s="8">
        <f t="shared" si="45"/>
        <v>23346</v>
      </c>
      <c r="AA314" s="8">
        <f t="shared" si="52"/>
        <v>19149.805439999996</v>
      </c>
      <c r="AB314" s="10">
        <f t="shared" si="53"/>
        <v>0.45062813239385913</v>
      </c>
      <c r="AC314" s="14">
        <f>_xlfn.MINIFS($C$2:$C$633, $J$2:$J$633, J314)</f>
        <v>44928</v>
      </c>
      <c r="AD314">
        <f>DATEDIF(AC314, C314, "m")</f>
        <v>20</v>
      </c>
      <c r="AE314" s="8">
        <f t="shared" si="54"/>
        <v>2360.87808</v>
      </c>
    </row>
    <row r="315" spans="1:31" x14ac:dyDescent="0.3">
      <c r="A315" s="4" t="s">
        <v>609</v>
      </c>
      <c r="B315" s="6">
        <v>45473</v>
      </c>
      <c r="C315" s="14">
        <v>45473</v>
      </c>
      <c r="D315" s="14" t="str">
        <f t="shared" si="46"/>
        <v>Q2 -2024</v>
      </c>
      <c r="E315" s="6">
        <v>45494</v>
      </c>
      <c r="F315" s="6">
        <f t="shared" si="47"/>
        <v>45494</v>
      </c>
      <c r="G315" s="12">
        <f t="shared" si="48"/>
        <v>21</v>
      </c>
      <c r="H315" s="12">
        <f t="shared" si="49"/>
        <v>0</v>
      </c>
      <c r="I315" s="4" t="s">
        <v>646</v>
      </c>
      <c r="J315" s="4" t="s">
        <v>650</v>
      </c>
      <c r="K315" s="4" t="s">
        <v>662</v>
      </c>
      <c r="L315" t="str">
        <f t="shared" si="50"/>
        <v>Africa&gt;Kenya&gt;Kisumu</v>
      </c>
      <c r="M315" s="4" t="s">
        <v>705</v>
      </c>
      <c r="N315" s="4" t="s">
        <v>707</v>
      </c>
      <c r="O315" s="4" t="s">
        <v>723</v>
      </c>
      <c r="P315" s="4" t="s">
        <v>731</v>
      </c>
      <c r="Q315" s="4" t="s">
        <v>1327</v>
      </c>
      <c r="R315" s="8">
        <v>753.43</v>
      </c>
      <c r="S315" s="8">
        <v>1787.2</v>
      </c>
      <c r="T315" s="8">
        <v>1787.2</v>
      </c>
      <c r="U315" s="8" t="str">
        <f>IF(T315&lt;=_xlfn.PERCENTILE.INC($T315:$T$633,0.33), "Low", IF(T315&lt;=_xlfn.PERCENTILE.INC($T315:$T$633,0.66), "Medium", "High"))</f>
        <v>High</v>
      </c>
      <c r="V315" s="10">
        <v>7.2999999999999995E-2</v>
      </c>
      <c r="W315" s="10">
        <f t="shared" si="51"/>
        <v>7.2999999999999995E-2</v>
      </c>
      <c r="X315" s="12">
        <v>9</v>
      </c>
      <c r="Y315" s="8">
        <f t="shared" si="44"/>
        <v>14910.609600000002</v>
      </c>
      <c r="Z315" s="8">
        <f t="shared" si="45"/>
        <v>6780.87</v>
      </c>
      <c r="AA315" s="8">
        <f t="shared" si="52"/>
        <v>8129.7396000000017</v>
      </c>
      <c r="AB315" s="10">
        <f t="shared" si="53"/>
        <v>0.54523187301476939</v>
      </c>
      <c r="AC315" s="14">
        <f>_xlfn.MINIFS($C$2:$C$633, $J$2:$J$633, J315)</f>
        <v>44946</v>
      </c>
      <c r="AD315">
        <f>DATEDIF(AC315, C315, "m")</f>
        <v>17</v>
      </c>
      <c r="AE315" s="8">
        <f t="shared" si="54"/>
        <v>1656.7344000000003</v>
      </c>
    </row>
    <row r="316" spans="1:31" x14ac:dyDescent="0.3">
      <c r="A316" s="4" t="s">
        <v>209</v>
      </c>
      <c r="B316" s="6">
        <v>45557</v>
      </c>
      <c r="C316" s="14">
        <v>45557</v>
      </c>
      <c r="D316" s="14" t="str">
        <f t="shared" si="46"/>
        <v>Q3 -2024</v>
      </c>
      <c r="E316" s="6">
        <v>45566</v>
      </c>
      <c r="F316" s="6">
        <f t="shared" si="47"/>
        <v>45566</v>
      </c>
      <c r="G316" s="12">
        <f t="shared" si="48"/>
        <v>9</v>
      </c>
      <c r="H316" s="12">
        <f t="shared" si="49"/>
        <v>0</v>
      </c>
      <c r="I316" s="4" t="s">
        <v>648</v>
      </c>
      <c r="J316" s="4" t="s">
        <v>655</v>
      </c>
      <c r="K316" s="4" t="s">
        <v>670</v>
      </c>
      <c r="L316" t="str">
        <f t="shared" si="50"/>
        <v>Americas&gt;Brazil&gt;São Paulo</v>
      </c>
      <c r="M316" s="4" t="s">
        <v>703</v>
      </c>
      <c r="N316" s="4" t="s">
        <v>708</v>
      </c>
      <c r="O316" s="4" t="s">
        <v>723</v>
      </c>
      <c r="P316" s="4" t="s">
        <v>732</v>
      </c>
      <c r="Q316" s="4" t="s">
        <v>929</v>
      </c>
      <c r="R316" s="8">
        <v>1378.8</v>
      </c>
      <c r="S316" s="8">
        <v>1952.04</v>
      </c>
      <c r="T316" s="8">
        <v>1952.04</v>
      </c>
      <c r="U316" s="8" t="str">
        <f>IF(T316&lt;=_xlfn.PERCENTILE.INC($T316:$T$633,0.33), "Low", IF(T316&lt;=_xlfn.PERCENTILE.INC($T316:$T$633,0.66), "Medium", "High"))</f>
        <v>High</v>
      </c>
      <c r="V316" s="10">
        <v>0.159</v>
      </c>
      <c r="W316" s="10">
        <f t="shared" si="51"/>
        <v>0.159</v>
      </c>
      <c r="X316" s="12">
        <v>19</v>
      </c>
      <c r="Y316" s="8">
        <f t="shared" si="44"/>
        <v>31191.64716</v>
      </c>
      <c r="Z316" s="8">
        <f t="shared" si="45"/>
        <v>26197.200000000001</v>
      </c>
      <c r="AA316" s="8">
        <f t="shared" si="52"/>
        <v>4994.4471599999997</v>
      </c>
      <c r="AB316" s="10">
        <f t="shared" si="53"/>
        <v>0.16012130216723058</v>
      </c>
      <c r="AC316" s="14">
        <f>_xlfn.MINIFS($C$2:$C$633, $J$2:$J$633, J316)</f>
        <v>44955</v>
      </c>
      <c r="AD316">
        <f>DATEDIF(AC316, C316, "m")</f>
        <v>19</v>
      </c>
      <c r="AE316" s="8">
        <f t="shared" si="54"/>
        <v>1641.6656399999999</v>
      </c>
    </row>
    <row r="317" spans="1:31" x14ac:dyDescent="0.3">
      <c r="A317" s="4" t="s">
        <v>455</v>
      </c>
      <c r="B317" s="6">
        <v>45374</v>
      </c>
      <c r="C317" s="14">
        <v>45374</v>
      </c>
      <c r="D317" s="14" t="str">
        <f t="shared" si="46"/>
        <v>Q1 -2024</v>
      </c>
      <c r="E317" s="6">
        <v>45377</v>
      </c>
      <c r="F317" s="6">
        <f t="shared" si="47"/>
        <v>45377</v>
      </c>
      <c r="G317" s="12">
        <f t="shared" si="48"/>
        <v>3</v>
      </c>
      <c r="H317" s="12">
        <f t="shared" si="49"/>
        <v>1</v>
      </c>
      <c r="I317" s="4" t="s">
        <v>647</v>
      </c>
      <c r="J317" s="4" t="s">
        <v>654</v>
      </c>
      <c r="K317" s="4" t="s">
        <v>668</v>
      </c>
      <c r="L317" t="str">
        <f t="shared" si="50"/>
        <v>Asia&gt;India&gt;Bengaluru</v>
      </c>
      <c r="M317" s="4" t="s">
        <v>702</v>
      </c>
      <c r="N317" s="4" t="s">
        <v>711</v>
      </c>
      <c r="O317" s="4" t="s">
        <v>715</v>
      </c>
      <c r="P317" s="4" t="s">
        <v>730</v>
      </c>
      <c r="Q317" s="4" t="s">
        <v>1174</v>
      </c>
      <c r="R317" s="8">
        <v>382.21</v>
      </c>
      <c r="S317" s="8">
        <v>571.89</v>
      </c>
      <c r="T317" s="8">
        <v>571.89</v>
      </c>
      <c r="U317" s="8" t="str">
        <f>IF(T317&lt;=_xlfn.PERCENTILE.INC($T317:$T$633,0.33), "Low", IF(T317&lt;=_xlfn.PERCENTILE.INC($T317:$T$633,0.66), "Medium", "High"))</f>
        <v>Low</v>
      </c>
      <c r="V317" s="10">
        <v>0.14799999999999999</v>
      </c>
      <c r="W317" s="10">
        <f t="shared" si="51"/>
        <v>0.14799999999999999</v>
      </c>
      <c r="X317" s="12">
        <v>26</v>
      </c>
      <c r="Y317" s="8">
        <f t="shared" si="44"/>
        <v>12668.50728</v>
      </c>
      <c r="Z317" s="8">
        <f t="shared" si="45"/>
        <v>9937.4599999999991</v>
      </c>
      <c r="AA317" s="8">
        <f t="shared" si="52"/>
        <v>2731.0472800000007</v>
      </c>
      <c r="AB317" s="10">
        <f t="shared" si="53"/>
        <v>0.2155776698578809</v>
      </c>
      <c r="AC317" s="14">
        <f>_xlfn.MINIFS($C$2:$C$633, $J$2:$J$633, J317)</f>
        <v>44955</v>
      </c>
      <c r="AD317">
        <f>DATEDIF(AC317, C317, "m")</f>
        <v>13</v>
      </c>
      <c r="AE317" s="8">
        <f t="shared" si="54"/>
        <v>487.25027999999998</v>
      </c>
    </row>
    <row r="318" spans="1:31" x14ac:dyDescent="0.3">
      <c r="A318" s="4" t="s">
        <v>91</v>
      </c>
      <c r="B318" s="6">
        <v>45532</v>
      </c>
      <c r="C318" s="14">
        <v>45532</v>
      </c>
      <c r="D318" s="14" t="str">
        <f t="shared" si="46"/>
        <v>Q3 -2024</v>
      </c>
      <c r="E318" s="6">
        <v>45560</v>
      </c>
      <c r="F318" s="6">
        <f t="shared" si="47"/>
        <v>45560</v>
      </c>
      <c r="G318" s="12">
        <f t="shared" si="48"/>
        <v>28</v>
      </c>
      <c r="H318" s="12">
        <f t="shared" si="49"/>
        <v>0</v>
      </c>
      <c r="I318" s="4" t="s">
        <v>648</v>
      </c>
      <c r="J318" s="4" t="s">
        <v>655</v>
      </c>
      <c r="K318" s="4" t="s">
        <v>692</v>
      </c>
      <c r="L318" t="str">
        <f t="shared" si="50"/>
        <v>Americas&gt;Brazil&gt;Rio de Janeiro</v>
      </c>
      <c r="M318" s="4" t="s">
        <v>703</v>
      </c>
      <c r="N318" s="4" t="s">
        <v>708</v>
      </c>
      <c r="O318" s="4" t="s">
        <v>1424</v>
      </c>
      <c r="P318" s="4" t="s">
        <v>733</v>
      </c>
      <c r="Q318" s="4" t="s">
        <v>810</v>
      </c>
      <c r="R318" s="8">
        <v>1394.65</v>
      </c>
      <c r="S318" s="8">
        <v>3144.1</v>
      </c>
      <c r="T318" s="8">
        <v>3144.1</v>
      </c>
      <c r="U318" s="8" t="str">
        <f>IF(T318&lt;=_xlfn.PERCENTILE.INC($T318:$T$633,0.33), "Low", IF(T318&lt;=_xlfn.PERCENTILE.INC($T318:$T$633,0.66), "Medium", "High"))</f>
        <v>High</v>
      </c>
      <c r="V318" s="10">
        <v>0.13400000000000001</v>
      </c>
      <c r="W318" s="10">
        <f t="shared" si="51"/>
        <v>0.13400000000000001</v>
      </c>
      <c r="X318" s="12">
        <v>13</v>
      </c>
      <c r="Y318" s="8">
        <f t="shared" si="44"/>
        <v>35396.277799999996</v>
      </c>
      <c r="Z318" s="8">
        <f t="shared" si="45"/>
        <v>18130.45</v>
      </c>
      <c r="AA318" s="8">
        <f t="shared" si="52"/>
        <v>17265.827799999995</v>
      </c>
      <c r="AB318" s="10">
        <f t="shared" si="53"/>
        <v>0.4877865378263021</v>
      </c>
      <c r="AC318" s="14">
        <f>_xlfn.MINIFS($C$2:$C$633, $J$2:$J$633, J318)</f>
        <v>44955</v>
      </c>
      <c r="AD318">
        <f>DATEDIF(AC318, C318, "m")</f>
        <v>18</v>
      </c>
      <c r="AE318" s="8">
        <f t="shared" si="54"/>
        <v>2722.7905999999998</v>
      </c>
    </row>
    <row r="319" spans="1:31" x14ac:dyDescent="0.3">
      <c r="A319" s="4" t="s">
        <v>92</v>
      </c>
      <c r="B319" s="6">
        <v>45473</v>
      </c>
      <c r="C319" s="14">
        <v>45473</v>
      </c>
      <c r="D319" s="14" t="str">
        <f t="shared" si="46"/>
        <v>Q2 -2024</v>
      </c>
      <c r="E319" s="6">
        <v>45471</v>
      </c>
      <c r="F319" s="6">
        <f t="shared" si="47"/>
        <v>45478</v>
      </c>
      <c r="G319" s="12">
        <f t="shared" si="48"/>
        <v>5</v>
      </c>
      <c r="H319" s="12">
        <f t="shared" si="49"/>
        <v>1</v>
      </c>
      <c r="I319" s="4" t="s">
        <v>648</v>
      </c>
      <c r="J319" s="4" t="s">
        <v>655</v>
      </c>
      <c r="K319" s="4" t="s">
        <v>692</v>
      </c>
      <c r="L319" t="str">
        <f t="shared" si="50"/>
        <v>Americas&gt;Brazil&gt;Rio de Janeiro</v>
      </c>
      <c r="M319" s="4" t="s">
        <v>705</v>
      </c>
      <c r="N319" s="4" t="s">
        <v>711</v>
      </c>
      <c r="O319" s="4" t="s">
        <v>716</v>
      </c>
      <c r="P319" s="4" t="s">
        <v>733</v>
      </c>
      <c r="Q319" s="4" t="s">
        <v>811</v>
      </c>
      <c r="R319" s="8">
        <v>1112.98</v>
      </c>
      <c r="S319" s="8">
        <v>2095.73</v>
      </c>
      <c r="T319" s="8">
        <v>2095.73</v>
      </c>
      <c r="U319" s="8" t="str">
        <f>IF(T319&lt;=_xlfn.PERCENTILE.INC($T319:$T$633,0.33), "Low", IF(T319&lt;=_xlfn.PERCENTILE.INC($T319:$T$633,0.66), "Medium", "High"))</f>
        <v>High</v>
      </c>
      <c r="V319" s="10">
        <v>7.1999999999999995E-2</v>
      </c>
      <c r="W319" s="10">
        <f t="shared" si="51"/>
        <v>7.1999999999999995E-2</v>
      </c>
      <c r="X319" s="12">
        <v>17</v>
      </c>
      <c r="Y319" s="8">
        <f t="shared" si="44"/>
        <v>33062.236480000007</v>
      </c>
      <c r="Z319" s="8">
        <f t="shared" si="45"/>
        <v>18920.66</v>
      </c>
      <c r="AA319" s="8">
        <f t="shared" si="52"/>
        <v>14141.576480000007</v>
      </c>
      <c r="AB319" s="10">
        <f t="shared" si="53"/>
        <v>0.42772594916724777</v>
      </c>
      <c r="AC319" s="14">
        <f>_xlfn.MINIFS($C$2:$C$633, $J$2:$J$633, J319)</f>
        <v>44955</v>
      </c>
      <c r="AD319">
        <f>DATEDIF(AC319, C319, "m")</f>
        <v>17</v>
      </c>
      <c r="AE319" s="8">
        <f t="shared" si="54"/>
        <v>1944.8374400000005</v>
      </c>
    </row>
    <row r="320" spans="1:31" x14ac:dyDescent="0.3">
      <c r="A320" s="4" t="s">
        <v>428</v>
      </c>
      <c r="B320" s="6">
        <v>45449</v>
      </c>
      <c r="C320" s="14">
        <v>45449</v>
      </c>
      <c r="D320" s="14" t="str">
        <f t="shared" si="46"/>
        <v>Q2 -2024</v>
      </c>
      <c r="E320" s="6">
        <v>45467</v>
      </c>
      <c r="F320" s="6">
        <f t="shared" si="47"/>
        <v>45467</v>
      </c>
      <c r="G320" s="12">
        <f t="shared" si="48"/>
        <v>18</v>
      </c>
      <c r="H320" s="12">
        <f t="shared" si="49"/>
        <v>0</v>
      </c>
      <c r="I320" s="4" t="s">
        <v>647</v>
      </c>
      <c r="J320" s="4" t="s">
        <v>654</v>
      </c>
      <c r="K320" s="4" t="s">
        <v>668</v>
      </c>
      <c r="L320" t="str">
        <f t="shared" si="50"/>
        <v>Asia&gt;India&gt;Bengaluru</v>
      </c>
      <c r="M320" s="4" t="s">
        <v>705</v>
      </c>
      <c r="N320" s="4" t="s">
        <v>711</v>
      </c>
      <c r="O320" s="4" t="s">
        <v>722</v>
      </c>
      <c r="P320" s="4" t="s">
        <v>729</v>
      </c>
      <c r="Q320" s="4" t="s">
        <v>1147</v>
      </c>
      <c r="R320" s="8">
        <v>1253.25</v>
      </c>
      <c r="S320" s="8">
        <v>3087.13</v>
      </c>
      <c r="T320" s="8">
        <v>3087.13</v>
      </c>
      <c r="U320" s="8" t="str">
        <f>IF(T320&lt;=_xlfn.PERCENTILE.INC($T320:$T$633,0.33), "Low", IF(T320&lt;=_xlfn.PERCENTILE.INC($T320:$T$633,0.66), "Medium", "High"))</f>
        <v>High</v>
      </c>
      <c r="V320" s="10">
        <v>7.1999999999999995E-2</v>
      </c>
      <c r="W320" s="10">
        <f t="shared" si="51"/>
        <v>7.1999999999999995E-2</v>
      </c>
      <c r="X320" s="12">
        <v>11</v>
      </c>
      <c r="Y320" s="8">
        <f t="shared" si="44"/>
        <v>31513.423040000001</v>
      </c>
      <c r="Z320" s="8">
        <f t="shared" si="45"/>
        <v>13785.75</v>
      </c>
      <c r="AA320" s="8">
        <f t="shared" si="52"/>
        <v>17727.673040000001</v>
      </c>
      <c r="AB320" s="10">
        <f t="shared" si="53"/>
        <v>0.562543555408064</v>
      </c>
      <c r="AC320" s="14">
        <f>_xlfn.MINIFS($C$2:$C$633, $J$2:$J$633, J320)</f>
        <v>44955</v>
      </c>
      <c r="AD320">
        <f>DATEDIF(AC320, C320, "m")</f>
        <v>16</v>
      </c>
      <c r="AE320" s="8">
        <f t="shared" si="54"/>
        <v>2864.85664</v>
      </c>
    </row>
    <row r="321" spans="1:31" x14ac:dyDescent="0.3">
      <c r="A321" s="4" t="s">
        <v>65</v>
      </c>
      <c r="B321" s="6">
        <v>45602</v>
      </c>
      <c r="C321" s="14">
        <v>45602</v>
      </c>
      <c r="D321" s="14" t="str">
        <f t="shared" si="46"/>
        <v>Q4 -2024</v>
      </c>
      <c r="E321" s="6">
        <v>45618</v>
      </c>
      <c r="F321" s="6">
        <f t="shared" si="47"/>
        <v>45618</v>
      </c>
      <c r="G321" s="12">
        <f t="shared" si="48"/>
        <v>16</v>
      </c>
      <c r="H321" s="12">
        <f t="shared" si="49"/>
        <v>0</v>
      </c>
      <c r="I321" s="4" t="s">
        <v>648</v>
      </c>
      <c r="J321" s="4" t="s">
        <v>653</v>
      </c>
      <c r="K321" s="4" t="s">
        <v>667</v>
      </c>
      <c r="L321" t="str">
        <f t="shared" si="50"/>
        <v>Americas&gt;Canada&gt;Toronto</v>
      </c>
      <c r="M321" s="4" t="s">
        <v>703</v>
      </c>
      <c r="N321" s="4" t="s">
        <v>710</v>
      </c>
      <c r="O321" s="4" t="s">
        <v>726</v>
      </c>
      <c r="P321" s="4" t="s">
        <v>733</v>
      </c>
      <c r="Q321" s="4" t="s">
        <v>784</v>
      </c>
      <c r="R321" s="8">
        <v>1454.11</v>
      </c>
      <c r="S321" s="8">
        <v>2629.75</v>
      </c>
      <c r="T321" s="8">
        <v>2629.75</v>
      </c>
      <c r="U321" s="8" t="str">
        <f>IF(T321&lt;=_xlfn.PERCENTILE.INC($T321:$T$633,0.33), "Low", IF(T321&lt;=_xlfn.PERCENTILE.INC($T321:$T$633,0.66), "Medium", "High"))</f>
        <v>High</v>
      </c>
      <c r="V321" s="10">
        <v>0.29199999999999998</v>
      </c>
      <c r="W321" s="10">
        <f t="shared" si="51"/>
        <v>0.29199999999999998</v>
      </c>
      <c r="X321" s="12">
        <v>8</v>
      </c>
      <c r="Y321" s="8">
        <f t="shared" si="44"/>
        <v>14894.903999999999</v>
      </c>
      <c r="Z321" s="8">
        <f t="shared" si="45"/>
        <v>11632.88</v>
      </c>
      <c r="AA321" s="8">
        <f t="shared" si="52"/>
        <v>3262.0239999999994</v>
      </c>
      <c r="AB321" s="10">
        <f t="shared" si="53"/>
        <v>0.21900268709351867</v>
      </c>
      <c r="AC321" s="14">
        <f>_xlfn.MINIFS($C$2:$C$633, $J$2:$J$633, J321)</f>
        <v>44928</v>
      </c>
      <c r="AD321">
        <f>DATEDIF(AC321, C321, "m")</f>
        <v>22</v>
      </c>
      <c r="AE321" s="8">
        <f t="shared" si="54"/>
        <v>1861.8629999999998</v>
      </c>
    </row>
    <row r="322" spans="1:31" x14ac:dyDescent="0.3">
      <c r="A322" s="4" t="s">
        <v>536</v>
      </c>
      <c r="B322" s="6">
        <v>45482</v>
      </c>
      <c r="C322" s="14">
        <v>45482</v>
      </c>
      <c r="D322" s="14" t="str">
        <f t="shared" si="46"/>
        <v>Q3 -2024</v>
      </c>
      <c r="E322" s="6">
        <v>45485</v>
      </c>
      <c r="F322" s="6">
        <f t="shared" si="47"/>
        <v>45485</v>
      </c>
      <c r="G322" s="12">
        <f t="shared" si="48"/>
        <v>3</v>
      </c>
      <c r="H322" s="12">
        <f t="shared" si="49"/>
        <v>1</v>
      </c>
      <c r="I322" s="4" t="s">
        <v>647</v>
      </c>
      <c r="J322" s="4" t="s">
        <v>659</v>
      </c>
      <c r="K322" s="4" t="s">
        <v>685</v>
      </c>
      <c r="L322" t="str">
        <f t="shared" si="50"/>
        <v>Asia&gt;China&gt;Shanghai</v>
      </c>
      <c r="M322" s="4" t="s">
        <v>705</v>
      </c>
      <c r="N322" s="4" t="s">
        <v>707</v>
      </c>
      <c r="O322" s="4" t="s">
        <v>726</v>
      </c>
      <c r="P322" s="4" t="s">
        <v>733</v>
      </c>
      <c r="Q322" s="4" t="s">
        <v>1255</v>
      </c>
      <c r="R322" s="8">
        <v>748.39</v>
      </c>
      <c r="S322" s="8">
        <v>979.42</v>
      </c>
      <c r="T322" s="8">
        <v>979.42</v>
      </c>
      <c r="U322" s="8" t="str">
        <f>IF(T322&lt;=_xlfn.PERCENTILE.INC($T322:$T$633,0.33), "Low", IF(T322&lt;=_xlfn.PERCENTILE.INC($T322:$T$633,0.66), "Medium", "High"))</f>
        <v>Medium</v>
      </c>
      <c r="V322" s="10">
        <v>0</v>
      </c>
      <c r="W322" s="10">
        <f t="shared" si="51"/>
        <v>0</v>
      </c>
      <c r="X322" s="12">
        <v>23</v>
      </c>
      <c r="Y322" s="8">
        <f t="shared" ref="Y322:Y385" si="55">(T322*X322*(1-W322))</f>
        <v>22526.66</v>
      </c>
      <c r="Z322" s="8">
        <f t="shared" ref="Z322:Z385" si="56">R322*X322</f>
        <v>17212.97</v>
      </c>
      <c r="AA322" s="8">
        <f t="shared" si="52"/>
        <v>5313.6899999999987</v>
      </c>
      <c r="AB322" s="10">
        <f t="shared" si="53"/>
        <v>0.23588450307324738</v>
      </c>
      <c r="AC322" s="14">
        <f>_xlfn.MINIFS($C$2:$C$633, $J$2:$J$633, J322)</f>
        <v>44938</v>
      </c>
      <c r="AD322">
        <f>DATEDIF(AC322, C322, "m")</f>
        <v>17</v>
      </c>
      <c r="AE322" s="8">
        <f t="shared" si="54"/>
        <v>979.42</v>
      </c>
    </row>
    <row r="323" spans="1:31" x14ac:dyDescent="0.3">
      <c r="A323" s="4" t="s">
        <v>438</v>
      </c>
      <c r="B323" s="6">
        <v>45341</v>
      </c>
      <c r="C323" s="14">
        <v>45341</v>
      </c>
      <c r="D323" s="14" t="str">
        <f t="shared" ref="D323:D386" si="57">IF(MONTH(C323) &lt;=3, "Q1", IF(MONTH(C323)&lt;=6, "Q2", IF(MONTH(C323)&lt;=9, "Q3", "Q4")))&amp; " -" &amp; YEAR(C323)</f>
        <v>Q1 -2024</v>
      </c>
      <c r="E323" s="6">
        <v>45357</v>
      </c>
      <c r="F323" s="6">
        <f t="shared" ref="F323:F386" si="58">IF(E323&lt;B323, E323 + 7, E323)</f>
        <v>45357</v>
      </c>
      <c r="G323" s="12">
        <f t="shared" ref="G323:G386" si="59">DATEDIF(B323, F323,"D")</f>
        <v>16</v>
      </c>
      <c r="H323" s="12">
        <f t="shared" ref="H323:H386" si="60">IF(G323&lt;=7,1,0)</f>
        <v>0</v>
      </c>
      <c r="I323" s="4" t="s">
        <v>647</v>
      </c>
      <c r="J323" s="4" t="s">
        <v>659</v>
      </c>
      <c r="K323" s="4" t="s">
        <v>699</v>
      </c>
      <c r="L323" t="str">
        <f t="shared" ref="L323:L386" si="61">I323&amp;"&gt;"&amp;J323 &amp;"&gt;"&amp;K323</f>
        <v>Asia&gt;China&gt;Beijing</v>
      </c>
      <c r="M323" s="4" t="s">
        <v>702</v>
      </c>
      <c r="N323" s="4" t="s">
        <v>709</v>
      </c>
      <c r="O323" s="4" t="s">
        <v>719</v>
      </c>
      <c r="P323" s="4" t="s">
        <v>728</v>
      </c>
      <c r="Q323" s="4" t="s">
        <v>1157</v>
      </c>
      <c r="R323" s="8">
        <v>1477.84</v>
      </c>
      <c r="S323" s="8">
        <v>3197.47</v>
      </c>
      <c r="T323" s="8">
        <v>3197.47</v>
      </c>
      <c r="U323" s="8" t="str">
        <f>IF(T323&lt;=_xlfn.PERCENTILE.INC($T323:$T$633,0.33), "Low", IF(T323&lt;=_xlfn.PERCENTILE.INC($T323:$T$633,0.66), "Medium", "High"))</f>
        <v>High</v>
      </c>
      <c r="V323" s="10">
        <v>0.24299999999999999</v>
      </c>
      <c r="W323" s="10">
        <f t="shared" ref="W323:W386" si="62">IF(V323&gt;0.3,0.3,V323)</f>
        <v>0.24299999999999999</v>
      </c>
      <c r="X323" s="12">
        <v>24</v>
      </c>
      <c r="Y323" s="8">
        <f t="shared" si="55"/>
        <v>58091.634960000003</v>
      </c>
      <c r="Z323" s="8">
        <f t="shared" si="56"/>
        <v>35468.159999999996</v>
      </c>
      <c r="AA323" s="8">
        <f t="shared" ref="AA323:AA386" si="63">Y323-Z323</f>
        <v>22623.474960000007</v>
      </c>
      <c r="AB323" s="10">
        <f t="shared" ref="AB323:AB386" si="64">IF(Y323 = 0, 0, AA323/Y323)</f>
        <v>0.38944462443823091</v>
      </c>
      <c r="AC323" s="14">
        <f>_xlfn.MINIFS($C$2:$C$633, $J$2:$J$633, J323)</f>
        <v>44938</v>
      </c>
      <c r="AD323">
        <f>DATEDIF(AC323, C323, "m")</f>
        <v>13</v>
      </c>
      <c r="AE323" s="8">
        <f t="shared" ref="AE323:AE386" si="65">(Y323/X323)</f>
        <v>2420.48479</v>
      </c>
    </row>
    <row r="324" spans="1:31" x14ac:dyDescent="0.3">
      <c r="A324" s="4" t="s">
        <v>132</v>
      </c>
      <c r="B324" s="6">
        <v>45653</v>
      </c>
      <c r="C324" s="14">
        <v>45653</v>
      </c>
      <c r="D324" s="14" t="str">
        <f t="shared" si="57"/>
        <v>Q4 -2024</v>
      </c>
      <c r="E324" s="6">
        <v>45659</v>
      </c>
      <c r="F324" s="6">
        <f t="shared" si="58"/>
        <v>45659</v>
      </c>
      <c r="G324" s="12">
        <f t="shared" si="59"/>
        <v>6</v>
      </c>
      <c r="H324" s="12">
        <f t="shared" si="60"/>
        <v>1</v>
      </c>
      <c r="I324" s="4" t="s">
        <v>649</v>
      </c>
      <c r="J324" s="4" t="s">
        <v>656</v>
      </c>
      <c r="K324" s="4" t="s">
        <v>698</v>
      </c>
      <c r="L324" t="str">
        <f t="shared" si="61"/>
        <v>Europe&gt;Germany&gt;Frankfurt</v>
      </c>
      <c r="M324" s="4" t="s">
        <v>702</v>
      </c>
      <c r="N324" s="4" t="s">
        <v>711</v>
      </c>
      <c r="O324" s="4" t="s">
        <v>721</v>
      </c>
      <c r="P324" s="4" t="s">
        <v>731</v>
      </c>
      <c r="Q324" s="4" t="s">
        <v>851</v>
      </c>
      <c r="R324" s="8">
        <v>1391.99</v>
      </c>
      <c r="S324" s="8">
        <v>3469.7</v>
      </c>
      <c r="T324" s="8">
        <v>3469.7</v>
      </c>
      <c r="U324" s="8" t="str">
        <f>IF(T324&lt;=_xlfn.PERCENTILE.INC($T324:$T$633,0.33), "Low", IF(T324&lt;=_xlfn.PERCENTILE.INC($T324:$T$633,0.66), "Medium", "High"))</f>
        <v>High</v>
      </c>
      <c r="V324" s="10">
        <v>0.184</v>
      </c>
      <c r="W324" s="10">
        <f t="shared" si="62"/>
        <v>0.184</v>
      </c>
      <c r="X324" s="12">
        <v>23</v>
      </c>
      <c r="Y324" s="8">
        <f t="shared" si="55"/>
        <v>65119.329599999997</v>
      </c>
      <c r="Z324" s="8">
        <f t="shared" si="56"/>
        <v>32015.77</v>
      </c>
      <c r="AA324" s="8">
        <f t="shared" si="63"/>
        <v>33103.559599999993</v>
      </c>
      <c r="AB324" s="10">
        <f t="shared" si="64"/>
        <v>0.50835227886006973</v>
      </c>
      <c r="AC324" s="14">
        <f>_xlfn.MINIFS($C$2:$C$633, $J$2:$J$633, J324)</f>
        <v>44948</v>
      </c>
      <c r="AD324">
        <f>DATEDIF(AC324, C324, "m")</f>
        <v>23</v>
      </c>
      <c r="AE324" s="8">
        <f t="shared" si="65"/>
        <v>2831.2752</v>
      </c>
    </row>
    <row r="325" spans="1:31" x14ac:dyDescent="0.3">
      <c r="A325" s="4" t="s">
        <v>118</v>
      </c>
      <c r="B325" s="6">
        <v>45631</v>
      </c>
      <c r="C325" s="14">
        <v>45631</v>
      </c>
      <c r="D325" s="14" t="str">
        <f t="shared" si="57"/>
        <v>Q4 -2024</v>
      </c>
      <c r="E325" s="6">
        <v>45654</v>
      </c>
      <c r="F325" s="6">
        <f t="shared" si="58"/>
        <v>45654</v>
      </c>
      <c r="G325" s="12">
        <f t="shared" si="59"/>
        <v>23</v>
      </c>
      <c r="H325" s="12">
        <f t="shared" si="60"/>
        <v>0</v>
      </c>
      <c r="I325" s="4" t="s">
        <v>648</v>
      </c>
      <c r="J325" s="4" t="s">
        <v>653</v>
      </c>
      <c r="K325" s="4" t="s">
        <v>688</v>
      </c>
      <c r="L325" t="str">
        <f t="shared" si="61"/>
        <v>Americas&gt;Canada&gt;Vancouver</v>
      </c>
      <c r="M325" s="4" t="s">
        <v>701</v>
      </c>
      <c r="N325" s="4" t="s">
        <v>711</v>
      </c>
      <c r="O325" s="4" t="s">
        <v>721</v>
      </c>
      <c r="P325" s="4" t="s">
        <v>733</v>
      </c>
      <c r="Q325" s="4" t="s">
        <v>837</v>
      </c>
      <c r="R325" s="8">
        <v>107.03</v>
      </c>
      <c r="S325" s="8">
        <v>242.29</v>
      </c>
      <c r="T325" s="8">
        <v>242.29</v>
      </c>
      <c r="U325" s="8" t="str">
        <f>IF(T325&lt;=_xlfn.PERCENTILE.INC($T325:$T$633,0.33), "Low", IF(T325&lt;=_xlfn.PERCENTILE.INC($T325:$T$633,0.66), "Medium", "High"))</f>
        <v>Low</v>
      </c>
      <c r="V325" s="10">
        <v>0.18</v>
      </c>
      <c r="W325" s="10">
        <f t="shared" si="62"/>
        <v>0.18</v>
      </c>
      <c r="X325" s="12">
        <v>30</v>
      </c>
      <c r="Y325" s="8">
        <f t="shared" si="55"/>
        <v>5960.3340000000007</v>
      </c>
      <c r="Z325" s="8">
        <f t="shared" si="56"/>
        <v>3210.9</v>
      </c>
      <c r="AA325" s="8">
        <f t="shared" si="63"/>
        <v>2749.4340000000007</v>
      </c>
      <c r="AB325" s="10">
        <f t="shared" si="64"/>
        <v>0.46128857879440988</v>
      </c>
      <c r="AC325" s="14">
        <f>_xlfn.MINIFS($C$2:$C$633, $J$2:$J$633, J325)</f>
        <v>44928</v>
      </c>
      <c r="AD325">
        <f>DATEDIF(AC325, C325, "m")</f>
        <v>23</v>
      </c>
      <c r="AE325" s="8">
        <f t="shared" si="65"/>
        <v>198.67780000000002</v>
      </c>
    </row>
    <row r="326" spans="1:31" x14ac:dyDescent="0.3">
      <c r="A326" s="4" t="s">
        <v>593</v>
      </c>
      <c r="B326" s="6">
        <v>45607</v>
      </c>
      <c r="C326" s="14">
        <v>45607</v>
      </c>
      <c r="D326" s="14" t="str">
        <f t="shared" si="57"/>
        <v>Q4 -2024</v>
      </c>
      <c r="E326" s="6">
        <v>45620</v>
      </c>
      <c r="F326" s="6">
        <f t="shared" si="58"/>
        <v>45620</v>
      </c>
      <c r="G326" s="12">
        <f t="shared" si="59"/>
        <v>13</v>
      </c>
      <c r="H326" s="12">
        <f t="shared" si="60"/>
        <v>0</v>
      </c>
      <c r="I326" s="4" t="s">
        <v>649</v>
      </c>
      <c r="J326" s="4" t="s">
        <v>658</v>
      </c>
      <c r="K326" s="4" t="s">
        <v>683</v>
      </c>
      <c r="L326" t="str">
        <f t="shared" si="61"/>
        <v>Europe&gt;United Kingdom&gt;London</v>
      </c>
      <c r="M326" s="4" t="s">
        <v>701</v>
      </c>
      <c r="N326" s="4" t="s">
        <v>707</v>
      </c>
      <c r="O326" s="4" t="s">
        <v>718</v>
      </c>
      <c r="P326" s="4" t="s">
        <v>729</v>
      </c>
      <c r="Q326" s="4" t="s">
        <v>1311</v>
      </c>
      <c r="R326" s="8">
        <v>164.53</v>
      </c>
      <c r="S326" s="8">
        <v>327.72</v>
      </c>
      <c r="T326" s="8">
        <v>327.72</v>
      </c>
      <c r="U326" s="8" t="str">
        <f>IF(T326&lt;=_xlfn.PERCENTILE.INC($T326:$T$633,0.33), "Low", IF(T326&lt;=_xlfn.PERCENTILE.INC($T326:$T$633,0.66), "Medium", "High"))</f>
        <v>Low</v>
      </c>
      <c r="V326" s="10">
        <v>6.7000000000000004E-2</v>
      </c>
      <c r="W326" s="10">
        <f t="shared" si="62"/>
        <v>6.7000000000000004E-2</v>
      </c>
      <c r="X326" s="12">
        <v>14</v>
      </c>
      <c r="Y326" s="8">
        <f t="shared" si="55"/>
        <v>4280.6786400000001</v>
      </c>
      <c r="Z326" s="8">
        <f t="shared" si="56"/>
        <v>2303.42</v>
      </c>
      <c r="AA326" s="8">
        <f t="shared" si="63"/>
        <v>1977.25864</v>
      </c>
      <c r="AB326" s="10">
        <f t="shared" si="64"/>
        <v>0.46190307805960412</v>
      </c>
      <c r="AC326" s="14">
        <f>_xlfn.MINIFS($C$2:$C$633, $J$2:$J$633, J326)</f>
        <v>44945</v>
      </c>
      <c r="AD326">
        <f>DATEDIF(AC326, C326, "m")</f>
        <v>21</v>
      </c>
      <c r="AE326" s="8">
        <f t="shared" si="65"/>
        <v>305.76276000000001</v>
      </c>
    </row>
    <row r="327" spans="1:31" x14ac:dyDescent="0.3">
      <c r="A327" s="4" t="s">
        <v>289</v>
      </c>
      <c r="B327" s="6">
        <v>45316</v>
      </c>
      <c r="C327" s="14">
        <v>45316</v>
      </c>
      <c r="D327" s="14" t="str">
        <f t="shared" si="57"/>
        <v>Q1 -2024</v>
      </c>
      <c r="E327" s="6">
        <v>45318</v>
      </c>
      <c r="F327" s="6">
        <f t="shared" si="58"/>
        <v>45318</v>
      </c>
      <c r="G327" s="12">
        <f t="shared" si="59"/>
        <v>2</v>
      </c>
      <c r="H327" s="12">
        <f t="shared" si="60"/>
        <v>1</v>
      </c>
      <c r="I327" s="4" t="s">
        <v>648</v>
      </c>
      <c r="J327" s="4" t="s">
        <v>655</v>
      </c>
      <c r="K327" s="4" t="s">
        <v>670</v>
      </c>
      <c r="L327" t="str">
        <f t="shared" si="61"/>
        <v>Americas&gt;Brazil&gt;São Paulo</v>
      </c>
      <c r="M327" s="4" t="s">
        <v>703</v>
      </c>
      <c r="N327" s="4" t="s">
        <v>709</v>
      </c>
      <c r="O327" s="4" t="s">
        <v>725</v>
      </c>
      <c r="P327" s="4" t="s">
        <v>731</v>
      </c>
      <c r="Q327" s="4" t="s">
        <v>1009</v>
      </c>
      <c r="R327" s="8">
        <v>1410.97</v>
      </c>
      <c r="S327" s="8">
        <v>1650.75</v>
      </c>
      <c r="T327" s="8">
        <v>1650.75</v>
      </c>
      <c r="U327" s="8" t="str">
        <f>IF(T327&lt;=_xlfn.PERCENTILE.INC($T327:$T$633,0.33), "Low", IF(T327&lt;=_xlfn.PERCENTILE.INC($T327:$T$633,0.66), "Medium", "High"))</f>
        <v>High</v>
      </c>
      <c r="V327" s="10">
        <v>0.13500000000000001</v>
      </c>
      <c r="W327" s="10">
        <f t="shared" si="62"/>
        <v>0.13500000000000001</v>
      </c>
      <c r="X327" s="12">
        <v>6</v>
      </c>
      <c r="Y327" s="8">
        <f t="shared" si="55"/>
        <v>8567.3924999999999</v>
      </c>
      <c r="Z327" s="8">
        <f t="shared" si="56"/>
        <v>8465.82</v>
      </c>
      <c r="AA327" s="8">
        <f t="shared" si="63"/>
        <v>101.57250000000022</v>
      </c>
      <c r="AB327" s="10">
        <f t="shared" si="64"/>
        <v>1.1855707556295596E-2</v>
      </c>
      <c r="AC327" s="14">
        <f>_xlfn.MINIFS($C$2:$C$633, $J$2:$J$633, J327)</f>
        <v>44955</v>
      </c>
      <c r="AD327">
        <f>DATEDIF(AC327, C327, "m")</f>
        <v>11</v>
      </c>
      <c r="AE327" s="8">
        <f t="shared" si="65"/>
        <v>1427.8987500000001</v>
      </c>
    </row>
    <row r="328" spans="1:31" x14ac:dyDescent="0.3">
      <c r="A328" s="4" t="s">
        <v>38</v>
      </c>
      <c r="B328" s="6">
        <v>45430</v>
      </c>
      <c r="C328" s="14">
        <v>45430</v>
      </c>
      <c r="D328" s="14" t="str">
        <f t="shared" si="57"/>
        <v>Q2 -2024</v>
      </c>
      <c r="E328" s="6">
        <v>45435</v>
      </c>
      <c r="F328" s="6">
        <f t="shared" si="58"/>
        <v>45435</v>
      </c>
      <c r="G328" s="12">
        <f t="shared" si="59"/>
        <v>5</v>
      </c>
      <c r="H328" s="12">
        <f t="shared" si="60"/>
        <v>1</v>
      </c>
      <c r="I328" s="4" t="s">
        <v>648</v>
      </c>
      <c r="J328" s="4" t="s">
        <v>660</v>
      </c>
      <c r="K328" s="4" t="s">
        <v>677</v>
      </c>
      <c r="L328" t="str">
        <f t="shared" si="61"/>
        <v>Americas&gt;USA&gt;Chicago</v>
      </c>
      <c r="M328" s="4" t="s">
        <v>706</v>
      </c>
      <c r="N328" s="4" t="s">
        <v>707</v>
      </c>
      <c r="O328" s="4" t="s">
        <v>722</v>
      </c>
      <c r="P328" s="4" t="s">
        <v>731</v>
      </c>
      <c r="Q328" s="4" t="s">
        <v>757</v>
      </c>
      <c r="R328" s="8">
        <v>1274.5899999999999</v>
      </c>
      <c r="S328" s="8">
        <v>2553.69</v>
      </c>
      <c r="T328" s="8">
        <v>2553.69</v>
      </c>
      <c r="U328" s="8" t="str">
        <f>IF(T328&lt;=_xlfn.PERCENTILE.INC($T328:$T$633,0.33), "Low", IF(T328&lt;=_xlfn.PERCENTILE.INC($T328:$T$633,0.66), "Medium", "High"))</f>
        <v>High</v>
      </c>
      <c r="V328" s="10">
        <v>0.01</v>
      </c>
      <c r="W328" s="10">
        <f t="shared" si="62"/>
        <v>0.01</v>
      </c>
      <c r="X328" s="12">
        <v>8</v>
      </c>
      <c r="Y328" s="8">
        <f t="shared" si="55"/>
        <v>20225.2248</v>
      </c>
      <c r="Z328" s="8">
        <f t="shared" si="56"/>
        <v>10196.719999999999</v>
      </c>
      <c r="AA328" s="8">
        <f t="shared" si="63"/>
        <v>10028.504800000001</v>
      </c>
      <c r="AB328" s="10">
        <f t="shared" si="64"/>
        <v>0.49584145042481803</v>
      </c>
      <c r="AC328" s="14">
        <f>_xlfn.MINIFS($C$2:$C$633, $J$2:$J$633, J328)</f>
        <v>44939</v>
      </c>
      <c r="AD328">
        <f>DATEDIF(AC328, C328, "m")</f>
        <v>16</v>
      </c>
      <c r="AE328" s="8">
        <f t="shared" si="65"/>
        <v>2528.1531</v>
      </c>
    </row>
    <row r="329" spans="1:31" x14ac:dyDescent="0.3">
      <c r="A329" s="4" t="s">
        <v>280</v>
      </c>
      <c r="B329" s="6">
        <v>45573</v>
      </c>
      <c r="C329" s="14">
        <v>45573</v>
      </c>
      <c r="D329" s="14" t="str">
        <f t="shared" si="57"/>
        <v>Q4 -2024</v>
      </c>
      <c r="E329" s="6">
        <v>45573</v>
      </c>
      <c r="F329" s="6">
        <f t="shared" si="58"/>
        <v>45573</v>
      </c>
      <c r="G329" s="12">
        <f t="shared" si="59"/>
        <v>0</v>
      </c>
      <c r="H329" s="12">
        <f t="shared" si="60"/>
        <v>1</v>
      </c>
      <c r="I329" s="4" t="s">
        <v>649</v>
      </c>
      <c r="J329" s="4" t="s">
        <v>658</v>
      </c>
      <c r="K329" s="4" t="s">
        <v>683</v>
      </c>
      <c r="L329" t="str">
        <f t="shared" si="61"/>
        <v>Europe&gt;United Kingdom&gt;London</v>
      </c>
      <c r="M329" s="4" t="s">
        <v>701</v>
      </c>
      <c r="N329" s="4" t="s">
        <v>708</v>
      </c>
      <c r="O329" s="4" t="s">
        <v>718</v>
      </c>
      <c r="P329" s="4" t="s">
        <v>732</v>
      </c>
      <c r="Q329" s="4" t="s">
        <v>1000</v>
      </c>
      <c r="R329" s="8">
        <v>1108.1099999999999</v>
      </c>
      <c r="S329" s="8">
        <v>2503.79</v>
      </c>
      <c r="T329" s="8">
        <v>2503.79</v>
      </c>
      <c r="U329" s="8" t="str">
        <f>IF(T329&lt;=_xlfn.PERCENTILE.INC($T329:$T$633,0.33), "Low", IF(T329&lt;=_xlfn.PERCENTILE.INC($T329:$T$633,0.66), "Medium", "High"))</f>
        <v>High</v>
      </c>
      <c r="V329" s="10">
        <v>0.184</v>
      </c>
      <c r="W329" s="10">
        <f t="shared" si="62"/>
        <v>0.184</v>
      </c>
      <c r="X329" s="12">
        <v>19</v>
      </c>
      <c r="Y329" s="8">
        <f t="shared" si="55"/>
        <v>38818.760160000005</v>
      </c>
      <c r="Z329" s="8">
        <f t="shared" si="56"/>
        <v>21054.089999999997</v>
      </c>
      <c r="AA329" s="8">
        <f t="shared" si="63"/>
        <v>17764.670160000009</v>
      </c>
      <c r="AB329" s="10">
        <f t="shared" si="64"/>
        <v>0.45763105485025896</v>
      </c>
      <c r="AC329" s="14">
        <f>_xlfn.MINIFS($C$2:$C$633, $J$2:$J$633, J329)</f>
        <v>44945</v>
      </c>
      <c r="AD329">
        <f>DATEDIF(AC329, C329, "m")</f>
        <v>20</v>
      </c>
      <c r="AE329" s="8">
        <f t="shared" si="65"/>
        <v>2043.0926400000003</v>
      </c>
    </row>
    <row r="330" spans="1:31" x14ac:dyDescent="0.3">
      <c r="A330" s="4" t="s">
        <v>338</v>
      </c>
      <c r="B330" s="6">
        <v>45544</v>
      </c>
      <c r="C330" s="14">
        <v>45544</v>
      </c>
      <c r="D330" s="14" t="str">
        <f t="shared" si="57"/>
        <v>Q3 -2024</v>
      </c>
      <c r="E330" s="6">
        <v>45573</v>
      </c>
      <c r="F330" s="6">
        <f t="shared" si="58"/>
        <v>45573</v>
      </c>
      <c r="G330" s="12">
        <f t="shared" si="59"/>
        <v>29</v>
      </c>
      <c r="H330" s="12">
        <f t="shared" si="60"/>
        <v>0</v>
      </c>
      <c r="I330" s="4" t="s">
        <v>648</v>
      </c>
      <c r="J330" s="4" t="s">
        <v>655</v>
      </c>
      <c r="K330" s="4" t="s">
        <v>670</v>
      </c>
      <c r="L330" t="str">
        <f t="shared" si="61"/>
        <v>Americas&gt;Brazil&gt;São Paulo</v>
      </c>
      <c r="M330" s="4" t="s">
        <v>702</v>
      </c>
      <c r="N330" s="4" t="s">
        <v>711</v>
      </c>
      <c r="O330" s="4" t="s">
        <v>713</v>
      </c>
      <c r="P330" s="4" t="s">
        <v>727</v>
      </c>
      <c r="Q330" s="4" t="s">
        <v>1058</v>
      </c>
      <c r="R330" s="8">
        <v>1010.33</v>
      </c>
      <c r="S330" s="8">
        <v>2492.14</v>
      </c>
      <c r="T330" s="8">
        <v>2492.14</v>
      </c>
      <c r="U330" s="8" t="str">
        <f>IF(T330&lt;=_xlfn.PERCENTILE.INC($T330:$T$633,0.33), "Low", IF(T330&lt;=_xlfn.PERCENTILE.INC($T330:$T$633,0.66), "Medium", "High"))</f>
        <v>High</v>
      </c>
      <c r="V330" s="10">
        <v>5.0999999999999997E-2</v>
      </c>
      <c r="W330" s="10">
        <f t="shared" si="62"/>
        <v>5.0999999999999997E-2</v>
      </c>
      <c r="X330" s="12">
        <v>11</v>
      </c>
      <c r="Y330" s="8">
        <f t="shared" si="55"/>
        <v>26015.449459999996</v>
      </c>
      <c r="Z330" s="8">
        <f t="shared" si="56"/>
        <v>11113.630000000001</v>
      </c>
      <c r="AA330" s="8">
        <f t="shared" si="63"/>
        <v>14901.819459999995</v>
      </c>
      <c r="AB330" s="10">
        <f t="shared" si="64"/>
        <v>0.57280653493656752</v>
      </c>
      <c r="AC330" s="14">
        <f>_xlfn.MINIFS($C$2:$C$633, $J$2:$J$633, J330)</f>
        <v>44955</v>
      </c>
      <c r="AD330">
        <f>DATEDIF(AC330, C330, "m")</f>
        <v>19</v>
      </c>
      <c r="AE330" s="8">
        <f t="shared" si="65"/>
        <v>2365.0408599999996</v>
      </c>
    </row>
    <row r="331" spans="1:31" x14ac:dyDescent="0.3">
      <c r="A331" s="4" t="s">
        <v>203</v>
      </c>
      <c r="B331" s="6">
        <v>45431</v>
      </c>
      <c r="C331" s="14">
        <v>45431</v>
      </c>
      <c r="D331" s="14" t="str">
        <f t="shared" si="57"/>
        <v>Q2 -2024</v>
      </c>
      <c r="E331" s="6">
        <v>45451</v>
      </c>
      <c r="F331" s="6">
        <f t="shared" si="58"/>
        <v>45451</v>
      </c>
      <c r="G331" s="12">
        <f t="shared" si="59"/>
        <v>20</v>
      </c>
      <c r="H331" s="12">
        <f t="shared" si="60"/>
        <v>0</v>
      </c>
      <c r="I331" s="4" t="s">
        <v>648</v>
      </c>
      <c r="J331" s="4" t="s">
        <v>655</v>
      </c>
      <c r="K331" s="4" t="s">
        <v>672</v>
      </c>
      <c r="L331" t="str">
        <f t="shared" si="61"/>
        <v>Americas&gt;Brazil&gt;Brasília</v>
      </c>
      <c r="M331" s="4" t="s">
        <v>705</v>
      </c>
      <c r="N331" s="4" t="s">
        <v>707</v>
      </c>
      <c r="O331" s="4" t="s">
        <v>718</v>
      </c>
      <c r="P331" s="4" t="s">
        <v>732</v>
      </c>
      <c r="Q331" s="4" t="s">
        <v>923</v>
      </c>
      <c r="R331" s="8">
        <v>1075.9000000000001</v>
      </c>
      <c r="S331" s="8">
        <v>1242.1500000000001</v>
      </c>
      <c r="T331" s="8">
        <v>1242.1500000000001</v>
      </c>
      <c r="U331" s="8" t="str">
        <f>IF(T331&lt;=_xlfn.PERCENTILE.INC($T331:$T$633,0.33), "Low", IF(T331&lt;=_xlfn.PERCENTILE.INC($T331:$T$633,0.66), "Medium", "High"))</f>
        <v>Medium</v>
      </c>
      <c r="V331" s="10">
        <v>1.2E-2</v>
      </c>
      <c r="W331" s="10">
        <f t="shared" si="62"/>
        <v>1.2E-2</v>
      </c>
      <c r="X331" s="12">
        <v>7</v>
      </c>
      <c r="Y331" s="8">
        <f t="shared" si="55"/>
        <v>8590.7094000000016</v>
      </c>
      <c r="Z331" s="8">
        <f t="shared" si="56"/>
        <v>7531.3000000000011</v>
      </c>
      <c r="AA331" s="8">
        <f t="shared" si="63"/>
        <v>1059.4094000000005</v>
      </c>
      <c r="AB331" s="10">
        <f t="shared" si="64"/>
        <v>0.12332036280961853</v>
      </c>
      <c r="AC331" s="14">
        <f>_xlfn.MINIFS($C$2:$C$633, $J$2:$J$633, J331)</f>
        <v>44955</v>
      </c>
      <c r="AD331">
        <f>DATEDIF(AC331, C331, "m")</f>
        <v>15</v>
      </c>
      <c r="AE331" s="8">
        <f t="shared" si="65"/>
        <v>1227.2442000000003</v>
      </c>
    </row>
    <row r="332" spans="1:31" x14ac:dyDescent="0.3">
      <c r="A332" s="4" t="s">
        <v>479</v>
      </c>
      <c r="B332" s="6">
        <v>45618</v>
      </c>
      <c r="C332" s="14">
        <v>45618</v>
      </c>
      <c r="D332" s="14" t="str">
        <f t="shared" si="57"/>
        <v>Q4 -2024</v>
      </c>
      <c r="E332" s="6">
        <v>45641</v>
      </c>
      <c r="F332" s="6">
        <f t="shared" si="58"/>
        <v>45641</v>
      </c>
      <c r="G332" s="12">
        <f t="shared" si="59"/>
        <v>23</v>
      </c>
      <c r="H332" s="12">
        <f t="shared" si="60"/>
        <v>0</v>
      </c>
      <c r="I332" s="4" t="s">
        <v>646</v>
      </c>
      <c r="J332" s="4" t="s">
        <v>650</v>
      </c>
      <c r="K332" s="4" t="s">
        <v>675</v>
      </c>
      <c r="L332" t="str">
        <f t="shared" si="61"/>
        <v>Africa&gt;Kenya&gt;Mombasa</v>
      </c>
      <c r="M332" s="4" t="s">
        <v>703</v>
      </c>
      <c r="N332" s="4" t="s">
        <v>710</v>
      </c>
      <c r="O332" s="4" t="s">
        <v>712</v>
      </c>
      <c r="P332" s="4" t="s">
        <v>727</v>
      </c>
      <c r="Q332" s="4" t="s">
        <v>1198</v>
      </c>
      <c r="R332" s="8">
        <v>1335.76</v>
      </c>
      <c r="S332" s="8">
        <v>2665.91</v>
      </c>
      <c r="T332" s="8">
        <v>2665.91</v>
      </c>
      <c r="U332" s="8" t="str">
        <f>IF(T332&lt;=_xlfn.PERCENTILE.INC($T332:$T$633,0.33), "Low", IF(T332&lt;=_xlfn.PERCENTILE.INC($T332:$T$633,0.66), "Medium", "High"))</f>
        <v>High</v>
      </c>
      <c r="V332" s="10">
        <v>0.21099999999999999</v>
      </c>
      <c r="W332" s="10">
        <f t="shared" si="62"/>
        <v>0.21099999999999999</v>
      </c>
      <c r="X332" s="12">
        <v>40</v>
      </c>
      <c r="Y332" s="8">
        <f t="shared" si="55"/>
        <v>84136.119600000005</v>
      </c>
      <c r="Z332" s="8">
        <f t="shared" si="56"/>
        <v>53430.400000000001</v>
      </c>
      <c r="AA332" s="8">
        <f t="shared" si="63"/>
        <v>30705.719600000004</v>
      </c>
      <c r="AB332" s="10">
        <f t="shared" si="64"/>
        <v>0.36495288522909253</v>
      </c>
      <c r="AC332" s="14">
        <f>_xlfn.MINIFS($C$2:$C$633, $J$2:$J$633, J332)</f>
        <v>44946</v>
      </c>
      <c r="AD332">
        <f>DATEDIF(AC332, C332, "m")</f>
        <v>22</v>
      </c>
      <c r="AE332" s="8">
        <f t="shared" si="65"/>
        <v>2103.40299</v>
      </c>
    </row>
    <row r="333" spans="1:31" x14ac:dyDescent="0.3">
      <c r="A333" s="4" t="s">
        <v>458</v>
      </c>
      <c r="B333" s="6">
        <v>45560</v>
      </c>
      <c r="C333" s="14">
        <v>45560</v>
      </c>
      <c r="D333" s="14" t="str">
        <f t="shared" si="57"/>
        <v>Q3 -2024</v>
      </c>
      <c r="E333" s="6">
        <v>45568</v>
      </c>
      <c r="F333" s="6">
        <f t="shared" si="58"/>
        <v>45568</v>
      </c>
      <c r="G333" s="12">
        <f t="shared" si="59"/>
        <v>8</v>
      </c>
      <c r="H333" s="12">
        <f t="shared" si="60"/>
        <v>0</v>
      </c>
      <c r="I333" s="4" t="s">
        <v>648</v>
      </c>
      <c r="J333" s="4" t="s">
        <v>653</v>
      </c>
      <c r="K333" s="4" t="s">
        <v>667</v>
      </c>
      <c r="L333" t="str">
        <f t="shared" si="61"/>
        <v>Americas&gt;Canada&gt;Toronto</v>
      </c>
      <c r="M333" s="4" t="s">
        <v>704</v>
      </c>
      <c r="N333" s="4" t="s">
        <v>708</v>
      </c>
      <c r="O333" s="4" t="s">
        <v>718</v>
      </c>
      <c r="P333" s="4" t="s">
        <v>728</v>
      </c>
      <c r="Q333" s="4" t="s">
        <v>1177</v>
      </c>
      <c r="R333" s="8">
        <v>558.19000000000005</v>
      </c>
      <c r="S333" s="8">
        <v>1031.6400000000001</v>
      </c>
      <c r="T333" s="8">
        <v>1031.6400000000001</v>
      </c>
      <c r="U333" s="8" t="str">
        <f>IF(T333&lt;=_xlfn.PERCENTILE.INC($T333:$T$633,0.33), "Low", IF(T333&lt;=_xlfn.PERCENTILE.INC($T333:$T$633,0.66), "Medium", "High"))</f>
        <v>Medium</v>
      </c>
      <c r="V333" s="10">
        <v>0</v>
      </c>
      <c r="W333" s="10">
        <f t="shared" si="62"/>
        <v>0</v>
      </c>
      <c r="X333" s="12">
        <v>21</v>
      </c>
      <c r="Y333" s="8">
        <f t="shared" si="55"/>
        <v>21664.440000000002</v>
      </c>
      <c r="Z333" s="8">
        <f t="shared" si="56"/>
        <v>11721.990000000002</v>
      </c>
      <c r="AA333" s="8">
        <f t="shared" si="63"/>
        <v>9942.4500000000007</v>
      </c>
      <c r="AB333" s="10">
        <f t="shared" si="64"/>
        <v>0.45892947152107322</v>
      </c>
      <c r="AC333" s="14">
        <f>_xlfn.MINIFS($C$2:$C$633, $J$2:$J$633, J333)</f>
        <v>44928</v>
      </c>
      <c r="AD333">
        <f>DATEDIF(AC333, C333, "m")</f>
        <v>20</v>
      </c>
      <c r="AE333" s="8">
        <f t="shared" si="65"/>
        <v>1031.6400000000001</v>
      </c>
    </row>
    <row r="334" spans="1:31" x14ac:dyDescent="0.3">
      <c r="A334" s="4" t="s">
        <v>371</v>
      </c>
      <c r="B334" s="6">
        <v>45385</v>
      </c>
      <c r="C334" s="14">
        <v>45385</v>
      </c>
      <c r="D334" s="14" t="str">
        <f t="shared" si="57"/>
        <v>Q2 -2024</v>
      </c>
      <c r="E334" s="6">
        <v>45403</v>
      </c>
      <c r="F334" s="6">
        <f t="shared" si="58"/>
        <v>45403</v>
      </c>
      <c r="G334" s="12">
        <f t="shared" si="59"/>
        <v>18</v>
      </c>
      <c r="H334" s="12">
        <f t="shared" si="60"/>
        <v>0</v>
      </c>
      <c r="I334" s="4" t="s">
        <v>648</v>
      </c>
      <c r="J334" s="4" t="s">
        <v>655</v>
      </c>
      <c r="K334" s="4" t="s">
        <v>672</v>
      </c>
      <c r="L334" t="str">
        <f t="shared" si="61"/>
        <v>Americas&gt;Brazil&gt;Brasília</v>
      </c>
      <c r="M334" s="4" t="s">
        <v>705</v>
      </c>
      <c r="N334" s="4" t="s">
        <v>710</v>
      </c>
      <c r="O334" s="4" t="s">
        <v>717</v>
      </c>
      <c r="P334" s="4" t="s">
        <v>729</v>
      </c>
      <c r="Q334" s="4" t="s">
        <v>1091</v>
      </c>
      <c r="R334" s="8">
        <v>1176.69</v>
      </c>
      <c r="S334" s="8">
        <v>2201.54</v>
      </c>
      <c r="T334" s="8">
        <v>2201.54</v>
      </c>
      <c r="U334" s="8" t="str">
        <f>IF(T334&lt;=_xlfn.PERCENTILE.INC($T334:$T$633,0.33), "Low", IF(T334&lt;=_xlfn.PERCENTILE.INC($T334:$T$633,0.66), "Medium", "High"))</f>
        <v>High</v>
      </c>
      <c r="V334" s="10">
        <v>0.17</v>
      </c>
      <c r="W334" s="10">
        <f t="shared" si="62"/>
        <v>0.17</v>
      </c>
      <c r="X334" s="12">
        <v>27</v>
      </c>
      <c r="Y334" s="8">
        <f t="shared" si="55"/>
        <v>49336.511399999996</v>
      </c>
      <c r="Z334" s="8">
        <f t="shared" si="56"/>
        <v>31770.63</v>
      </c>
      <c r="AA334" s="8">
        <f t="shared" si="63"/>
        <v>17565.881399999995</v>
      </c>
      <c r="AB334" s="10">
        <f t="shared" si="64"/>
        <v>0.35604222717701106</v>
      </c>
      <c r="AC334" s="14">
        <f>_xlfn.MINIFS($C$2:$C$633, $J$2:$J$633, J334)</f>
        <v>44955</v>
      </c>
      <c r="AD334">
        <f>DATEDIF(AC334, C334, "m")</f>
        <v>14</v>
      </c>
      <c r="AE334" s="8">
        <f t="shared" si="65"/>
        <v>1827.2781999999997</v>
      </c>
    </row>
    <row r="335" spans="1:31" x14ac:dyDescent="0.3">
      <c r="A335" s="4" t="s">
        <v>439</v>
      </c>
      <c r="B335" s="6">
        <v>45349</v>
      </c>
      <c r="C335" s="14">
        <v>45349</v>
      </c>
      <c r="D335" s="14" t="str">
        <f t="shared" si="57"/>
        <v>Q1 -2024</v>
      </c>
      <c r="E335" s="6">
        <v>45377</v>
      </c>
      <c r="F335" s="6">
        <f t="shared" si="58"/>
        <v>45377</v>
      </c>
      <c r="G335" s="12">
        <f t="shared" si="59"/>
        <v>28</v>
      </c>
      <c r="H335" s="12">
        <f t="shared" si="60"/>
        <v>0</v>
      </c>
      <c r="I335" s="4" t="s">
        <v>647</v>
      </c>
      <c r="J335" s="4" t="s">
        <v>654</v>
      </c>
      <c r="K335" s="4" t="s">
        <v>691</v>
      </c>
      <c r="L335" t="str">
        <f t="shared" si="61"/>
        <v>Asia&gt;India&gt;Mumbai</v>
      </c>
      <c r="M335" s="4" t="s">
        <v>702</v>
      </c>
      <c r="N335" s="4" t="s">
        <v>709</v>
      </c>
      <c r="O335" s="4" t="s">
        <v>715</v>
      </c>
      <c r="P335" s="4" t="s">
        <v>731</v>
      </c>
      <c r="Q335" s="4" t="s">
        <v>1158</v>
      </c>
      <c r="R335" s="8">
        <v>1035.19</v>
      </c>
      <c r="S335" s="8">
        <v>2322.6999999999998</v>
      </c>
      <c r="T335" s="8">
        <v>2322.6999999999998</v>
      </c>
      <c r="U335" s="8" t="str">
        <f>IF(T335&lt;=_xlfn.PERCENTILE.INC($T335:$T$633,0.33), "Low", IF(T335&lt;=_xlfn.PERCENTILE.INC($T335:$T$633,0.66), "Medium", "High"))</f>
        <v>High</v>
      </c>
      <c r="V335" s="10">
        <v>0.17299999999999999</v>
      </c>
      <c r="W335" s="10">
        <f t="shared" si="62"/>
        <v>0.17299999999999999</v>
      </c>
      <c r="X335" s="12">
        <v>8</v>
      </c>
      <c r="Y335" s="8">
        <f t="shared" si="55"/>
        <v>15366.983199999999</v>
      </c>
      <c r="Z335" s="8">
        <f t="shared" si="56"/>
        <v>8281.52</v>
      </c>
      <c r="AA335" s="8">
        <f t="shared" si="63"/>
        <v>7085.4631999999983</v>
      </c>
      <c r="AB335" s="10">
        <f t="shared" si="64"/>
        <v>0.46108355217047409</v>
      </c>
      <c r="AC335" s="14">
        <f>_xlfn.MINIFS($C$2:$C$633, $J$2:$J$633, J335)</f>
        <v>44955</v>
      </c>
      <c r="AD335">
        <f>DATEDIF(AC335, C335, "m")</f>
        <v>12</v>
      </c>
      <c r="AE335" s="8">
        <f t="shared" si="65"/>
        <v>1920.8728999999998</v>
      </c>
    </row>
    <row r="336" spans="1:31" x14ac:dyDescent="0.3">
      <c r="A336" s="4" t="s">
        <v>507</v>
      </c>
      <c r="B336" s="6">
        <v>45352</v>
      </c>
      <c r="C336" s="14">
        <v>45352</v>
      </c>
      <c r="D336" s="14" t="str">
        <f t="shared" si="57"/>
        <v>Q1 -2024</v>
      </c>
      <c r="E336" s="6">
        <v>45351</v>
      </c>
      <c r="F336" s="6">
        <f t="shared" si="58"/>
        <v>45358</v>
      </c>
      <c r="G336" s="12">
        <f t="shared" si="59"/>
        <v>6</v>
      </c>
      <c r="H336" s="12">
        <f t="shared" si="60"/>
        <v>1</v>
      </c>
      <c r="I336" s="4" t="s">
        <v>648</v>
      </c>
      <c r="J336" s="4" t="s">
        <v>655</v>
      </c>
      <c r="K336" s="4" t="s">
        <v>670</v>
      </c>
      <c r="L336" t="str">
        <f t="shared" si="61"/>
        <v>Americas&gt;Brazil&gt;São Paulo</v>
      </c>
      <c r="M336" s="4" t="s">
        <v>703</v>
      </c>
      <c r="N336" s="4" t="s">
        <v>711</v>
      </c>
      <c r="O336" s="4" t="s">
        <v>714</v>
      </c>
      <c r="P336" s="4" t="s">
        <v>730</v>
      </c>
      <c r="Q336" s="4" t="s">
        <v>1226</v>
      </c>
      <c r="R336" s="8">
        <v>5.34</v>
      </c>
      <c r="S336" s="8">
        <v>12.69</v>
      </c>
      <c r="T336" s="8">
        <v>12.69</v>
      </c>
      <c r="U336" s="8" t="str">
        <f>IF(T336&lt;=_xlfn.PERCENTILE.INC($T336:$T$633,0.33), "Low", IF(T336&lt;=_xlfn.PERCENTILE.INC($T336:$T$633,0.66), "Medium", "High"))</f>
        <v>Low</v>
      </c>
      <c r="V336" s="10">
        <v>0.13200000000000001</v>
      </c>
      <c r="W336" s="10">
        <f t="shared" si="62"/>
        <v>0.13200000000000001</v>
      </c>
      <c r="X336" s="12">
        <v>10</v>
      </c>
      <c r="Y336" s="8">
        <f t="shared" si="55"/>
        <v>110.14919999999999</v>
      </c>
      <c r="Z336" s="8">
        <f t="shared" si="56"/>
        <v>53.4</v>
      </c>
      <c r="AA336" s="8">
        <f t="shared" si="63"/>
        <v>56.749199999999995</v>
      </c>
      <c r="AB336" s="10">
        <f t="shared" si="64"/>
        <v>0.51520301554618642</v>
      </c>
      <c r="AC336" s="14">
        <f>_xlfn.MINIFS($C$2:$C$633, $J$2:$J$633, J336)</f>
        <v>44955</v>
      </c>
      <c r="AD336">
        <f>DATEDIF(AC336, C336, "m")</f>
        <v>13</v>
      </c>
      <c r="AE336" s="8">
        <f t="shared" si="65"/>
        <v>11.01492</v>
      </c>
    </row>
    <row r="337" spans="1:31" x14ac:dyDescent="0.3">
      <c r="A337" s="4" t="s">
        <v>401</v>
      </c>
      <c r="B337" s="6">
        <v>45419</v>
      </c>
      <c r="C337" s="14">
        <v>45419</v>
      </c>
      <c r="D337" s="14" t="str">
        <f t="shared" si="57"/>
        <v>Q2 -2024</v>
      </c>
      <c r="E337" s="6">
        <v>45424</v>
      </c>
      <c r="F337" s="6">
        <f t="shared" si="58"/>
        <v>45424</v>
      </c>
      <c r="G337" s="12">
        <f t="shared" si="59"/>
        <v>5</v>
      </c>
      <c r="H337" s="12">
        <f t="shared" si="60"/>
        <v>1</v>
      </c>
      <c r="I337" s="4" t="s">
        <v>646</v>
      </c>
      <c r="J337" s="4" t="s">
        <v>651</v>
      </c>
      <c r="K337" s="4" t="s">
        <v>669</v>
      </c>
      <c r="L337" t="str">
        <f t="shared" si="61"/>
        <v>Africa&gt;Nigeria&gt;Abuja</v>
      </c>
      <c r="M337" s="4" t="s">
        <v>703</v>
      </c>
      <c r="N337" s="4" t="s">
        <v>710</v>
      </c>
      <c r="O337" s="4" t="s">
        <v>716</v>
      </c>
      <c r="P337" s="4" t="s">
        <v>731</v>
      </c>
      <c r="Q337" s="4" t="s">
        <v>1120</v>
      </c>
      <c r="R337" s="8">
        <v>1163.99</v>
      </c>
      <c r="S337" s="8">
        <v>1617.85</v>
      </c>
      <c r="T337" s="8">
        <v>1617.85</v>
      </c>
      <c r="U337" s="8" t="str">
        <f>IF(T337&lt;=_xlfn.PERCENTILE.INC($T337:$T$633,0.33), "Low", IF(T337&lt;=_xlfn.PERCENTILE.INC($T337:$T$633,0.66), "Medium", "High"))</f>
        <v>High</v>
      </c>
      <c r="V337" s="10">
        <v>0.127</v>
      </c>
      <c r="W337" s="10">
        <f t="shared" si="62"/>
        <v>0.127</v>
      </c>
      <c r="X337" s="12">
        <v>14</v>
      </c>
      <c r="Y337" s="8">
        <f t="shared" si="55"/>
        <v>19773.362699999998</v>
      </c>
      <c r="Z337" s="8">
        <f t="shared" si="56"/>
        <v>16295.86</v>
      </c>
      <c r="AA337" s="8">
        <f t="shared" si="63"/>
        <v>3477.5026999999973</v>
      </c>
      <c r="AB337" s="10">
        <f t="shared" si="64"/>
        <v>0.17586804797749436</v>
      </c>
      <c r="AC337" s="14">
        <f>_xlfn.MINIFS($C$2:$C$633, $J$2:$J$633, J337)</f>
        <v>44941</v>
      </c>
      <c r="AD337">
        <f>DATEDIF(AC337, C337, "m")</f>
        <v>15</v>
      </c>
      <c r="AE337" s="8">
        <f t="shared" si="65"/>
        <v>1412.3830499999999</v>
      </c>
    </row>
    <row r="338" spans="1:31" x14ac:dyDescent="0.3">
      <c r="A338" s="4" t="s">
        <v>544</v>
      </c>
      <c r="B338" s="6">
        <v>45316</v>
      </c>
      <c r="C338" s="14">
        <v>45316</v>
      </c>
      <c r="D338" s="14" t="str">
        <f t="shared" si="57"/>
        <v>Q1 -2024</v>
      </c>
      <c r="E338" s="6">
        <v>45330</v>
      </c>
      <c r="F338" s="6">
        <f t="shared" si="58"/>
        <v>45330</v>
      </c>
      <c r="G338" s="12">
        <f t="shared" si="59"/>
        <v>14</v>
      </c>
      <c r="H338" s="12">
        <f t="shared" si="60"/>
        <v>0</v>
      </c>
      <c r="I338" s="4" t="s">
        <v>647</v>
      </c>
      <c r="J338" s="4" t="s">
        <v>652</v>
      </c>
      <c r="K338" s="4" t="s">
        <v>666</v>
      </c>
      <c r="L338" t="str">
        <f t="shared" si="61"/>
        <v>Asia&gt;Japan&gt;Osaka</v>
      </c>
      <c r="M338" s="4" t="s">
        <v>704</v>
      </c>
      <c r="N338" s="4" t="s">
        <v>709</v>
      </c>
      <c r="O338" s="4" t="s">
        <v>714</v>
      </c>
      <c r="P338" s="4" t="s">
        <v>729</v>
      </c>
      <c r="Q338" s="4" t="s">
        <v>1263</v>
      </c>
      <c r="R338" s="8">
        <v>937.16</v>
      </c>
      <c r="S338" s="8">
        <v>1069.77</v>
      </c>
      <c r="T338" s="8">
        <v>1069.77</v>
      </c>
      <c r="U338" s="8" t="str">
        <f>IF(T338&lt;=_xlfn.PERCENTILE.INC($T338:$T$633,0.33), "Low", IF(T338&lt;=_xlfn.PERCENTILE.INC($T338:$T$633,0.66), "Medium", "High"))</f>
        <v>Medium</v>
      </c>
      <c r="V338" s="10">
        <v>3.7999999999999999E-2</v>
      </c>
      <c r="W338" s="10">
        <f t="shared" si="62"/>
        <v>3.7999999999999999E-2</v>
      </c>
      <c r="X338" s="12">
        <v>9</v>
      </c>
      <c r="Y338" s="8">
        <f t="shared" si="55"/>
        <v>9262.0686600000008</v>
      </c>
      <c r="Z338" s="8">
        <f t="shared" si="56"/>
        <v>8434.44</v>
      </c>
      <c r="AA338" s="8">
        <f t="shared" si="63"/>
        <v>827.62866000000031</v>
      </c>
      <c r="AB338" s="10">
        <f t="shared" si="64"/>
        <v>8.9356783066645962E-2</v>
      </c>
      <c r="AC338" s="14">
        <f>_xlfn.MINIFS($C$2:$C$633, $J$2:$J$633, J338)</f>
        <v>44988</v>
      </c>
      <c r="AD338">
        <f>DATEDIF(AC338, C338, "m")</f>
        <v>10</v>
      </c>
      <c r="AE338" s="8">
        <f t="shared" si="65"/>
        <v>1029.1187400000001</v>
      </c>
    </row>
    <row r="339" spans="1:31" x14ac:dyDescent="0.3">
      <c r="A339" s="4" t="s">
        <v>569</v>
      </c>
      <c r="B339" s="6">
        <v>45535</v>
      </c>
      <c r="C339" s="14">
        <v>45535</v>
      </c>
      <c r="D339" s="14" t="str">
        <f t="shared" si="57"/>
        <v>Q3 -2024</v>
      </c>
      <c r="E339" s="6">
        <v>45561</v>
      </c>
      <c r="F339" s="6">
        <f t="shared" si="58"/>
        <v>45561</v>
      </c>
      <c r="G339" s="12">
        <f t="shared" si="59"/>
        <v>26</v>
      </c>
      <c r="H339" s="12">
        <f t="shared" si="60"/>
        <v>0</v>
      </c>
      <c r="I339" s="4" t="s">
        <v>647</v>
      </c>
      <c r="J339" s="4" t="s">
        <v>652</v>
      </c>
      <c r="K339" s="4" t="s">
        <v>689</v>
      </c>
      <c r="L339" t="str">
        <f t="shared" si="61"/>
        <v>Asia&gt;Japan&gt;Tokyo</v>
      </c>
      <c r="M339" s="4" t="s">
        <v>702</v>
      </c>
      <c r="N339" s="4" t="s">
        <v>708</v>
      </c>
      <c r="O339" s="4" t="s">
        <v>714</v>
      </c>
      <c r="P339" s="4" t="s">
        <v>730</v>
      </c>
      <c r="Q339" s="4" t="s">
        <v>1287</v>
      </c>
      <c r="R339" s="8">
        <v>1189.03</v>
      </c>
      <c r="S339" s="8">
        <v>2949.62</v>
      </c>
      <c r="T339" s="8">
        <v>2949.62</v>
      </c>
      <c r="U339" s="8" t="str">
        <f>IF(T339&lt;=_xlfn.PERCENTILE.INC($T339:$T$633,0.33), "Low", IF(T339&lt;=_xlfn.PERCENTILE.INC($T339:$T$633,0.66), "Medium", "High"))</f>
        <v>High</v>
      </c>
      <c r="V339" s="10">
        <v>0.125</v>
      </c>
      <c r="W339" s="10">
        <f t="shared" si="62"/>
        <v>0.125</v>
      </c>
      <c r="X339" s="12">
        <v>13</v>
      </c>
      <c r="Y339" s="8">
        <f t="shared" si="55"/>
        <v>33551.927499999998</v>
      </c>
      <c r="Z339" s="8">
        <f t="shared" si="56"/>
        <v>15457.39</v>
      </c>
      <c r="AA339" s="8">
        <f t="shared" si="63"/>
        <v>18094.537499999999</v>
      </c>
      <c r="AB339" s="10">
        <f t="shared" si="64"/>
        <v>0.53929949330034765</v>
      </c>
      <c r="AC339" s="14">
        <f>_xlfn.MINIFS($C$2:$C$633, $J$2:$J$633, J339)</f>
        <v>44988</v>
      </c>
      <c r="AD339">
        <f>DATEDIF(AC339, C339, "m")</f>
        <v>17</v>
      </c>
      <c r="AE339" s="8">
        <f t="shared" si="65"/>
        <v>2580.9175</v>
      </c>
    </row>
    <row r="340" spans="1:31" x14ac:dyDescent="0.3">
      <c r="A340" s="4" t="s">
        <v>424</v>
      </c>
      <c r="B340" s="6">
        <v>45534</v>
      </c>
      <c r="C340" s="14">
        <v>45534</v>
      </c>
      <c r="D340" s="14" t="str">
        <f t="shared" si="57"/>
        <v>Q3 -2024</v>
      </c>
      <c r="E340" s="6">
        <v>45540</v>
      </c>
      <c r="F340" s="6">
        <f t="shared" si="58"/>
        <v>45540</v>
      </c>
      <c r="G340" s="12">
        <f t="shared" si="59"/>
        <v>6</v>
      </c>
      <c r="H340" s="12">
        <f t="shared" si="60"/>
        <v>1</v>
      </c>
      <c r="I340" s="4" t="s">
        <v>647</v>
      </c>
      <c r="J340" s="4" t="s">
        <v>652</v>
      </c>
      <c r="K340" s="4" t="s">
        <v>694</v>
      </c>
      <c r="L340" t="str">
        <f t="shared" si="61"/>
        <v>Asia&gt;Japan&gt;Nagoya</v>
      </c>
      <c r="M340" s="4" t="s">
        <v>702</v>
      </c>
      <c r="N340" s="4" t="s">
        <v>708</v>
      </c>
      <c r="O340" s="4" t="s">
        <v>725</v>
      </c>
      <c r="P340" s="4" t="s">
        <v>731</v>
      </c>
      <c r="Q340" s="4" t="s">
        <v>1143</v>
      </c>
      <c r="R340" s="8">
        <v>466.16</v>
      </c>
      <c r="S340" s="8">
        <v>876.81</v>
      </c>
      <c r="T340" s="8">
        <v>876.81</v>
      </c>
      <c r="U340" s="8" t="str">
        <f>IF(T340&lt;=_xlfn.PERCENTILE.INC($T340:$T$633,0.33), "Low", IF(T340&lt;=_xlfn.PERCENTILE.INC($T340:$T$633,0.66), "Medium", "High"))</f>
        <v>Medium</v>
      </c>
      <c r="V340" s="10">
        <v>0.24099999999999999</v>
      </c>
      <c r="W340" s="10">
        <f t="shared" si="62"/>
        <v>0.24099999999999999</v>
      </c>
      <c r="X340" s="12">
        <v>8</v>
      </c>
      <c r="Y340" s="8">
        <f t="shared" si="55"/>
        <v>5323.9903199999999</v>
      </c>
      <c r="Z340" s="8">
        <f t="shared" si="56"/>
        <v>3729.28</v>
      </c>
      <c r="AA340" s="8">
        <f t="shared" si="63"/>
        <v>1594.7103199999997</v>
      </c>
      <c r="AB340" s="10">
        <f t="shared" si="64"/>
        <v>0.29953291124691594</v>
      </c>
      <c r="AC340" s="14">
        <f>_xlfn.MINIFS($C$2:$C$633, $J$2:$J$633, J340)</f>
        <v>44988</v>
      </c>
      <c r="AD340">
        <f>DATEDIF(AC340, C340, "m")</f>
        <v>17</v>
      </c>
      <c r="AE340" s="8">
        <f t="shared" si="65"/>
        <v>665.49878999999999</v>
      </c>
    </row>
    <row r="341" spans="1:31" x14ac:dyDescent="0.3">
      <c r="A341" s="4" t="s">
        <v>260</v>
      </c>
      <c r="B341" s="6">
        <v>45338</v>
      </c>
      <c r="C341" s="14">
        <v>45338</v>
      </c>
      <c r="D341" s="14" t="str">
        <f t="shared" si="57"/>
        <v>Q1 -2024</v>
      </c>
      <c r="E341" s="6">
        <v>45355</v>
      </c>
      <c r="F341" s="6">
        <f t="shared" si="58"/>
        <v>45355</v>
      </c>
      <c r="G341" s="12">
        <f t="shared" si="59"/>
        <v>17</v>
      </c>
      <c r="H341" s="12">
        <f t="shared" si="60"/>
        <v>0</v>
      </c>
      <c r="I341" s="4" t="s">
        <v>648</v>
      </c>
      <c r="J341" s="4" t="s">
        <v>653</v>
      </c>
      <c r="K341" s="4" t="s">
        <v>681</v>
      </c>
      <c r="L341" t="str">
        <f t="shared" si="61"/>
        <v>Americas&gt;Canada&gt;Montreal</v>
      </c>
      <c r="M341" s="4" t="s">
        <v>703</v>
      </c>
      <c r="N341" s="4" t="s">
        <v>707</v>
      </c>
      <c r="O341" s="4" t="s">
        <v>726</v>
      </c>
      <c r="P341" s="4" t="s">
        <v>731</v>
      </c>
      <c r="Q341" s="4" t="s">
        <v>980</v>
      </c>
      <c r="R341" s="8">
        <v>1350.98</v>
      </c>
      <c r="S341" s="8">
        <v>2210.4</v>
      </c>
      <c r="T341" s="8">
        <v>2210.4</v>
      </c>
      <c r="U341" s="8" t="str">
        <f>IF(T341&lt;=_xlfn.PERCENTILE.INC($T341:$T$633,0.33), "Low", IF(T341&lt;=_xlfn.PERCENTILE.INC($T341:$T$633,0.66), "Medium", "High"))</f>
        <v>High</v>
      </c>
      <c r="V341" s="10">
        <v>0.26300000000000001</v>
      </c>
      <c r="W341" s="10">
        <f t="shared" si="62"/>
        <v>0.26300000000000001</v>
      </c>
      <c r="X341" s="12">
        <v>6</v>
      </c>
      <c r="Y341" s="8">
        <f t="shared" si="55"/>
        <v>9774.3888000000006</v>
      </c>
      <c r="Z341" s="8">
        <f t="shared" si="56"/>
        <v>8105.88</v>
      </c>
      <c r="AA341" s="8">
        <f t="shared" si="63"/>
        <v>1668.5088000000005</v>
      </c>
      <c r="AB341" s="10">
        <f t="shared" si="64"/>
        <v>0.17070211080615091</v>
      </c>
      <c r="AC341" s="14">
        <f>_xlfn.MINIFS($C$2:$C$633, $J$2:$J$633, J341)</f>
        <v>44928</v>
      </c>
      <c r="AD341">
        <f>DATEDIF(AC341, C341, "m")</f>
        <v>13</v>
      </c>
      <c r="AE341" s="8">
        <f t="shared" si="65"/>
        <v>1629.0648000000001</v>
      </c>
    </row>
    <row r="342" spans="1:31" x14ac:dyDescent="0.3">
      <c r="A342" s="4" t="s">
        <v>62</v>
      </c>
      <c r="B342" s="6">
        <v>45426</v>
      </c>
      <c r="C342" s="14">
        <v>45426</v>
      </c>
      <c r="D342" s="14" t="str">
        <f t="shared" si="57"/>
        <v>Q2 -2024</v>
      </c>
      <c r="E342" s="6">
        <v>45440</v>
      </c>
      <c r="F342" s="6">
        <f t="shared" si="58"/>
        <v>45440</v>
      </c>
      <c r="G342" s="12">
        <f t="shared" si="59"/>
        <v>14</v>
      </c>
      <c r="H342" s="12">
        <f t="shared" si="60"/>
        <v>0</v>
      </c>
      <c r="I342" s="4" t="s">
        <v>649</v>
      </c>
      <c r="J342" s="4" t="s">
        <v>658</v>
      </c>
      <c r="K342" s="4" t="s">
        <v>674</v>
      </c>
      <c r="L342" t="str">
        <f t="shared" si="61"/>
        <v>Europe&gt;United Kingdom&gt;Birmingham</v>
      </c>
      <c r="M342" s="4" t="s">
        <v>704</v>
      </c>
      <c r="N342" s="4" t="s">
        <v>707</v>
      </c>
      <c r="O342" s="4" t="s">
        <v>717</v>
      </c>
      <c r="P342" s="4" t="s">
        <v>729</v>
      </c>
      <c r="Q342" s="4" t="s">
        <v>781</v>
      </c>
      <c r="R342" s="8">
        <v>1421.14</v>
      </c>
      <c r="S342" s="8">
        <v>3524</v>
      </c>
      <c r="T342" s="8">
        <v>3524</v>
      </c>
      <c r="U342" s="8" t="str">
        <f>IF(T342&lt;=_xlfn.PERCENTILE.INC($T342:$T$633,0.33), "Low", IF(T342&lt;=_xlfn.PERCENTILE.INC($T342:$T$633,0.66), "Medium", "High"))</f>
        <v>High</v>
      </c>
      <c r="V342" s="10">
        <v>0</v>
      </c>
      <c r="W342" s="10">
        <f t="shared" si="62"/>
        <v>0</v>
      </c>
      <c r="X342" s="12">
        <v>31</v>
      </c>
      <c r="Y342" s="8">
        <f t="shared" si="55"/>
        <v>109244</v>
      </c>
      <c r="Z342" s="8">
        <f t="shared" si="56"/>
        <v>44055.340000000004</v>
      </c>
      <c r="AA342" s="8">
        <f t="shared" si="63"/>
        <v>65188.659999999996</v>
      </c>
      <c r="AB342" s="10">
        <f t="shared" si="64"/>
        <v>0.59672531214528945</v>
      </c>
      <c r="AC342" s="14">
        <f>_xlfn.MINIFS($C$2:$C$633, $J$2:$J$633, J342)</f>
        <v>44945</v>
      </c>
      <c r="AD342">
        <f>DATEDIF(AC342, C342, "m")</f>
        <v>15</v>
      </c>
      <c r="AE342" s="8">
        <f t="shared" si="65"/>
        <v>3524</v>
      </c>
    </row>
    <row r="343" spans="1:31" x14ac:dyDescent="0.3">
      <c r="A343" s="4" t="s">
        <v>615</v>
      </c>
      <c r="B343" s="6">
        <v>45523</v>
      </c>
      <c r="C343" s="14">
        <v>45523</v>
      </c>
      <c r="D343" s="14" t="str">
        <f t="shared" si="57"/>
        <v>Q3 -2024</v>
      </c>
      <c r="E343" s="6">
        <v>45537</v>
      </c>
      <c r="F343" s="6">
        <f t="shared" si="58"/>
        <v>45537</v>
      </c>
      <c r="G343" s="12">
        <f t="shared" si="59"/>
        <v>14</v>
      </c>
      <c r="H343" s="12">
        <f t="shared" si="60"/>
        <v>0</v>
      </c>
      <c r="I343" s="4" t="s">
        <v>648</v>
      </c>
      <c r="J343" s="4" t="s">
        <v>653</v>
      </c>
      <c r="K343" s="4" t="s">
        <v>667</v>
      </c>
      <c r="L343" t="str">
        <f t="shared" si="61"/>
        <v>Americas&gt;Canada&gt;Toronto</v>
      </c>
      <c r="M343" s="4" t="s">
        <v>704</v>
      </c>
      <c r="N343" s="4" t="s">
        <v>710</v>
      </c>
      <c r="O343" s="4" t="s">
        <v>712</v>
      </c>
      <c r="P343" s="4" t="s">
        <v>728</v>
      </c>
      <c r="Q343" s="4" t="s">
        <v>1333</v>
      </c>
      <c r="R343" s="8">
        <v>1337.01</v>
      </c>
      <c r="S343" s="8">
        <v>1269.78</v>
      </c>
      <c r="T343" s="8">
        <v>1269.78</v>
      </c>
      <c r="U343" s="8" t="str">
        <f>IF(T343&lt;=_xlfn.PERCENTILE.INC($T343:$T$633,0.33), "Low", IF(T343&lt;=_xlfn.PERCENTILE.INC($T343:$T$633,0.66), "Medium", "High"))</f>
        <v>Medium</v>
      </c>
      <c r="V343" s="10">
        <v>0.16</v>
      </c>
      <c r="W343" s="10">
        <f t="shared" si="62"/>
        <v>0.16</v>
      </c>
      <c r="X343" s="12">
        <v>7</v>
      </c>
      <c r="Y343" s="8">
        <f t="shared" si="55"/>
        <v>7466.3063999999986</v>
      </c>
      <c r="Z343" s="8">
        <f t="shared" si="56"/>
        <v>9359.07</v>
      </c>
      <c r="AA343" s="8">
        <f t="shared" si="63"/>
        <v>-1892.7636000000011</v>
      </c>
      <c r="AB343" s="10">
        <f t="shared" si="64"/>
        <v>-0.25350735672996244</v>
      </c>
      <c r="AC343" s="14">
        <f>_xlfn.MINIFS($C$2:$C$633, $J$2:$J$633, J343)</f>
        <v>44928</v>
      </c>
      <c r="AD343">
        <f>DATEDIF(AC343, C343, "m")</f>
        <v>19</v>
      </c>
      <c r="AE343" s="8">
        <f t="shared" si="65"/>
        <v>1066.6151999999997</v>
      </c>
    </row>
    <row r="344" spans="1:31" x14ac:dyDescent="0.3">
      <c r="A344" s="4" t="s">
        <v>172</v>
      </c>
      <c r="B344" s="6">
        <v>45531</v>
      </c>
      <c r="C344" s="14">
        <v>45531</v>
      </c>
      <c r="D344" s="14" t="str">
        <f t="shared" si="57"/>
        <v>Q3 -2024</v>
      </c>
      <c r="E344" s="6">
        <v>45553</v>
      </c>
      <c r="F344" s="6">
        <f t="shared" si="58"/>
        <v>45553</v>
      </c>
      <c r="G344" s="12">
        <f t="shared" si="59"/>
        <v>22</v>
      </c>
      <c r="H344" s="12">
        <f t="shared" si="60"/>
        <v>0</v>
      </c>
      <c r="I344" s="4" t="s">
        <v>647</v>
      </c>
      <c r="J344" s="4" t="s">
        <v>654</v>
      </c>
      <c r="K344" s="4" t="s">
        <v>680</v>
      </c>
      <c r="L344" t="str">
        <f t="shared" si="61"/>
        <v>Asia&gt;India&gt;Delhi</v>
      </c>
      <c r="M344" s="4" t="s">
        <v>704</v>
      </c>
      <c r="N344" s="4" t="s">
        <v>711</v>
      </c>
      <c r="O344" s="4" t="s">
        <v>717</v>
      </c>
      <c r="P344" s="4" t="s">
        <v>727</v>
      </c>
      <c r="Q344" s="4" t="s">
        <v>891</v>
      </c>
      <c r="R344" s="8">
        <v>896.75</v>
      </c>
      <c r="S344" s="8">
        <v>1651.14</v>
      </c>
      <c r="T344" s="8">
        <v>1651.14</v>
      </c>
      <c r="U344" s="8" t="str">
        <f>IF(T344&lt;=_xlfn.PERCENTILE.INC($T344:$T$633,0.33), "Low", IF(T344&lt;=_xlfn.PERCENTILE.INC($T344:$T$633,0.66), "Medium", "High"))</f>
        <v>High</v>
      </c>
      <c r="V344" s="10">
        <v>2.5000000000000001E-2</v>
      </c>
      <c r="W344" s="10">
        <f t="shared" si="62"/>
        <v>2.5000000000000001E-2</v>
      </c>
      <c r="X344" s="12">
        <v>15</v>
      </c>
      <c r="Y344" s="8">
        <f t="shared" si="55"/>
        <v>24147.922500000001</v>
      </c>
      <c r="Z344" s="8">
        <f t="shared" si="56"/>
        <v>13451.25</v>
      </c>
      <c r="AA344" s="8">
        <f t="shared" si="63"/>
        <v>10696.672500000001</v>
      </c>
      <c r="AB344" s="10">
        <f t="shared" si="64"/>
        <v>0.44296450346815552</v>
      </c>
      <c r="AC344" s="14">
        <f>_xlfn.MINIFS($C$2:$C$633, $J$2:$J$633, J344)</f>
        <v>44955</v>
      </c>
      <c r="AD344">
        <f>DATEDIF(AC344, C344, "m")</f>
        <v>18</v>
      </c>
      <c r="AE344" s="8">
        <f t="shared" si="65"/>
        <v>1609.8615</v>
      </c>
    </row>
    <row r="345" spans="1:31" x14ac:dyDescent="0.3">
      <c r="A345" s="4" t="s">
        <v>573</v>
      </c>
      <c r="B345" s="6">
        <v>45430</v>
      </c>
      <c r="C345" s="14">
        <v>45430</v>
      </c>
      <c r="D345" s="14" t="str">
        <f t="shared" si="57"/>
        <v>Q2 -2024</v>
      </c>
      <c r="E345" s="6">
        <v>45434</v>
      </c>
      <c r="F345" s="6">
        <f t="shared" si="58"/>
        <v>45434</v>
      </c>
      <c r="G345" s="12">
        <f t="shared" si="59"/>
        <v>4</v>
      </c>
      <c r="H345" s="12">
        <f t="shared" si="60"/>
        <v>1</v>
      </c>
      <c r="I345" s="4" t="s">
        <v>646</v>
      </c>
      <c r="J345" s="4" t="s">
        <v>650</v>
      </c>
      <c r="K345" s="4" t="s">
        <v>664</v>
      </c>
      <c r="L345" t="str">
        <f t="shared" si="61"/>
        <v>Africa&gt;Kenya&gt;Nairobi</v>
      </c>
      <c r="M345" s="4" t="s">
        <v>701</v>
      </c>
      <c r="N345" s="4" t="s">
        <v>711</v>
      </c>
      <c r="O345" s="4" t="s">
        <v>722</v>
      </c>
      <c r="P345" s="4" t="s">
        <v>733</v>
      </c>
      <c r="Q345" s="4" t="s">
        <v>1291</v>
      </c>
      <c r="R345" s="8">
        <v>857.42</v>
      </c>
      <c r="S345" s="8">
        <v>1658.92</v>
      </c>
      <c r="T345" s="8">
        <v>1658.92</v>
      </c>
      <c r="U345" s="8" t="str">
        <f>IF(T345&lt;=_xlfn.PERCENTILE.INC($T345:$T$633,0.33), "Low", IF(T345&lt;=_xlfn.PERCENTILE.INC($T345:$T$633,0.66), "Medium", "High"))</f>
        <v>High</v>
      </c>
      <c r="V345" s="10">
        <v>0.122</v>
      </c>
      <c r="W345" s="10">
        <f t="shared" si="62"/>
        <v>0.122</v>
      </c>
      <c r="X345" s="12">
        <v>9</v>
      </c>
      <c r="Y345" s="8">
        <f t="shared" si="55"/>
        <v>13108.78584</v>
      </c>
      <c r="Z345" s="8">
        <f t="shared" si="56"/>
        <v>7716.78</v>
      </c>
      <c r="AA345" s="8">
        <f t="shared" si="63"/>
        <v>5392.0058400000007</v>
      </c>
      <c r="AB345" s="10">
        <f t="shared" si="64"/>
        <v>0.41132763215544305</v>
      </c>
      <c r="AC345" s="14">
        <f>_xlfn.MINIFS($C$2:$C$633, $J$2:$J$633, J345)</f>
        <v>44946</v>
      </c>
      <c r="AD345">
        <f>DATEDIF(AC345, C345, "m")</f>
        <v>15</v>
      </c>
      <c r="AE345" s="8">
        <f t="shared" si="65"/>
        <v>1456.5317600000001</v>
      </c>
    </row>
    <row r="346" spans="1:31" x14ac:dyDescent="0.3">
      <c r="A346" s="4" t="s">
        <v>463</v>
      </c>
      <c r="B346" s="6">
        <v>45454</v>
      </c>
      <c r="C346" s="14">
        <v>45454</v>
      </c>
      <c r="D346" s="14" t="str">
        <f t="shared" si="57"/>
        <v>Q2 -2024</v>
      </c>
      <c r="E346" s="6">
        <v>45482</v>
      </c>
      <c r="F346" s="6">
        <f t="shared" si="58"/>
        <v>45482</v>
      </c>
      <c r="G346" s="12">
        <f t="shared" si="59"/>
        <v>28</v>
      </c>
      <c r="H346" s="12">
        <f t="shared" si="60"/>
        <v>0</v>
      </c>
      <c r="I346" s="4" t="s">
        <v>646</v>
      </c>
      <c r="J346" s="4" t="s">
        <v>651</v>
      </c>
      <c r="K346" s="4" t="s">
        <v>663</v>
      </c>
      <c r="L346" t="str">
        <f t="shared" si="61"/>
        <v>Africa&gt;Nigeria&gt;Port Harcourt</v>
      </c>
      <c r="M346" s="4" t="s">
        <v>701</v>
      </c>
      <c r="N346" s="4" t="s">
        <v>709</v>
      </c>
      <c r="O346" s="4" t="s">
        <v>714</v>
      </c>
      <c r="P346" s="4" t="s">
        <v>730</v>
      </c>
      <c r="Q346" s="4" t="s">
        <v>1182</v>
      </c>
      <c r="R346" s="8">
        <v>895.54</v>
      </c>
      <c r="S346" s="8">
        <v>1045</v>
      </c>
      <c r="T346" s="8">
        <v>1045</v>
      </c>
      <c r="U346" s="8" t="str">
        <f>IF(T346&lt;=_xlfn.PERCENTILE.INC($T346:$T$633,0.33), "Low", IF(T346&lt;=_xlfn.PERCENTILE.INC($T346:$T$633,0.66), "Medium", "High"))</f>
        <v>Medium</v>
      </c>
      <c r="V346" s="10">
        <v>0.216</v>
      </c>
      <c r="W346" s="10">
        <f t="shared" si="62"/>
        <v>0.216</v>
      </c>
      <c r="X346" s="12">
        <v>15</v>
      </c>
      <c r="Y346" s="8">
        <f t="shared" si="55"/>
        <v>12289.2</v>
      </c>
      <c r="Z346" s="8">
        <f t="shared" si="56"/>
        <v>13433.099999999999</v>
      </c>
      <c r="AA346" s="8">
        <f t="shared" si="63"/>
        <v>-1143.8999999999978</v>
      </c>
      <c r="AB346" s="10">
        <f t="shared" si="64"/>
        <v>-9.3081730299775234E-2</v>
      </c>
      <c r="AC346" s="14">
        <f>_xlfn.MINIFS($C$2:$C$633, $J$2:$J$633, J346)</f>
        <v>44941</v>
      </c>
      <c r="AD346">
        <f>DATEDIF(AC346, C346, "m")</f>
        <v>16</v>
      </c>
      <c r="AE346" s="8">
        <f t="shared" si="65"/>
        <v>819.28000000000009</v>
      </c>
    </row>
    <row r="347" spans="1:31" x14ac:dyDescent="0.3">
      <c r="A347" s="4" t="s">
        <v>515</v>
      </c>
      <c r="B347" s="6">
        <v>45408</v>
      </c>
      <c r="C347" s="14">
        <v>45408</v>
      </c>
      <c r="D347" s="14" t="str">
        <f t="shared" si="57"/>
        <v>Q2 -2024</v>
      </c>
      <c r="E347" s="6">
        <v>45406</v>
      </c>
      <c r="F347" s="6">
        <f t="shared" si="58"/>
        <v>45413</v>
      </c>
      <c r="G347" s="12">
        <f t="shared" si="59"/>
        <v>5</v>
      </c>
      <c r="H347" s="12">
        <f t="shared" si="60"/>
        <v>1</v>
      </c>
      <c r="I347" s="4" t="s">
        <v>649</v>
      </c>
      <c r="J347" s="4" t="s">
        <v>658</v>
      </c>
      <c r="K347" s="4" t="s">
        <v>683</v>
      </c>
      <c r="L347" t="str">
        <f t="shared" si="61"/>
        <v>Europe&gt;United Kingdom&gt;London</v>
      </c>
      <c r="M347" s="4" t="s">
        <v>703</v>
      </c>
      <c r="N347" s="4" t="s">
        <v>710</v>
      </c>
      <c r="O347" s="4" t="s">
        <v>725</v>
      </c>
      <c r="P347" s="4" t="s">
        <v>730</v>
      </c>
      <c r="Q347" s="4" t="s">
        <v>1234</v>
      </c>
      <c r="R347" s="8">
        <v>1232.77</v>
      </c>
      <c r="S347" s="8">
        <v>891.73</v>
      </c>
      <c r="T347" s="8">
        <v>891.73</v>
      </c>
      <c r="U347" s="8" t="str">
        <f>IF(T347&lt;=_xlfn.PERCENTILE.INC($T347:$T$633,0.33), "Low", IF(T347&lt;=_xlfn.PERCENTILE.INC($T347:$T$633,0.66), "Medium", "High"))</f>
        <v>Medium</v>
      </c>
      <c r="V347" s="10">
        <v>0.16700000000000001</v>
      </c>
      <c r="W347" s="10">
        <f t="shared" si="62"/>
        <v>0.16700000000000001</v>
      </c>
      <c r="X347" s="12">
        <v>10</v>
      </c>
      <c r="Y347" s="8">
        <f t="shared" si="55"/>
        <v>7428.1108999999988</v>
      </c>
      <c r="Z347" s="8">
        <f t="shared" si="56"/>
        <v>12327.7</v>
      </c>
      <c r="AA347" s="8">
        <f t="shared" si="63"/>
        <v>-4899.589100000002</v>
      </c>
      <c r="AB347" s="10">
        <f t="shared" si="64"/>
        <v>-0.65960096260813805</v>
      </c>
      <c r="AC347" s="14">
        <f>_xlfn.MINIFS($C$2:$C$633, $J$2:$J$633, J347)</f>
        <v>44945</v>
      </c>
      <c r="AD347">
        <f>DATEDIF(AC347, C347, "m")</f>
        <v>15</v>
      </c>
      <c r="AE347" s="8">
        <f t="shared" si="65"/>
        <v>742.81108999999992</v>
      </c>
    </row>
    <row r="348" spans="1:31" x14ac:dyDescent="0.3">
      <c r="A348" s="4" t="s">
        <v>247</v>
      </c>
      <c r="B348" s="6">
        <v>45540</v>
      </c>
      <c r="C348" s="14">
        <v>45540</v>
      </c>
      <c r="D348" s="14" t="str">
        <f t="shared" si="57"/>
        <v>Q3 -2024</v>
      </c>
      <c r="E348" s="6">
        <v>45560</v>
      </c>
      <c r="F348" s="6">
        <f t="shared" si="58"/>
        <v>45560</v>
      </c>
      <c r="G348" s="12">
        <f t="shared" si="59"/>
        <v>20</v>
      </c>
      <c r="H348" s="12">
        <f t="shared" si="60"/>
        <v>0</v>
      </c>
      <c r="I348" s="4" t="s">
        <v>647</v>
      </c>
      <c r="J348" s="4" t="s">
        <v>652</v>
      </c>
      <c r="K348" s="4" t="s">
        <v>666</v>
      </c>
      <c r="L348" t="str">
        <f t="shared" si="61"/>
        <v>Asia&gt;Japan&gt;Osaka</v>
      </c>
      <c r="M348" s="4" t="s">
        <v>706</v>
      </c>
      <c r="N348" s="4" t="s">
        <v>710</v>
      </c>
      <c r="O348" s="4" t="s">
        <v>726</v>
      </c>
      <c r="P348" s="4" t="s">
        <v>732</v>
      </c>
      <c r="Q348" s="4" t="s">
        <v>967</v>
      </c>
      <c r="R348" s="8">
        <v>195.54</v>
      </c>
      <c r="S348" s="8">
        <v>405.97</v>
      </c>
      <c r="T348" s="8">
        <v>405.97</v>
      </c>
      <c r="U348" s="8" t="str">
        <f>IF(T348&lt;=_xlfn.PERCENTILE.INC($T348:$T$633,0.33), "Low", IF(T348&lt;=_xlfn.PERCENTILE.INC($T348:$T$633,0.66), "Medium", "High"))</f>
        <v>Low</v>
      </c>
      <c r="V348" s="10">
        <v>0.187</v>
      </c>
      <c r="W348" s="10">
        <f t="shared" si="62"/>
        <v>0.187</v>
      </c>
      <c r="X348" s="12">
        <v>16</v>
      </c>
      <c r="Y348" s="8">
        <f t="shared" si="55"/>
        <v>5280.8577599999999</v>
      </c>
      <c r="Z348" s="8">
        <f t="shared" si="56"/>
        <v>3128.64</v>
      </c>
      <c r="AA348" s="8">
        <f t="shared" si="63"/>
        <v>2152.21776</v>
      </c>
      <c r="AB348" s="10">
        <f t="shared" si="64"/>
        <v>0.40755079152141377</v>
      </c>
      <c r="AC348" s="14">
        <f>_xlfn.MINIFS($C$2:$C$633, $J$2:$J$633, J348)</f>
        <v>44988</v>
      </c>
      <c r="AD348">
        <f>DATEDIF(AC348, C348, "m")</f>
        <v>18</v>
      </c>
      <c r="AE348" s="8">
        <f t="shared" si="65"/>
        <v>330.05360999999999</v>
      </c>
    </row>
    <row r="349" spans="1:31" x14ac:dyDescent="0.3">
      <c r="A349" s="4" t="s">
        <v>350</v>
      </c>
      <c r="B349" s="6">
        <v>45484</v>
      </c>
      <c r="C349" s="14">
        <v>45484</v>
      </c>
      <c r="D349" s="14" t="str">
        <f t="shared" si="57"/>
        <v>Q3 -2024</v>
      </c>
      <c r="E349" s="6">
        <v>45504</v>
      </c>
      <c r="F349" s="6">
        <f t="shared" si="58"/>
        <v>45504</v>
      </c>
      <c r="G349" s="12">
        <f t="shared" si="59"/>
        <v>20</v>
      </c>
      <c r="H349" s="12">
        <f t="shared" si="60"/>
        <v>0</v>
      </c>
      <c r="I349" s="4" t="s">
        <v>647</v>
      </c>
      <c r="J349" s="4" t="s">
        <v>659</v>
      </c>
      <c r="K349" s="4" t="s">
        <v>676</v>
      </c>
      <c r="L349" t="str">
        <f t="shared" si="61"/>
        <v>Asia&gt;China&gt;Shenzhen</v>
      </c>
      <c r="M349" s="4" t="s">
        <v>704</v>
      </c>
      <c r="N349" s="4" t="s">
        <v>708</v>
      </c>
      <c r="O349" s="4" t="s">
        <v>715</v>
      </c>
      <c r="P349" s="4" t="s">
        <v>730</v>
      </c>
      <c r="Q349" s="4" t="s">
        <v>1070</v>
      </c>
      <c r="R349" s="8">
        <v>647.26</v>
      </c>
      <c r="S349" s="8">
        <v>1374.72</v>
      </c>
      <c r="T349" s="8">
        <v>1374.72</v>
      </c>
      <c r="U349" s="8" t="str">
        <f>IF(T349&lt;=_xlfn.PERCENTILE.INC($T349:$T$633,0.33), "Low", IF(T349&lt;=_xlfn.PERCENTILE.INC($T349:$T$633,0.66), "Medium", "High"))</f>
        <v>Medium</v>
      </c>
      <c r="V349" s="10">
        <v>6.6000000000000003E-2</v>
      </c>
      <c r="W349" s="10">
        <f t="shared" si="62"/>
        <v>6.6000000000000003E-2</v>
      </c>
      <c r="X349" s="12">
        <v>22</v>
      </c>
      <c r="Y349" s="8">
        <f t="shared" si="55"/>
        <v>28247.74656</v>
      </c>
      <c r="Z349" s="8">
        <f t="shared" si="56"/>
        <v>14239.72</v>
      </c>
      <c r="AA349" s="8">
        <f t="shared" si="63"/>
        <v>14008.02656</v>
      </c>
      <c r="AB349" s="10">
        <f t="shared" si="64"/>
        <v>0.49589890401508901</v>
      </c>
      <c r="AC349" s="14">
        <f>_xlfn.MINIFS($C$2:$C$633, $J$2:$J$633, J349)</f>
        <v>44938</v>
      </c>
      <c r="AD349">
        <f>DATEDIF(AC349, C349, "m")</f>
        <v>17</v>
      </c>
      <c r="AE349" s="8">
        <f t="shared" si="65"/>
        <v>1283.98848</v>
      </c>
    </row>
    <row r="350" spans="1:31" x14ac:dyDescent="0.3">
      <c r="A350" s="4" t="s">
        <v>602</v>
      </c>
      <c r="B350" s="6">
        <v>45459</v>
      </c>
      <c r="C350" s="14">
        <v>45459</v>
      </c>
      <c r="D350" s="14" t="str">
        <f t="shared" si="57"/>
        <v>Q2 -2024</v>
      </c>
      <c r="E350" s="6">
        <v>45464</v>
      </c>
      <c r="F350" s="6">
        <f t="shared" si="58"/>
        <v>45464</v>
      </c>
      <c r="G350" s="12">
        <f t="shared" si="59"/>
        <v>5</v>
      </c>
      <c r="H350" s="12">
        <f t="shared" si="60"/>
        <v>1</v>
      </c>
      <c r="I350" s="4" t="s">
        <v>647</v>
      </c>
      <c r="J350" s="4" t="s">
        <v>652</v>
      </c>
      <c r="K350" s="4" t="s">
        <v>689</v>
      </c>
      <c r="L350" t="str">
        <f t="shared" si="61"/>
        <v>Asia&gt;Japan&gt;Tokyo</v>
      </c>
      <c r="M350" s="4" t="s">
        <v>705</v>
      </c>
      <c r="N350" s="4" t="s">
        <v>710</v>
      </c>
      <c r="O350" s="4" t="s">
        <v>721</v>
      </c>
      <c r="P350" s="4" t="s">
        <v>730</v>
      </c>
      <c r="Q350" s="4" t="s">
        <v>1320</v>
      </c>
      <c r="R350" s="8">
        <v>1367.13</v>
      </c>
      <c r="S350" s="8">
        <v>3062.01</v>
      </c>
      <c r="T350" s="8">
        <v>3062.01</v>
      </c>
      <c r="U350" s="8" t="str">
        <f>IF(T350&lt;=_xlfn.PERCENTILE.INC($T350:$T$633,0.33), "Low", IF(T350&lt;=_xlfn.PERCENTILE.INC($T350:$T$633,0.66), "Medium", "High"))</f>
        <v>High</v>
      </c>
      <c r="V350" s="10">
        <v>0.10299999999999999</v>
      </c>
      <c r="W350" s="10">
        <f t="shared" si="62"/>
        <v>0.10299999999999999</v>
      </c>
      <c r="X350" s="12">
        <v>25</v>
      </c>
      <c r="Y350" s="8">
        <f t="shared" si="55"/>
        <v>68665.574250000005</v>
      </c>
      <c r="Z350" s="8">
        <f t="shared" si="56"/>
        <v>34178.25</v>
      </c>
      <c r="AA350" s="8">
        <f t="shared" si="63"/>
        <v>34487.324250000005</v>
      </c>
      <c r="AB350" s="10">
        <f t="shared" si="64"/>
        <v>0.50225057645971705</v>
      </c>
      <c r="AC350" s="14">
        <f>_xlfn.MINIFS($C$2:$C$633, $J$2:$J$633, J350)</f>
        <v>44988</v>
      </c>
      <c r="AD350">
        <f>DATEDIF(AC350, C350, "m")</f>
        <v>15</v>
      </c>
      <c r="AE350" s="8">
        <f t="shared" si="65"/>
        <v>2746.6229700000004</v>
      </c>
    </row>
    <row r="351" spans="1:31" x14ac:dyDescent="0.3">
      <c r="A351" s="4" t="s">
        <v>508</v>
      </c>
      <c r="B351" s="6">
        <v>45439</v>
      </c>
      <c r="C351" s="14">
        <v>45439</v>
      </c>
      <c r="D351" s="14" t="str">
        <f t="shared" si="57"/>
        <v>Q2 -2024</v>
      </c>
      <c r="E351" s="6">
        <v>45460</v>
      </c>
      <c r="F351" s="6">
        <f t="shared" si="58"/>
        <v>45460</v>
      </c>
      <c r="G351" s="12">
        <f t="shared" si="59"/>
        <v>21</v>
      </c>
      <c r="H351" s="12">
        <f t="shared" si="60"/>
        <v>0</v>
      </c>
      <c r="I351" s="4" t="s">
        <v>647</v>
      </c>
      <c r="J351" s="4" t="s">
        <v>654</v>
      </c>
      <c r="K351" s="4" t="s">
        <v>680</v>
      </c>
      <c r="L351" t="str">
        <f t="shared" si="61"/>
        <v>Asia&gt;India&gt;Delhi</v>
      </c>
      <c r="M351" s="4" t="s">
        <v>705</v>
      </c>
      <c r="N351" s="4" t="s">
        <v>708</v>
      </c>
      <c r="O351" s="4" t="s">
        <v>722</v>
      </c>
      <c r="P351" s="4" t="s">
        <v>733</v>
      </c>
      <c r="Q351" s="4" t="s">
        <v>1227</v>
      </c>
      <c r="R351" s="8">
        <v>465.02</v>
      </c>
      <c r="S351" s="8">
        <v>651.55999999999995</v>
      </c>
      <c r="T351" s="8">
        <v>651.55999999999995</v>
      </c>
      <c r="U351" s="8" t="str">
        <f>IF(T351&lt;=_xlfn.PERCENTILE.INC($T351:$T$633,0.33), "Low", IF(T351&lt;=_xlfn.PERCENTILE.INC($T351:$T$633,0.66), "Medium", "High"))</f>
        <v>Low</v>
      </c>
      <c r="V351" s="10">
        <v>4.2000000000000003E-2</v>
      </c>
      <c r="W351" s="10">
        <f t="shared" si="62"/>
        <v>4.2000000000000003E-2</v>
      </c>
      <c r="X351" s="12">
        <v>19</v>
      </c>
      <c r="Y351" s="8">
        <f t="shared" si="55"/>
        <v>11859.695119999998</v>
      </c>
      <c r="Z351" s="8">
        <f t="shared" si="56"/>
        <v>8835.3799999999992</v>
      </c>
      <c r="AA351" s="8">
        <f t="shared" si="63"/>
        <v>3024.3151199999993</v>
      </c>
      <c r="AB351" s="10">
        <f t="shared" si="64"/>
        <v>0.25500783025187918</v>
      </c>
      <c r="AC351" s="14">
        <f>_xlfn.MINIFS($C$2:$C$633, $J$2:$J$633, J351)</f>
        <v>44955</v>
      </c>
      <c r="AD351">
        <f>DATEDIF(AC351, C351, "m")</f>
        <v>15</v>
      </c>
      <c r="AE351" s="8">
        <f t="shared" si="65"/>
        <v>624.19447999999988</v>
      </c>
    </row>
    <row r="352" spans="1:31" x14ac:dyDescent="0.3">
      <c r="A352" s="4" t="s">
        <v>292</v>
      </c>
      <c r="B352" s="6">
        <v>45459</v>
      </c>
      <c r="C352" s="14">
        <v>45459</v>
      </c>
      <c r="D352" s="14" t="str">
        <f t="shared" si="57"/>
        <v>Q2 -2024</v>
      </c>
      <c r="E352" s="6">
        <v>45476</v>
      </c>
      <c r="F352" s="6">
        <f t="shared" si="58"/>
        <v>45476</v>
      </c>
      <c r="G352" s="12">
        <f t="shared" si="59"/>
        <v>17</v>
      </c>
      <c r="H352" s="12">
        <f t="shared" si="60"/>
        <v>0</v>
      </c>
      <c r="I352" s="4" t="s">
        <v>646</v>
      </c>
      <c r="J352" s="4" t="s">
        <v>661</v>
      </c>
      <c r="K352" s="4" t="s">
        <v>682</v>
      </c>
      <c r="L352" t="str">
        <f t="shared" si="61"/>
        <v>Africa&gt;South Africa&gt;Johannesburg</v>
      </c>
      <c r="M352" s="4" t="s">
        <v>706</v>
      </c>
      <c r="N352" s="4" t="s">
        <v>709</v>
      </c>
      <c r="O352" s="4" t="s">
        <v>721</v>
      </c>
      <c r="P352" s="4" t="s">
        <v>730</v>
      </c>
      <c r="Q352" s="4" t="s">
        <v>1012</v>
      </c>
      <c r="R352" s="8">
        <v>1173.83</v>
      </c>
      <c r="S352" s="8">
        <v>2328.9</v>
      </c>
      <c r="T352" s="8">
        <v>2328.9</v>
      </c>
      <c r="U352" s="8" t="str">
        <f>IF(T352&lt;=_xlfn.PERCENTILE.INC($T352:$T$633,0.33), "Low", IF(T352&lt;=_xlfn.PERCENTILE.INC($T352:$T$633,0.66), "Medium", "High"))</f>
        <v>High</v>
      </c>
      <c r="V352" s="10">
        <v>0.12</v>
      </c>
      <c r="W352" s="10">
        <f t="shared" si="62"/>
        <v>0.12</v>
      </c>
      <c r="X352" s="12">
        <v>17</v>
      </c>
      <c r="Y352" s="8">
        <f t="shared" si="55"/>
        <v>34840.344000000005</v>
      </c>
      <c r="Z352" s="8">
        <f t="shared" si="56"/>
        <v>19955.11</v>
      </c>
      <c r="AA352" s="8">
        <f t="shared" si="63"/>
        <v>14885.234000000004</v>
      </c>
      <c r="AB352" s="10">
        <f t="shared" si="64"/>
        <v>0.42724130393201637</v>
      </c>
      <c r="AC352" s="14">
        <f>_xlfn.MINIFS($C$2:$C$633, $J$2:$J$633, J352)</f>
        <v>44933</v>
      </c>
      <c r="AD352">
        <f>DATEDIF(AC352, C352, "m")</f>
        <v>17</v>
      </c>
      <c r="AE352" s="8">
        <f t="shared" si="65"/>
        <v>2049.4320000000002</v>
      </c>
    </row>
    <row r="353" spans="1:31" x14ac:dyDescent="0.3">
      <c r="A353" s="4" t="s">
        <v>448</v>
      </c>
      <c r="B353" s="6">
        <v>45542</v>
      </c>
      <c r="C353" s="14">
        <v>45542</v>
      </c>
      <c r="D353" s="14" t="str">
        <f t="shared" si="57"/>
        <v>Q3 -2024</v>
      </c>
      <c r="E353" s="6">
        <v>45553</v>
      </c>
      <c r="F353" s="6">
        <f t="shared" si="58"/>
        <v>45553</v>
      </c>
      <c r="G353" s="12">
        <f t="shared" si="59"/>
        <v>11</v>
      </c>
      <c r="H353" s="12">
        <f t="shared" si="60"/>
        <v>0</v>
      </c>
      <c r="I353" s="4" t="s">
        <v>647</v>
      </c>
      <c r="J353" s="4" t="s">
        <v>659</v>
      </c>
      <c r="K353" s="4" t="s">
        <v>699</v>
      </c>
      <c r="L353" t="str">
        <f t="shared" si="61"/>
        <v>Asia&gt;China&gt;Beijing</v>
      </c>
      <c r="M353" s="4" t="s">
        <v>704</v>
      </c>
      <c r="N353" s="4" t="s">
        <v>710</v>
      </c>
      <c r="O353" s="4" t="s">
        <v>719</v>
      </c>
      <c r="P353" s="4" t="s">
        <v>729</v>
      </c>
      <c r="Q353" s="4" t="s">
        <v>1167</v>
      </c>
      <c r="R353" s="8">
        <v>181.74</v>
      </c>
      <c r="S353" s="8">
        <v>190.84</v>
      </c>
      <c r="T353" s="8">
        <v>190.84</v>
      </c>
      <c r="U353" s="8" t="str">
        <f>IF(T353&lt;=_xlfn.PERCENTILE.INC($T353:$T$633,0.33), "Low", IF(T353&lt;=_xlfn.PERCENTILE.INC($T353:$T$633,0.66), "Medium", "High"))</f>
        <v>Low</v>
      </c>
      <c r="V353" s="10">
        <v>0.214</v>
      </c>
      <c r="W353" s="10">
        <f t="shared" si="62"/>
        <v>0.214</v>
      </c>
      <c r="X353" s="12">
        <v>13</v>
      </c>
      <c r="Y353" s="8">
        <f t="shared" si="55"/>
        <v>1950.0031200000001</v>
      </c>
      <c r="Z353" s="8">
        <f t="shared" si="56"/>
        <v>2362.62</v>
      </c>
      <c r="AA353" s="8">
        <f t="shared" si="63"/>
        <v>-412.61687999999981</v>
      </c>
      <c r="AB353" s="10">
        <f t="shared" si="64"/>
        <v>-0.21159806144310159</v>
      </c>
      <c r="AC353" s="14">
        <f>_xlfn.MINIFS($C$2:$C$633, $J$2:$J$633, J353)</f>
        <v>44938</v>
      </c>
      <c r="AD353">
        <f>DATEDIF(AC353, C353, "m")</f>
        <v>19</v>
      </c>
      <c r="AE353" s="8">
        <f t="shared" si="65"/>
        <v>150.00024000000002</v>
      </c>
    </row>
    <row r="354" spans="1:31" x14ac:dyDescent="0.3">
      <c r="A354" s="4" t="s">
        <v>141</v>
      </c>
      <c r="B354" s="6">
        <v>45450</v>
      </c>
      <c r="C354" s="14">
        <v>45450</v>
      </c>
      <c r="D354" s="14" t="str">
        <f t="shared" si="57"/>
        <v>Q2 -2024</v>
      </c>
      <c r="E354" s="6">
        <v>45469</v>
      </c>
      <c r="F354" s="6">
        <f t="shared" si="58"/>
        <v>45469</v>
      </c>
      <c r="G354" s="12">
        <f t="shared" si="59"/>
        <v>19</v>
      </c>
      <c r="H354" s="12">
        <f t="shared" si="60"/>
        <v>0</v>
      </c>
      <c r="I354" s="4" t="s">
        <v>649</v>
      </c>
      <c r="J354" s="4" t="s">
        <v>656</v>
      </c>
      <c r="K354" s="4" t="s">
        <v>671</v>
      </c>
      <c r="L354" t="str">
        <f t="shared" si="61"/>
        <v>Europe&gt;Germany&gt;Berlin</v>
      </c>
      <c r="M354" s="4" t="s">
        <v>703</v>
      </c>
      <c r="N354" s="4" t="s">
        <v>709</v>
      </c>
      <c r="O354" s="4" t="s">
        <v>724</v>
      </c>
      <c r="P354" s="4" t="s">
        <v>727</v>
      </c>
      <c r="Q354" s="4" t="s">
        <v>860</v>
      </c>
      <c r="R354" s="8">
        <v>1064.32</v>
      </c>
      <c r="S354" s="8">
        <v>1848.39</v>
      </c>
      <c r="T354" s="8">
        <v>1848.39</v>
      </c>
      <c r="U354" s="8" t="str">
        <f>IF(T354&lt;=_xlfn.PERCENTILE.INC($T354:$T$633,0.33), "Low", IF(T354&lt;=_xlfn.PERCENTILE.INC($T354:$T$633,0.66), "Medium", "High"))</f>
        <v>High</v>
      </c>
      <c r="V354" s="10">
        <v>7.2999999999999995E-2</v>
      </c>
      <c r="W354" s="10">
        <f t="shared" si="62"/>
        <v>7.2999999999999995E-2</v>
      </c>
      <c r="X354" s="12">
        <v>38</v>
      </c>
      <c r="Y354" s="8">
        <f t="shared" si="55"/>
        <v>65111.38614000001</v>
      </c>
      <c r="Z354" s="8">
        <f t="shared" si="56"/>
        <v>40444.159999999996</v>
      </c>
      <c r="AA354" s="8">
        <f t="shared" si="63"/>
        <v>24667.226140000013</v>
      </c>
      <c r="AB354" s="10">
        <f t="shared" si="64"/>
        <v>0.3788465827921631</v>
      </c>
      <c r="AC354" s="14">
        <f>_xlfn.MINIFS($C$2:$C$633, $J$2:$J$633, J354)</f>
        <v>44948</v>
      </c>
      <c r="AD354">
        <f>DATEDIF(AC354, C354, "m")</f>
        <v>16</v>
      </c>
      <c r="AE354" s="8">
        <f t="shared" si="65"/>
        <v>1713.4575300000004</v>
      </c>
    </row>
    <row r="355" spans="1:31" x14ac:dyDescent="0.3">
      <c r="A355" s="4" t="s">
        <v>613</v>
      </c>
      <c r="B355" s="6">
        <v>45521</v>
      </c>
      <c r="C355" s="14">
        <v>45521</v>
      </c>
      <c r="D355" s="14" t="str">
        <f t="shared" si="57"/>
        <v>Q3 -2024</v>
      </c>
      <c r="E355" s="6">
        <v>45519</v>
      </c>
      <c r="F355" s="6">
        <f t="shared" si="58"/>
        <v>45526</v>
      </c>
      <c r="G355" s="12">
        <f t="shared" si="59"/>
        <v>5</v>
      </c>
      <c r="H355" s="12">
        <f t="shared" si="60"/>
        <v>1</v>
      </c>
      <c r="I355" s="4" t="s">
        <v>648</v>
      </c>
      <c r="J355" s="4" t="s">
        <v>655</v>
      </c>
      <c r="K355" s="4" t="s">
        <v>692</v>
      </c>
      <c r="L355" t="str">
        <f t="shared" si="61"/>
        <v>Americas&gt;Brazil&gt;Rio de Janeiro</v>
      </c>
      <c r="M355" s="4" t="s">
        <v>704</v>
      </c>
      <c r="N355" s="4" t="s">
        <v>711</v>
      </c>
      <c r="O355" s="4" t="s">
        <v>724</v>
      </c>
      <c r="P355" s="4" t="s">
        <v>732</v>
      </c>
      <c r="Q355" s="4" t="s">
        <v>1331</v>
      </c>
      <c r="R355" s="8">
        <v>165.3</v>
      </c>
      <c r="S355" s="8">
        <v>275.07</v>
      </c>
      <c r="T355" s="8">
        <v>275.07</v>
      </c>
      <c r="U355" s="8" t="str">
        <f>IF(T355&lt;=_xlfn.PERCENTILE.INC($T355:$T$633,0.33), "Low", IF(T355&lt;=_xlfn.PERCENTILE.INC($T355:$T$633,0.66), "Medium", "High"))</f>
        <v>Low</v>
      </c>
      <c r="V355" s="10">
        <v>0.13300000000000001</v>
      </c>
      <c r="W355" s="10">
        <f t="shared" si="62"/>
        <v>0.13300000000000001</v>
      </c>
      <c r="X355" s="12">
        <v>25</v>
      </c>
      <c r="Y355" s="8">
        <f t="shared" si="55"/>
        <v>5962.1422499999999</v>
      </c>
      <c r="Z355" s="8">
        <f t="shared" si="56"/>
        <v>4132.5</v>
      </c>
      <c r="AA355" s="8">
        <f t="shared" si="63"/>
        <v>1829.6422499999999</v>
      </c>
      <c r="AB355" s="10">
        <f t="shared" si="64"/>
        <v>0.30687665159280625</v>
      </c>
      <c r="AC355" s="14">
        <f>_xlfn.MINIFS($C$2:$C$633, $J$2:$J$633, J355)</f>
        <v>44955</v>
      </c>
      <c r="AD355">
        <f>DATEDIF(AC355, C355, "m")</f>
        <v>18</v>
      </c>
      <c r="AE355" s="8">
        <f t="shared" si="65"/>
        <v>238.48569000000001</v>
      </c>
    </row>
    <row r="356" spans="1:31" x14ac:dyDescent="0.3">
      <c r="A356" s="4" t="s">
        <v>138</v>
      </c>
      <c r="B356" s="6">
        <v>45598</v>
      </c>
      <c r="C356" s="14">
        <v>45598</v>
      </c>
      <c r="D356" s="14" t="str">
        <f t="shared" si="57"/>
        <v>Q4 -2024</v>
      </c>
      <c r="E356" s="6">
        <v>45625</v>
      </c>
      <c r="F356" s="6">
        <f t="shared" si="58"/>
        <v>45625</v>
      </c>
      <c r="G356" s="12">
        <f t="shared" si="59"/>
        <v>27</v>
      </c>
      <c r="H356" s="12">
        <f t="shared" si="60"/>
        <v>0</v>
      </c>
      <c r="I356" s="4" t="s">
        <v>648</v>
      </c>
      <c r="J356" s="4" t="s">
        <v>655</v>
      </c>
      <c r="K356" s="4" t="s">
        <v>672</v>
      </c>
      <c r="L356" t="str">
        <f t="shared" si="61"/>
        <v>Americas&gt;Brazil&gt;Brasília</v>
      </c>
      <c r="M356" s="4" t="s">
        <v>705</v>
      </c>
      <c r="N356" s="4" t="s">
        <v>711</v>
      </c>
      <c r="O356" s="4" t="s">
        <v>714</v>
      </c>
      <c r="P356" s="4" t="s">
        <v>729</v>
      </c>
      <c r="Q356" s="4" t="s">
        <v>857</v>
      </c>
      <c r="R356" s="8">
        <v>1363.51</v>
      </c>
      <c r="S356" s="8">
        <v>1433.9</v>
      </c>
      <c r="T356" s="8">
        <v>1433.9</v>
      </c>
      <c r="U356" s="8" t="str">
        <f>IF(T356&lt;=_xlfn.PERCENTILE.INC($T356:$T$633,0.33), "Low", IF(T356&lt;=_xlfn.PERCENTILE.INC($T356:$T$633,0.66), "Medium", "High"))</f>
        <v>Medium</v>
      </c>
      <c r="V356" s="10">
        <v>5.7000000000000002E-2</v>
      </c>
      <c r="W356" s="10">
        <f t="shared" si="62"/>
        <v>5.7000000000000002E-2</v>
      </c>
      <c r="X356" s="12">
        <v>8</v>
      </c>
      <c r="Y356" s="8">
        <f t="shared" si="55"/>
        <v>10817.3416</v>
      </c>
      <c r="Z356" s="8">
        <f t="shared" si="56"/>
        <v>10908.08</v>
      </c>
      <c r="AA356" s="8">
        <f t="shared" si="63"/>
        <v>-90.738400000000183</v>
      </c>
      <c r="AB356" s="10">
        <f t="shared" si="64"/>
        <v>-8.3882346842037592E-3</v>
      </c>
      <c r="AC356" s="14">
        <f>_xlfn.MINIFS($C$2:$C$633, $J$2:$J$633, J356)</f>
        <v>44955</v>
      </c>
      <c r="AD356">
        <f>DATEDIF(AC356, C356, "m")</f>
        <v>21</v>
      </c>
      <c r="AE356" s="8">
        <f t="shared" si="65"/>
        <v>1352.1677</v>
      </c>
    </row>
    <row r="357" spans="1:31" x14ac:dyDescent="0.3">
      <c r="A357" s="4" t="s">
        <v>23</v>
      </c>
      <c r="B357" s="6">
        <v>45416</v>
      </c>
      <c r="C357" s="14">
        <v>45416</v>
      </c>
      <c r="D357" s="14" t="str">
        <f t="shared" si="57"/>
        <v>Q2 -2024</v>
      </c>
      <c r="E357" s="6">
        <v>45441</v>
      </c>
      <c r="F357" s="6">
        <f t="shared" si="58"/>
        <v>45441</v>
      </c>
      <c r="G357" s="12">
        <f t="shared" si="59"/>
        <v>25</v>
      </c>
      <c r="H357" s="12">
        <f t="shared" si="60"/>
        <v>0</v>
      </c>
      <c r="I357" s="4" t="s">
        <v>646</v>
      </c>
      <c r="J357" s="4" t="s">
        <v>651</v>
      </c>
      <c r="K357" s="4" t="s">
        <v>669</v>
      </c>
      <c r="L357" t="str">
        <f t="shared" si="61"/>
        <v>Africa&gt;Nigeria&gt;Abuja</v>
      </c>
      <c r="M357" s="4" t="s">
        <v>703</v>
      </c>
      <c r="N357" s="4" t="s">
        <v>709</v>
      </c>
      <c r="O357" s="4" t="s">
        <v>719</v>
      </c>
      <c r="P357" s="4" t="s">
        <v>732</v>
      </c>
      <c r="Q357" s="4" t="s">
        <v>742</v>
      </c>
      <c r="R357" s="8">
        <v>1295.3399999999999</v>
      </c>
      <c r="S357" s="8">
        <v>2530.81</v>
      </c>
      <c r="T357" s="8">
        <v>2530.81</v>
      </c>
      <c r="U357" s="8" t="str">
        <f>IF(T357&lt;=_xlfn.PERCENTILE.INC($T357:$T$633,0.33), "Low", IF(T357&lt;=_xlfn.PERCENTILE.INC($T357:$T$633,0.66), "Medium", "High"))</f>
        <v>High</v>
      </c>
      <c r="V357" s="10">
        <v>3.1E-2</v>
      </c>
      <c r="W357" s="10">
        <f t="shared" si="62"/>
        <v>3.1E-2</v>
      </c>
      <c r="X357" s="12">
        <v>6</v>
      </c>
      <c r="Y357" s="8">
        <f t="shared" si="55"/>
        <v>14714.12934</v>
      </c>
      <c r="Z357" s="8">
        <f t="shared" si="56"/>
        <v>7772.0399999999991</v>
      </c>
      <c r="AA357" s="8">
        <f t="shared" si="63"/>
        <v>6942.0893400000004</v>
      </c>
      <c r="AB357" s="10">
        <f t="shared" si="64"/>
        <v>0.4717974933880798</v>
      </c>
      <c r="AC357" s="14">
        <f>_xlfn.MINIFS($C$2:$C$633, $J$2:$J$633, J357)</f>
        <v>44941</v>
      </c>
      <c r="AD357">
        <f>DATEDIF(AC357, C357, "m")</f>
        <v>15</v>
      </c>
      <c r="AE357" s="8">
        <f t="shared" si="65"/>
        <v>2452.3548900000001</v>
      </c>
    </row>
    <row r="358" spans="1:31" x14ac:dyDescent="0.3">
      <c r="A358" s="4" t="s">
        <v>597</v>
      </c>
      <c r="B358" s="6">
        <v>45541</v>
      </c>
      <c r="C358" s="14">
        <v>45541</v>
      </c>
      <c r="D358" s="14" t="str">
        <f t="shared" si="57"/>
        <v>Q3 -2024</v>
      </c>
      <c r="E358" s="6">
        <v>45539</v>
      </c>
      <c r="F358" s="6">
        <f t="shared" si="58"/>
        <v>45546</v>
      </c>
      <c r="G358" s="12">
        <f t="shared" si="59"/>
        <v>5</v>
      </c>
      <c r="H358" s="12">
        <f t="shared" si="60"/>
        <v>1</v>
      </c>
      <c r="I358" s="4" t="s">
        <v>647</v>
      </c>
      <c r="J358" s="4" t="s">
        <v>652</v>
      </c>
      <c r="K358" s="4" t="s">
        <v>666</v>
      </c>
      <c r="L358" t="str">
        <f t="shared" si="61"/>
        <v>Asia&gt;Japan&gt;Osaka</v>
      </c>
      <c r="M358" s="4" t="s">
        <v>701</v>
      </c>
      <c r="N358" s="4" t="s">
        <v>711</v>
      </c>
      <c r="O358" s="4" t="s">
        <v>720</v>
      </c>
      <c r="P358" s="4" t="s">
        <v>731</v>
      </c>
      <c r="Q358" s="4" t="s">
        <v>1315</v>
      </c>
      <c r="R358" s="8">
        <v>1368.17</v>
      </c>
      <c r="S358" s="8">
        <v>2307.75</v>
      </c>
      <c r="T358" s="8">
        <v>2307.75</v>
      </c>
      <c r="U358" s="8" t="str">
        <f>IF(T358&lt;=_xlfn.PERCENTILE.INC($T358:$T$633,0.33), "Low", IF(T358&lt;=_xlfn.PERCENTILE.INC($T358:$T$633,0.66), "Medium", "High"))</f>
        <v>High</v>
      </c>
      <c r="V358" s="10">
        <v>0.16300000000000001</v>
      </c>
      <c r="W358" s="10">
        <f t="shared" si="62"/>
        <v>0.16300000000000001</v>
      </c>
      <c r="X358" s="12">
        <v>21</v>
      </c>
      <c r="Y358" s="8">
        <f t="shared" si="55"/>
        <v>40563.321749999996</v>
      </c>
      <c r="Z358" s="8">
        <f t="shared" si="56"/>
        <v>28731.57</v>
      </c>
      <c r="AA358" s="8">
        <f t="shared" si="63"/>
        <v>11831.751749999996</v>
      </c>
      <c r="AB358" s="10">
        <f t="shared" si="64"/>
        <v>0.29168596750831921</v>
      </c>
      <c r="AC358" s="14">
        <f>_xlfn.MINIFS($C$2:$C$633, $J$2:$J$633, J358)</f>
        <v>44988</v>
      </c>
      <c r="AD358">
        <f>DATEDIF(AC358, C358, "m")</f>
        <v>18</v>
      </c>
      <c r="AE358" s="8">
        <f t="shared" si="65"/>
        <v>1931.5867499999997</v>
      </c>
    </row>
    <row r="359" spans="1:31" x14ac:dyDescent="0.3">
      <c r="A359" s="4" t="s">
        <v>101</v>
      </c>
      <c r="B359" s="6">
        <v>45388</v>
      </c>
      <c r="C359" s="14">
        <v>45388</v>
      </c>
      <c r="D359" s="14" t="str">
        <f t="shared" si="57"/>
        <v>Q2 -2024</v>
      </c>
      <c r="E359" s="6">
        <v>45407</v>
      </c>
      <c r="F359" s="6">
        <f t="shared" si="58"/>
        <v>45407</v>
      </c>
      <c r="G359" s="12">
        <f t="shared" si="59"/>
        <v>19</v>
      </c>
      <c r="H359" s="12">
        <f t="shared" si="60"/>
        <v>0</v>
      </c>
      <c r="I359" s="4" t="s">
        <v>647</v>
      </c>
      <c r="J359" s="4" t="s">
        <v>659</v>
      </c>
      <c r="K359" s="4" t="s">
        <v>685</v>
      </c>
      <c r="L359" t="str">
        <f t="shared" si="61"/>
        <v>Asia&gt;China&gt;Shanghai</v>
      </c>
      <c r="M359" s="4" t="s">
        <v>701</v>
      </c>
      <c r="N359" s="4" t="s">
        <v>707</v>
      </c>
      <c r="O359" s="4" t="s">
        <v>723</v>
      </c>
      <c r="P359" s="4" t="s">
        <v>727</v>
      </c>
      <c r="Q359" s="4" t="s">
        <v>820</v>
      </c>
      <c r="R359" s="8">
        <v>1366.48</v>
      </c>
      <c r="S359" s="8">
        <v>1678.14</v>
      </c>
      <c r="T359" s="8">
        <v>1678.14</v>
      </c>
      <c r="U359" s="8" t="str">
        <f>IF(T359&lt;=_xlfn.PERCENTILE.INC($T359:$T$633,0.33), "Low", IF(T359&lt;=_xlfn.PERCENTILE.INC($T359:$T$633,0.66), "Medium", "High"))</f>
        <v>High</v>
      </c>
      <c r="V359" s="10">
        <v>0.154</v>
      </c>
      <c r="W359" s="10">
        <f t="shared" si="62"/>
        <v>0.154</v>
      </c>
      <c r="X359" s="12">
        <v>10</v>
      </c>
      <c r="Y359" s="8">
        <f t="shared" si="55"/>
        <v>14197.064400000001</v>
      </c>
      <c r="Z359" s="8">
        <f t="shared" si="56"/>
        <v>13664.8</v>
      </c>
      <c r="AA359" s="8">
        <f t="shared" si="63"/>
        <v>532.26440000000184</v>
      </c>
      <c r="AB359" s="10">
        <f t="shared" si="64"/>
        <v>3.7491159087790132E-2</v>
      </c>
      <c r="AC359" s="14">
        <f>_xlfn.MINIFS($C$2:$C$633, $J$2:$J$633, J359)</f>
        <v>44938</v>
      </c>
      <c r="AD359">
        <f>DATEDIF(AC359, C359, "m")</f>
        <v>14</v>
      </c>
      <c r="AE359" s="8">
        <f t="shared" si="65"/>
        <v>1419.7064400000002</v>
      </c>
    </row>
    <row r="360" spans="1:31" x14ac:dyDescent="0.3">
      <c r="A360" s="4" t="s">
        <v>53</v>
      </c>
      <c r="B360" s="6">
        <v>45401</v>
      </c>
      <c r="C360" s="14">
        <v>45401</v>
      </c>
      <c r="D360" s="14" t="str">
        <f t="shared" si="57"/>
        <v>Q2 -2024</v>
      </c>
      <c r="E360" s="6">
        <v>45418</v>
      </c>
      <c r="F360" s="6">
        <f t="shared" si="58"/>
        <v>45418</v>
      </c>
      <c r="G360" s="12">
        <f t="shared" si="59"/>
        <v>17</v>
      </c>
      <c r="H360" s="12">
        <f t="shared" si="60"/>
        <v>0</v>
      </c>
      <c r="I360" s="4" t="s">
        <v>646</v>
      </c>
      <c r="J360" s="4" t="s">
        <v>651</v>
      </c>
      <c r="K360" s="4" t="s">
        <v>663</v>
      </c>
      <c r="L360" t="str">
        <f t="shared" si="61"/>
        <v>Africa&gt;Nigeria&gt;Port Harcourt</v>
      </c>
      <c r="M360" s="4" t="s">
        <v>703</v>
      </c>
      <c r="N360" s="4" t="s">
        <v>708</v>
      </c>
      <c r="O360" s="4" t="s">
        <v>720</v>
      </c>
      <c r="P360" s="4" t="s">
        <v>728</v>
      </c>
      <c r="Q360" s="4" t="s">
        <v>772</v>
      </c>
      <c r="R360" s="8">
        <v>865.33</v>
      </c>
      <c r="S360" s="8">
        <v>1395.64</v>
      </c>
      <c r="T360" s="8">
        <v>1395.64</v>
      </c>
      <c r="U360" s="8" t="str">
        <f>IF(T360&lt;=_xlfn.PERCENTILE.INC($T360:$T$633,0.33), "Low", IF(T360&lt;=_xlfn.PERCENTILE.INC($T360:$T$633,0.66), "Medium", "High"))</f>
        <v>Medium</v>
      </c>
      <c r="V360" s="10">
        <v>0.17499999999999999</v>
      </c>
      <c r="W360" s="10">
        <f t="shared" si="62"/>
        <v>0.17499999999999999</v>
      </c>
      <c r="X360" s="12">
        <v>13</v>
      </c>
      <c r="Y360" s="8">
        <f t="shared" si="55"/>
        <v>14968.239</v>
      </c>
      <c r="Z360" s="8">
        <f t="shared" si="56"/>
        <v>11249.29</v>
      </c>
      <c r="AA360" s="8">
        <f t="shared" si="63"/>
        <v>3718.9489999999987</v>
      </c>
      <c r="AB360" s="10">
        <f t="shared" si="64"/>
        <v>0.24845601409758347</v>
      </c>
      <c r="AC360" s="14">
        <f>_xlfn.MINIFS($C$2:$C$633, $J$2:$J$633, J360)</f>
        <v>44941</v>
      </c>
      <c r="AD360">
        <f>DATEDIF(AC360, C360, "m")</f>
        <v>15</v>
      </c>
      <c r="AE360" s="8">
        <f t="shared" si="65"/>
        <v>1151.403</v>
      </c>
    </row>
    <row r="361" spans="1:31" x14ac:dyDescent="0.3">
      <c r="A361" s="4" t="s">
        <v>103</v>
      </c>
      <c r="B361" s="6">
        <v>45312</v>
      </c>
      <c r="C361" s="14">
        <v>45312</v>
      </c>
      <c r="D361" s="14" t="str">
        <f t="shared" si="57"/>
        <v>Q1 -2024</v>
      </c>
      <c r="E361" s="6">
        <v>45316</v>
      </c>
      <c r="F361" s="6">
        <f t="shared" si="58"/>
        <v>45316</v>
      </c>
      <c r="G361" s="12">
        <f t="shared" si="59"/>
        <v>4</v>
      </c>
      <c r="H361" s="12">
        <f t="shared" si="60"/>
        <v>1</v>
      </c>
      <c r="I361" s="4" t="s">
        <v>647</v>
      </c>
      <c r="J361" s="4" t="s">
        <v>654</v>
      </c>
      <c r="K361" s="4" t="s">
        <v>680</v>
      </c>
      <c r="L361" t="str">
        <f t="shared" si="61"/>
        <v>Asia&gt;India&gt;Delhi</v>
      </c>
      <c r="M361" s="4" t="s">
        <v>704</v>
      </c>
      <c r="N361" s="4" t="s">
        <v>711</v>
      </c>
      <c r="O361" s="4" t="s">
        <v>712</v>
      </c>
      <c r="P361" s="4" t="s">
        <v>732</v>
      </c>
      <c r="Q361" s="4" t="s">
        <v>822</v>
      </c>
      <c r="R361" s="8">
        <v>523.70000000000005</v>
      </c>
      <c r="S361" s="8">
        <v>1109.92</v>
      </c>
      <c r="T361" s="8">
        <v>1109.92</v>
      </c>
      <c r="U361" s="8" t="str">
        <f>IF(T361&lt;=_xlfn.PERCENTILE.INC($T361:$T$633,0.33), "Low", IF(T361&lt;=_xlfn.PERCENTILE.INC($T361:$T$633,0.66), "Medium", "High"))</f>
        <v>Medium</v>
      </c>
      <c r="V361" s="10">
        <v>0.03</v>
      </c>
      <c r="W361" s="10">
        <f t="shared" si="62"/>
        <v>0.03</v>
      </c>
      <c r="X361" s="12">
        <v>11</v>
      </c>
      <c r="Y361" s="8">
        <f t="shared" si="55"/>
        <v>11842.8464</v>
      </c>
      <c r="Z361" s="8">
        <f t="shared" si="56"/>
        <v>5760.7000000000007</v>
      </c>
      <c r="AA361" s="8">
        <f t="shared" si="63"/>
        <v>6082.1463999999996</v>
      </c>
      <c r="AB361" s="10">
        <f t="shared" si="64"/>
        <v>0.51357133197302973</v>
      </c>
      <c r="AC361" s="14">
        <f>_xlfn.MINIFS($C$2:$C$633, $J$2:$J$633, J361)</f>
        <v>44955</v>
      </c>
      <c r="AD361">
        <f>DATEDIF(AC361, C361, "m")</f>
        <v>11</v>
      </c>
      <c r="AE361" s="8">
        <f t="shared" si="65"/>
        <v>1076.6224</v>
      </c>
    </row>
    <row r="362" spans="1:31" x14ac:dyDescent="0.3">
      <c r="A362" s="4" t="s">
        <v>143</v>
      </c>
      <c r="B362" s="6">
        <v>45442</v>
      </c>
      <c r="C362" s="14">
        <v>45442</v>
      </c>
      <c r="D362" s="14" t="str">
        <f t="shared" si="57"/>
        <v>Q2 -2024</v>
      </c>
      <c r="E362" s="6">
        <v>45456</v>
      </c>
      <c r="F362" s="6">
        <f t="shared" si="58"/>
        <v>45456</v>
      </c>
      <c r="G362" s="12">
        <f t="shared" si="59"/>
        <v>14</v>
      </c>
      <c r="H362" s="12">
        <f t="shared" si="60"/>
        <v>0</v>
      </c>
      <c r="I362" s="4" t="s">
        <v>648</v>
      </c>
      <c r="J362" s="4" t="s">
        <v>660</v>
      </c>
      <c r="K362" s="4" t="s">
        <v>686</v>
      </c>
      <c r="L362" t="str">
        <f t="shared" si="61"/>
        <v>Americas&gt;USA&gt;San Francisco</v>
      </c>
      <c r="M362" s="4" t="s">
        <v>705</v>
      </c>
      <c r="N362" s="4" t="s">
        <v>707</v>
      </c>
      <c r="O362" s="4" t="s">
        <v>721</v>
      </c>
      <c r="P362" s="4" t="s">
        <v>730</v>
      </c>
      <c r="Q362" s="4" t="s">
        <v>862</v>
      </c>
      <c r="R362" s="8">
        <v>157.78</v>
      </c>
      <c r="S362" s="8">
        <v>361.1</v>
      </c>
      <c r="T362" s="8">
        <v>361.1</v>
      </c>
      <c r="U362" s="8" t="str">
        <f>IF(T362&lt;=_xlfn.PERCENTILE.INC($T362:$T$633,0.33), "Low", IF(T362&lt;=_xlfn.PERCENTILE.INC($T362:$T$633,0.66), "Medium", "High"))</f>
        <v>Low</v>
      </c>
      <c r="V362" s="10">
        <v>0.187</v>
      </c>
      <c r="W362" s="10">
        <f t="shared" si="62"/>
        <v>0.187</v>
      </c>
      <c r="X362" s="12">
        <v>9</v>
      </c>
      <c r="Y362" s="8">
        <f t="shared" si="55"/>
        <v>2642.1686999999997</v>
      </c>
      <c r="Z362" s="8">
        <f t="shared" si="56"/>
        <v>1420.02</v>
      </c>
      <c r="AA362" s="8">
        <f t="shared" si="63"/>
        <v>1222.1486999999997</v>
      </c>
      <c r="AB362" s="10">
        <f t="shared" si="64"/>
        <v>0.46255513510549112</v>
      </c>
      <c r="AC362" s="14">
        <f>_xlfn.MINIFS($C$2:$C$633, $J$2:$J$633, J362)</f>
        <v>44939</v>
      </c>
      <c r="AD362">
        <f>DATEDIF(AC362, C362, "m")</f>
        <v>16</v>
      </c>
      <c r="AE362" s="8">
        <f t="shared" si="65"/>
        <v>293.57429999999999</v>
      </c>
    </row>
    <row r="363" spans="1:31" x14ac:dyDescent="0.3">
      <c r="A363" s="4" t="s">
        <v>185</v>
      </c>
      <c r="B363" s="6">
        <v>45488</v>
      </c>
      <c r="C363" s="14">
        <v>45488</v>
      </c>
      <c r="D363" s="14" t="str">
        <f t="shared" si="57"/>
        <v>Q3 -2024</v>
      </c>
      <c r="E363" s="6">
        <v>45488</v>
      </c>
      <c r="F363" s="6">
        <f t="shared" si="58"/>
        <v>45488</v>
      </c>
      <c r="G363" s="12">
        <f t="shared" si="59"/>
        <v>0</v>
      </c>
      <c r="H363" s="12">
        <f t="shared" si="60"/>
        <v>1</v>
      </c>
      <c r="I363" s="4" t="s">
        <v>647</v>
      </c>
      <c r="J363" s="4" t="s">
        <v>652</v>
      </c>
      <c r="K363" s="4" t="s">
        <v>689</v>
      </c>
      <c r="L363" t="str">
        <f t="shared" si="61"/>
        <v>Asia&gt;Japan&gt;Tokyo</v>
      </c>
      <c r="M363" s="4" t="s">
        <v>705</v>
      </c>
      <c r="N363" s="4" t="s">
        <v>709</v>
      </c>
      <c r="O363" s="4" t="s">
        <v>715</v>
      </c>
      <c r="P363" s="4" t="s">
        <v>733</v>
      </c>
      <c r="Q363" s="4" t="s">
        <v>904</v>
      </c>
      <c r="R363" s="8">
        <v>801.77</v>
      </c>
      <c r="S363" s="8">
        <v>1218.92</v>
      </c>
      <c r="T363" s="8">
        <v>1218.92</v>
      </c>
      <c r="U363" s="8" t="str">
        <f>IF(T363&lt;=_xlfn.PERCENTILE.INC($T363:$T$633,0.33), "Low", IF(T363&lt;=_xlfn.PERCENTILE.INC($T363:$T$633,0.66), "Medium", "High"))</f>
        <v>Medium</v>
      </c>
      <c r="V363" s="10">
        <v>0.254</v>
      </c>
      <c r="W363" s="10">
        <f t="shared" si="62"/>
        <v>0.254</v>
      </c>
      <c r="X363" s="12">
        <v>16</v>
      </c>
      <c r="Y363" s="8">
        <f t="shared" si="55"/>
        <v>14549.029120000001</v>
      </c>
      <c r="Z363" s="8">
        <f t="shared" si="56"/>
        <v>12828.32</v>
      </c>
      <c r="AA363" s="8">
        <f t="shared" si="63"/>
        <v>1720.7091200000013</v>
      </c>
      <c r="AB363" s="10">
        <f t="shared" si="64"/>
        <v>0.11826968698788344</v>
      </c>
      <c r="AC363" s="14">
        <f>_xlfn.MINIFS($C$2:$C$633, $J$2:$J$633, J363)</f>
        <v>44988</v>
      </c>
      <c r="AD363">
        <f>DATEDIF(AC363, C363, "m")</f>
        <v>16</v>
      </c>
      <c r="AE363" s="8">
        <f t="shared" si="65"/>
        <v>909.31432000000007</v>
      </c>
    </row>
    <row r="364" spans="1:31" x14ac:dyDescent="0.3">
      <c r="A364" s="4" t="s">
        <v>415</v>
      </c>
      <c r="B364" s="6">
        <v>45516</v>
      </c>
      <c r="C364" s="14">
        <v>45516</v>
      </c>
      <c r="D364" s="14" t="str">
        <f t="shared" si="57"/>
        <v>Q3 -2024</v>
      </c>
      <c r="E364" s="6">
        <v>45519</v>
      </c>
      <c r="F364" s="6">
        <f t="shared" si="58"/>
        <v>45519</v>
      </c>
      <c r="G364" s="12">
        <f t="shared" si="59"/>
        <v>3</v>
      </c>
      <c r="H364" s="12">
        <f t="shared" si="60"/>
        <v>1</v>
      </c>
      <c r="I364" s="4" t="s">
        <v>648</v>
      </c>
      <c r="J364" s="4" t="s">
        <v>660</v>
      </c>
      <c r="K364" s="4" t="s">
        <v>677</v>
      </c>
      <c r="L364" t="str">
        <f t="shared" si="61"/>
        <v>Americas&gt;USA&gt;Chicago</v>
      </c>
      <c r="M364" s="4" t="s">
        <v>701</v>
      </c>
      <c r="N364" s="4" t="s">
        <v>709</v>
      </c>
      <c r="O364" s="4" t="s">
        <v>726</v>
      </c>
      <c r="P364" s="4" t="s">
        <v>728</v>
      </c>
      <c r="Q364" s="4" t="s">
        <v>1134</v>
      </c>
      <c r="R364" s="8">
        <v>850.7</v>
      </c>
      <c r="S364" s="8">
        <v>1118.56</v>
      </c>
      <c r="T364" s="8">
        <v>1118.56</v>
      </c>
      <c r="U364" s="8" t="str">
        <f>IF(T364&lt;=_xlfn.PERCENTILE.INC($T364:$T$633,0.33), "Low", IF(T364&lt;=_xlfn.PERCENTILE.INC($T364:$T$633,0.66), "Medium", "High"))</f>
        <v>Medium</v>
      </c>
      <c r="V364" s="10">
        <v>0.18</v>
      </c>
      <c r="W364" s="10">
        <f t="shared" si="62"/>
        <v>0.18</v>
      </c>
      <c r="X364" s="12">
        <v>19</v>
      </c>
      <c r="Y364" s="8">
        <f t="shared" si="55"/>
        <v>17427.164800000002</v>
      </c>
      <c r="Z364" s="8">
        <f t="shared" si="56"/>
        <v>16163.300000000001</v>
      </c>
      <c r="AA364" s="8">
        <f t="shared" si="63"/>
        <v>1263.8648000000012</v>
      </c>
      <c r="AB364" s="10">
        <f t="shared" si="64"/>
        <v>7.2522685962090688E-2</v>
      </c>
      <c r="AC364" s="14">
        <f>_xlfn.MINIFS($C$2:$C$633, $J$2:$J$633, J364)</f>
        <v>44939</v>
      </c>
      <c r="AD364">
        <f>DATEDIF(AC364, C364, "m")</f>
        <v>18</v>
      </c>
      <c r="AE364" s="8">
        <f t="shared" si="65"/>
        <v>917.21920000000011</v>
      </c>
    </row>
    <row r="365" spans="1:31" x14ac:dyDescent="0.3">
      <c r="A365" s="4" t="s">
        <v>556</v>
      </c>
      <c r="B365" s="6">
        <v>45450</v>
      </c>
      <c r="C365" s="14">
        <v>45450</v>
      </c>
      <c r="D365" s="14" t="str">
        <f t="shared" si="57"/>
        <v>Q2 -2024</v>
      </c>
      <c r="E365" s="6">
        <v>45452</v>
      </c>
      <c r="F365" s="6">
        <f t="shared" si="58"/>
        <v>45452</v>
      </c>
      <c r="G365" s="12">
        <f t="shared" si="59"/>
        <v>2</v>
      </c>
      <c r="H365" s="12">
        <f t="shared" si="60"/>
        <v>1</v>
      </c>
      <c r="I365" s="4" t="s">
        <v>647</v>
      </c>
      <c r="J365" s="4" t="s">
        <v>659</v>
      </c>
      <c r="K365" s="4" t="s">
        <v>685</v>
      </c>
      <c r="L365" t="str">
        <f t="shared" si="61"/>
        <v>Asia&gt;China&gt;Shanghai</v>
      </c>
      <c r="M365" s="4" t="s">
        <v>701</v>
      </c>
      <c r="N365" s="4" t="s">
        <v>707</v>
      </c>
      <c r="O365" s="4" t="s">
        <v>719</v>
      </c>
      <c r="P365" s="4" t="s">
        <v>732</v>
      </c>
      <c r="Q365" s="4" t="s">
        <v>1274</v>
      </c>
      <c r="R365" s="8">
        <v>1370.28</v>
      </c>
      <c r="S365" s="8">
        <v>2209.66</v>
      </c>
      <c r="T365" s="8">
        <v>2209.66</v>
      </c>
      <c r="U365" s="8" t="str">
        <f>IF(T365&lt;=_xlfn.PERCENTILE.INC($T365:$T$633,0.33), "Low", IF(T365&lt;=_xlfn.PERCENTILE.INC($T365:$T$633,0.66), "Medium", "High"))</f>
        <v>High</v>
      </c>
      <c r="V365" s="10">
        <v>0.13300000000000001</v>
      </c>
      <c r="W365" s="10">
        <f t="shared" si="62"/>
        <v>0.13300000000000001</v>
      </c>
      <c r="X365" s="12">
        <v>16</v>
      </c>
      <c r="Y365" s="8">
        <f t="shared" si="55"/>
        <v>30652.403519999996</v>
      </c>
      <c r="Z365" s="8">
        <f t="shared" si="56"/>
        <v>21924.48</v>
      </c>
      <c r="AA365" s="8">
        <f t="shared" si="63"/>
        <v>8727.9235199999966</v>
      </c>
      <c r="AB365" s="10">
        <f t="shared" si="64"/>
        <v>0.28473863442079589</v>
      </c>
      <c r="AC365" s="14">
        <f>_xlfn.MINIFS($C$2:$C$633, $J$2:$J$633, J365)</f>
        <v>44938</v>
      </c>
      <c r="AD365">
        <f>DATEDIF(AC365, C365, "m")</f>
        <v>16</v>
      </c>
      <c r="AE365" s="8">
        <f t="shared" si="65"/>
        <v>1915.7752199999998</v>
      </c>
    </row>
    <row r="366" spans="1:31" x14ac:dyDescent="0.3">
      <c r="A366" s="4" t="s">
        <v>48</v>
      </c>
      <c r="B366" s="6">
        <v>45400</v>
      </c>
      <c r="C366" s="14">
        <v>45400</v>
      </c>
      <c r="D366" s="14" t="str">
        <f t="shared" si="57"/>
        <v>Q2 -2024</v>
      </c>
      <c r="E366" s="6">
        <v>45420</v>
      </c>
      <c r="F366" s="6">
        <f t="shared" si="58"/>
        <v>45420</v>
      </c>
      <c r="G366" s="12">
        <f t="shared" si="59"/>
        <v>20</v>
      </c>
      <c r="H366" s="12">
        <f t="shared" si="60"/>
        <v>0</v>
      </c>
      <c r="I366" s="4" t="s">
        <v>649</v>
      </c>
      <c r="J366" s="4" t="s">
        <v>658</v>
      </c>
      <c r="K366" s="4" t="s">
        <v>683</v>
      </c>
      <c r="L366" t="str">
        <f t="shared" si="61"/>
        <v>Europe&gt;United Kingdom&gt;London</v>
      </c>
      <c r="M366" s="4" t="s">
        <v>703</v>
      </c>
      <c r="N366" s="4" t="s">
        <v>1423</v>
      </c>
      <c r="O366" s="4" t="s">
        <v>726</v>
      </c>
      <c r="P366" s="4" t="s">
        <v>731</v>
      </c>
      <c r="Q366" s="4" t="s">
        <v>767</v>
      </c>
      <c r="R366" s="8">
        <v>645.33000000000004</v>
      </c>
      <c r="S366" s="8">
        <v>1321.85</v>
      </c>
      <c r="T366" s="8">
        <v>1321.85</v>
      </c>
      <c r="U366" s="8" t="str">
        <f>IF(T366&lt;=_xlfn.PERCENTILE.INC($T366:$T$633,0.33), "Low", IF(T366&lt;=_xlfn.PERCENTILE.INC($T366:$T$633,0.66), "Medium", "High"))</f>
        <v>Medium</v>
      </c>
      <c r="V366" s="10">
        <v>0</v>
      </c>
      <c r="W366" s="10">
        <f t="shared" si="62"/>
        <v>0</v>
      </c>
      <c r="X366" s="12">
        <v>10</v>
      </c>
      <c r="Y366" s="8">
        <f t="shared" si="55"/>
        <v>13218.5</v>
      </c>
      <c r="Z366" s="8">
        <f t="shared" si="56"/>
        <v>6453.3</v>
      </c>
      <c r="AA366" s="8">
        <f t="shared" si="63"/>
        <v>6765.2</v>
      </c>
      <c r="AB366" s="10">
        <f t="shared" si="64"/>
        <v>0.51179785906116426</v>
      </c>
      <c r="AC366" s="14">
        <f>_xlfn.MINIFS($C$2:$C$633, $J$2:$J$633, J366)</f>
        <v>44945</v>
      </c>
      <c r="AD366">
        <f>DATEDIF(AC366, C366, "m")</f>
        <v>14</v>
      </c>
      <c r="AE366" s="8">
        <f t="shared" si="65"/>
        <v>1321.85</v>
      </c>
    </row>
    <row r="367" spans="1:31" x14ac:dyDescent="0.3">
      <c r="A367" s="4" t="s">
        <v>55</v>
      </c>
      <c r="B367" s="6">
        <v>45531</v>
      </c>
      <c r="C367" s="14">
        <v>45531</v>
      </c>
      <c r="D367" s="14" t="str">
        <f t="shared" si="57"/>
        <v>Q3 -2024</v>
      </c>
      <c r="E367" s="6">
        <v>45554</v>
      </c>
      <c r="F367" s="6">
        <f t="shared" si="58"/>
        <v>45554</v>
      </c>
      <c r="G367" s="12">
        <f t="shared" si="59"/>
        <v>23</v>
      </c>
      <c r="H367" s="12">
        <f t="shared" si="60"/>
        <v>0</v>
      </c>
      <c r="I367" s="4" t="s">
        <v>649</v>
      </c>
      <c r="J367" s="4" t="s">
        <v>656</v>
      </c>
      <c r="K367" s="4" t="s">
        <v>671</v>
      </c>
      <c r="L367" t="str">
        <f t="shared" si="61"/>
        <v>Europe&gt;Germany&gt;Berlin</v>
      </c>
      <c r="M367" s="4" t="s">
        <v>705</v>
      </c>
      <c r="N367" s="4" t="s">
        <v>711</v>
      </c>
      <c r="O367" s="4" t="s">
        <v>726</v>
      </c>
      <c r="P367" s="4" t="s">
        <v>732</v>
      </c>
      <c r="Q367" s="4" t="s">
        <v>774</v>
      </c>
      <c r="R367" s="8">
        <v>1024.01</v>
      </c>
      <c r="S367" s="8">
        <v>1580.97</v>
      </c>
      <c r="T367" s="8">
        <v>1580.97</v>
      </c>
      <c r="U367" s="8" t="str">
        <f>IF(T367&lt;=_xlfn.PERCENTILE.INC($T367:$T$633,0.33), "Low", IF(T367&lt;=_xlfn.PERCENTILE.INC($T367:$T$633,0.66), "Medium", "High"))</f>
        <v>High</v>
      </c>
      <c r="V367" s="10">
        <v>3.6999999999999998E-2</v>
      </c>
      <c r="W367" s="10">
        <f t="shared" si="62"/>
        <v>3.6999999999999998E-2</v>
      </c>
      <c r="X367" s="12">
        <v>27</v>
      </c>
      <c r="Y367" s="8">
        <f t="shared" si="55"/>
        <v>41106.800970000004</v>
      </c>
      <c r="Z367" s="8">
        <f t="shared" si="56"/>
        <v>27648.27</v>
      </c>
      <c r="AA367" s="8">
        <f t="shared" si="63"/>
        <v>13458.530970000003</v>
      </c>
      <c r="AB367" s="10">
        <f t="shared" si="64"/>
        <v>0.3274039976942531</v>
      </c>
      <c r="AC367" s="14">
        <f>_xlfn.MINIFS($C$2:$C$633, $J$2:$J$633, J367)</f>
        <v>44948</v>
      </c>
      <c r="AD367">
        <f>DATEDIF(AC367, C367, "m")</f>
        <v>19</v>
      </c>
      <c r="AE367" s="8">
        <f t="shared" si="65"/>
        <v>1522.4741100000001</v>
      </c>
    </row>
    <row r="368" spans="1:31" x14ac:dyDescent="0.3">
      <c r="A368" s="4" t="s">
        <v>112</v>
      </c>
      <c r="B368" s="6">
        <v>45440</v>
      </c>
      <c r="C368" s="14">
        <v>45440</v>
      </c>
      <c r="D368" s="14" t="str">
        <f t="shared" si="57"/>
        <v>Q2 -2024</v>
      </c>
      <c r="E368" s="6">
        <v>45438</v>
      </c>
      <c r="F368" s="6">
        <f t="shared" si="58"/>
        <v>45445</v>
      </c>
      <c r="G368" s="12">
        <f t="shared" si="59"/>
        <v>5</v>
      </c>
      <c r="H368" s="12">
        <f t="shared" si="60"/>
        <v>1</v>
      </c>
      <c r="I368" s="4" t="s">
        <v>646</v>
      </c>
      <c r="J368" s="4" t="s">
        <v>651</v>
      </c>
      <c r="K368" s="4" t="s">
        <v>669</v>
      </c>
      <c r="L368" t="str">
        <f t="shared" si="61"/>
        <v>Africa&gt;Nigeria&gt;Abuja</v>
      </c>
      <c r="M368" s="4" t="s">
        <v>706</v>
      </c>
      <c r="N368" s="4" t="s">
        <v>708</v>
      </c>
      <c r="O368" s="4" t="s">
        <v>721</v>
      </c>
      <c r="P368" s="4" t="s">
        <v>733</v>
      </c>
      <c r="Q368" s="4" t="s">
        <v>831</v>
      </c>
      <c r="R368" s="8">
        <v>1227.08</v>
      </c>
      <c r="S368" s="8">
        <v>1896.62</v>
      </c>
      <c r="T368" s="8">
        <v>1896.62</v>
      </c>
      <c r="U368" s="8" t="str">
        <f>IF(T368&lt;=_xlfn.PERCENTILE.INC($T368:$T$633,0.33), "Low", IF(T368&lt;=_xlfn.PERCENTILE.INC($T368:$T$633,0.66), "Medium", "High"))</f>
        <v>High</v>
      </c>
      <c r="V368" s="10">
        <v>0</v>
      </c>
      <c r="W368" s="10">
        <f t="shared" si="62"/>
        <v>0</v>
      </c>
      <c r="X368" s="12">
        <v>18</v>
      </c>
      <c r="Y368" s="8">
        <f t="shared" si="55"/>
        <v>34139.159999999996</v>
      </c>
      <c r="Z368" s="8">
        <f t="shared" si="56"/>
        <v>22087.439999999999</v>
      </c>
      <c r="AA368" s="8">
        <f t="shared" si="63"/>
        <v>12051.719999999998</v>
      </c>
      <c r="AB368" s="10">
        <f t="shared" si="64"/>
        <v>0.353017473189147</v>
      </c>
      <c r="AC368" s="14">
        <f>_xlfn.MINIFS($C$2:$C$633, $J$2:$J$633, J368)</f>
        <v>44941</v>
      </c>
      <c r="AD368">
        <f>DATEDIF(AC368, C368, "m")</f>
        <v>16</v>
      </c>
      <c r="AE368" s="8">
        <f t="shared" si="65"/>
        <v>1896.62</v>
      </c>
    </row>
    <row r="369" spans="1:31" x14ac:dyDescent="0.3">
      <c r="A369" s="4" t="s">
        <v>199</v>
      </c>
      <c r="B369" s="6">
        <v>45587</v>
      </c>
      <c r="C369" s="14">
        <v>45587</v>
      </c>
      <c r="D369" s="14" t="str">
        <f t="shared" si="57"/>
        <v>Q4 -2024</v>
      </c>
      <c r="E369" s="6">
        <v>45594</v>
      </c>
      <c r="F369" s="6">
        <f t="shared" si="58"/>
        <v>45594</v>
      </c>
      <c r="G369" s="12">
        <f t="shared" si="59"/>
        <v>7</v>
      </c>
      <c r="H369" s="12">
        <f t="shared" si="60"/>
        <v>1</v>
      </c>
      <c r="I369" s="4" t="s">
        <v>646</v>
      </c>
      <c r="J369" s="4" t="s">
        <v>651</v>
      </c>
      <c r="K369" s="4" t="s">
        <v>663</v>
      </c>
      <c r="L369" t="str">
        <f t="shared" si="61"/>
        <v>Africa&gt;Nigeria&gt;Port Harcourt</v>
      </c>
      <c r="M369" s="4" t="s">
        <v>706</v>
      </c>
      <c r="N369" s="4" t="s">
        <v>710</v>
      </c>
      <c r="O369" s="4" t="s">
        <v>724</v>
      </c>
      <c r="P369" s="4" t="s">
        <v>732</v>
      </c>
      <c r="Q369" s="4" t="s">
        <v>918</v>
      </c>
      <c r="R369" s="8">
        <v>1023.06</v>
      </c>
      <c r="S369" s="8">
        <v>1355.61</v>
      </c>
      <c r="T369" s="8">
        <v>1355.61</v>
      </c>
      <c r="U369" s="8" t="str">
        <f>IF(T369&lt;=_xlfn.PERCENTILE.INC($T369:$T$633,0.33), "Low", IF(T369&lt;=_xlfn.PERCENTILE.INC($T369:$T$633,0.66), "Medium", "High"))</f>
        <v>Medium</v>
      </c>
      <c r="V369" s="10">
        <v>0.153</v>
      </c>
      <c r="W369" s="10">
        <f t="shared" si="62"/>
        <v>0.153</v>
      </c>
      <c r="X369" s="12">
        <v>23</v>
      </c>
      <c r="Y369" s="8">
        <f t="shared" si="55"/>
        <v>26408.63841</v>
      </c>
      <c r="Z369" s="8">
        <f t="shared" si="56"/>
        <v>23530.379999999997</v>
      </c>
      <c r="AA369" s="8">
        <f t="shared" si="63"/>
        <v>2878.2584100000022</v>
      </c>
      <c r="AB369" s="10">
        <f t="shared" si="64"/>
        <v>0.10898927711888809</v>
      </c>
      <c r="AC369" s="14">
        <f>_xlfn.MINIFS($C$2:$C$633, $J$2:$J$633, J369)</f>
        <v>44941</v>
      </c>
      <c r="AD369">
        <f>DATEDIF(AC369, C369, "m")</f>
        <v>21</v>
      </c>
      <c r="AE369" s="8">
        <f t="shared" si="65"/>
        <v>1148.2016699999999</v>
      </c>
    </row>
    <row r="370" spans="1:31" x14ac:dyDescent="0.3">
      <c r="A370" s="4" t="s">
        <v>490</v>
      </c>
      <c r="B370" s="6">
        <v>45422</v>
      </c>
      <c r="C370" s="14">
        <v>45422</v>
      </c>
      <c r="D370" s="14" t="str">
        <f t="shared" si="57"/>
        <v>Q2 -2024</v>
      </c>
      <c r="E370" s="6">
        <v>45428</v>
      </c>
      <c r="F370" s="6">
        <f t="shared" si="58"/>
        <v>45428</v>
      </c>
      <c r="G370" s="12">
        <f t="shared" si="59"/>
        <v>6</v>
      </c>
      <c r="H370" s="12">
        <f t="shared" si="60"/>
        <v>1</v>
      </c>
      <c r="I370" s="4" t="s">
        <v>649</v>
      </c>
      <c r="J370" s="4" t="s">
        <v>658</v>
      </c>
      <c r="K370" s="4" t="s">
        <v>674</v>
      </c>
      <c r="L370" t="str">
        <f t="shared" si="61"/>
        <v>Europe&gt;United Kingdom&gt;Birmingham</v>
      </c>
      <c r="M370" s="4" t="s">
        <v>703</v>
      </c>
      <c r="N370" s="4" t="s">
        <v>711</v>
      </c>
      <c r="O370" s="4" t="s">
        <v>715</v>
      </c>
      <c r="P370" s="4" t="s">
        <v>731</v>
      </c>
      <c r="Q370" s="4" t="s">
        <v>1209</v>
      </c>
      <c r="R370" s="8">
        <v>210.76</v>
      </c>
      <c r="S370" s="8">
        <v>221.58</v>
      </c>
      <c r="T370" s="8">
        <v>221.58</v>
      </c>
      <c r="U370" s="8" t="str">
        <f>IF(T370&lt;=_xlfn.PERCENTILE.INC($T370:$T$633,0.33), "Low", IF(T370&lt;=_xlfn.PERCENTILE.INC($T370:$T$633,0.66), "Medium", "High"))</f>
        <v>Low</v>
      </c>
      <c r="V370" s="10">
        <v>8.8999999999999996E-2</v>
      </c>
      <c r="W370" s="10">
        <f t="shared" si="62"/>
        <v>8.8999999999999996E-2</v>
      </c>
      <c r="X370" s="12">
        <v>5</v>
      </c>
      <c r="Y370" s="8">
        <f t="shared" si="55"/>
        <v>1009.2969000000002</v>
      </c>
      <c r="Z370" s="8">
        <f t="shared" si="56"/>
        <v>1053.8</v>
      </c>
      <c r="AA370" s="8">
        <f t="shared" si="63"/>
        <v>-44.50309999999979</v>
      </c>
      <c r="AB370" s="10">
        <f t="shared" si="64"/>
        <v>-4.4093170205912434E-2</v>
      </c>
      <c r="AC370" s="14">
        <f>_xlfn.MINIFS($C$2:$C$633, $J$2:$J$633, J370)</f>
        <v>44945</v>
      </c>
      <c r="AD370">
        <f>DATEDIF(AC370, C370, "m")</f>
        <v>15</v>
      </c>
      <c r="AE370" s="8">
        <f t="shared" si="65"/>
        <v>201.85938000000004</v>
      </c>
    </row>
    <row r="371" spans="1:31" x14ac:dyDescent="0.3">
      <c r="A371" s="4" t="s">
        <v>357</v>
      </c>
      <c r="B371" s="6">
        <v>45339</v>
      </c>
      <c r="C371" s="14">
        <v>45339</v>
      </c>
      <c r="D371" s="14" t="str">
        <f t="shared" si="57"/>
        <v>Q1 -2024</v>
      </c>
      <c r="E371" s="6">
        <v>45355</v>
      </c>
      <c r="F371" s="6">
        <f t="shared" si="58"/>
        <v>45355</v>
      </c>
      <c r="G371" s="12">
        <f t="shared" si="59"/>
        <v>16</v>
      </c>
      <c r="H371" s="12">
        <f t="shared" si="60"/>
        <v>0</v>
      </c>
      <c r="I371" s="4" t="s">
        <v>647</v>
      </c>
      <c r="J371" s="4" t="s">
        <v>654</v>
      </c>
      <c r="K371" s="4" t="s">
        <v>680</v>
      </c>
      <c r="L371" t="str">
        <f t="shared" si="61"/>
        <v>Asia&gt;India&gt;Delhi</v>
      </c>
      <c r="M371" s="4" t="s">
        <v>705</v>
      </c>
      <c r="N371" s="4" t="s">
        <v>709</v>
      </c>
      <c r="O371" s="4" t="s">
        <v>721</v>
      </c>
      <c r="P371" s="4" t="s">
        <v>730</v>
      </c>
      <c r="Q371" s="4" t="s">
        <v>1077</v>
      </c>
      <c r="R371" s="8">
        <v>1231.8</v>
      </c>
      <c r="S371" s="8">
        <v>2015.99</v>
      </c>
      <c r="T371" s="8">
        <v>2015.99</v>
      </c>
      <c r="U371" s="8" t="str">
        <f>IF(T371&lt;=_xlfn.PERCENTILE.INC($T371:$T$633,0.33), "Low", IF(T371&lt;=_xlfn.PERCENTILE.INC($T371:$T$633,0.66), "Medium", "High"))</f>
        <v>High</v>
      </c>
      <c r="V371" s="10">
        <v>0.26100000000000001</v>
      </c>
      <c r="W371" s="10">
        <f t="shared" si="62"/>
        <v>0.26100000000000001</v>
      </c>
      <c r="X371" s="12">
        <v>6</v>
      </c>
      <c r="Y371" s="8">
        <f t="shared" si="55"/>
        <v>8938.8996600000009</v>
      </c>
      <c r="Z371" s="8">
        <f t="shared" si="56"/>
        <v>7390.7999999999993</v>
      </c>
      <c r="AA371" s="8">
        <f t="shared" si="63"/>
        <v>1548.0996600000017</v>
      </c>
      <c r="AB371" s="10">
        <f t="shared" si="64"/>
        <v>0.17318682599464391</v>
      </c>
      <c r="AC371" s="14">
        <f>_xlfn.MINIFS($C$2:$C$633, $J$2:$J$633, J371)</f>
        <v>44955</v>
      </c>
      <c r="AD371">
        <f>DATEDIF(AC371, C371, "m")</f>
        <v>12</v>
      </c>
      <c r="AE371" s="8">
        <f t="shared" si="65"/>
        <v>1489.8166100000001</v>
      </c>
    </row>
    <row r="372" spans="1:31" x14ac:dyDescent="0.3">
      <c r="A372" s="4" t="s">
        <v>487</v>
      </c>
      <c r="B372" s="6">
        <v>45328</v>
      </c>
      <c r="C372" s="14">
        <v>45328</v>
      </c>
      <c r="D372" s="14" t="str">
        <f t="shared" si="57"/>
        <v>Q1 -2024</v>
      </c>
      <c r="E372" s="6">
        <v>45350</v>
      </c>
      <c r="F372" s="6">
        <f t="shared" si="58"/>
        <v>45350</v>
      </c>
      <c r="G372" s="12">
        <f t="shared" si="59"/>
        <v>22</v>
      </c>
      <c r="H372" s="12">
        <f t="shared" si="60"/>
        <v>0</v>
      </c>
      <c r="I372" s="4" t="s">
        <v>646</v>
      </c>
      <c r="J372" s="4" t="s">
        <v>650</v>
      </c>
      <c r="K372" s="4" t="s">
        <v>662</v>
      </c>
      <c r="L372" t="str">
        <f t="shared" si="61"/>
        <v>Africa&gt;Kenya&gt;Kisumu</v>
      </c>
      <c r="M372" s="4" t="s">
        <v>703</v>
      </c>
      <c r="N372" s="4" t="s">
        <v>708</v>
      </c>
      <c r="O372" s="4" t="s">
        <v>723</v>
      </c>
      <c r="P372" s="4" t="s">
        <v>732</v>
      </c>
      <c r="Q372" s="4" t="s">
        <v>1206</v>
      </c>
      <c r="R372" s="8">
        <v>834.93</v>
      </c>
      <c r="S372" s="8">
        <v>1588.53</v>
      </c>
      <c r="T372" s="8">
        <v>1588.53</v>
      </c>
      <c r="U372" s="8" t="str">
        <f>IF(T372&lt;=_xlfn.PERCENTILE.INC($T372:$T$633,0.33), "Low", IF(T372&lt;=_xlfn.PERCENTILE.INC($T372:$T$633,0.66), "Medium", "High"))</f>
        <v>High</v>
      </c>
      <c r="V372" s="10">
        <v>0.126</v>
      </c>
      <c r="W372" s="10">
        <f t="shared" si="62"/>
        <v>0.126</v>
      </c>
      <c r="X372" s="12">
        <v>6</v>
      </c>
      <c r="Y372" s="8">
        <f t="shared" si="55"/>
        <v>8330.2513199999994</v>
      </c>
      <c r="Z372" s="8">
        <f t="shared" si="56"/>
        <v>5009.58</v>
      </c>
      <c r="AA372" s="8">
        <f t="shared" si="63"/>
        <v>3320.6713199999995</v>
      </c>
      <c r="AB372" s="10">
        <f t="shared" si="64"/>
        <v>0.39862798761274343</v>
      </c>
      <c r="AC372" s="14">
        <f>_xlfn.MINIFS($C$2:$C$633, $J$2:$J$633, J372)</f>
        <v>44946</v>
      </c>
      <c r="AD372">
        <f>DATEDIF(AC372, C372, "m")</f>
        <v>12</v>
      </c>
      <c r="AE372" s="8">
        <f t="shared" si="65"/>
        <v>1388.3752199999999</v>
      </c>
    </row>
    <row r="373" spans="1:31" x14ac:dyDescent="0.3">
      <c r="A373" s="4" t="s">
        <v>445</v>
      </c>
      <c r="B373" s="6">
        <v>45654</v>
      </c>
      <c r="C373" s="14">
        <v>45654</v>
      </c>
      <c r="D373" s="14" t="str">
        <f t="shared" si="57"/>
        <v>Q4 -2024</v>
      </c>
      <c r="E373" s="6">
        <v>45665</v>
      </c>
      <c r="F373" s="6">
        <f t="shared" si="58"/>
        <v>45665</v>
      </c>
      <c r="G373" s="12">
        <f t="shared" si="59"/>
        <v>11</v>
      </c>
      <c r="H373" s="12">
        <f t="shared" si="60"/>
        <v>0</v>
      </c>
      <c r="I373" s="4" t="s">
        <v>647</v>
      </c>
      <c r="J373" s="4" t="s">
        <v>659</v>
      </c>
      <c r="K373" s="4" t="s">
        <v>676</v>
      </c>
      <c r="L373" t="str">
        <f t="shared" si="61"/>
        <v>Asia&gt;China&gt;Shenzhen</v>
      </c>
      <c r="M373" s="4" t="s">
        <v>706</v>
      </c>
      <c r="N373" s="4" t="s">
        <v>708</v>
      </c>
      <c r="O373" s="4" t="s">
        <v>723</v>
      </c>
      <c r="P373" s="4" t="s">
        <v>731</v>
      </c>
      <c r="Q373" s="4" t="s">
        <v>1164</v>
      </c>
      <c r="R373" s="8">
        <v>1201.31</v>
      </c>
      <c r="S373" s="8">
        <v>2764.65</v>
      </c>
      <c r="T373" s="8">
        <v>2764.65</v>
      </c>
      <c r="U373" s="8" t="str">
        <f>IF(T373&lt;=_xlfn.PERCENTILE.INC($T373:$T$633,0.33), "Low", IF(T373&lt;=_xlfn.PERCENTILE.INC($T373:$T$633,0.66), "Medium", "High"))</f>
        <v>High</v>
      </c>
      <c r="V373" s="10">
        <v>0</v>
      </c>
      <c r="W373" s="10">
        <f t="shared" si="62"/>
        <v>0</v>
      </c>
      <c r="X373" s="12">
        <v>21</v>
      </c>
      <c r="Y373" s="8">
        <f t="shared" si="55"/>
        <v>58057.65</v>
      </c>
      <c r="Z373" s="8">
        <f t="shared" si="56"/>
        <v>25227.51</v>
      </c>
      <c r="AA373" s="8">
        <f t="shared" si="63"/>
        <v>32830.14</v>
      </c>
      <c r="AB373" s="10">
        <f t="shared" si="64"/>
        <v>0.56547483406579491</v>
      </c>
      <c r="AC373" s="14">
        <f>_xlfn.MINIFS($C$2:$C$633, $J$2:$J$633, J373)</f>
        <v>44938</v>
      </c>
      <c r="AD373">
        <f>DATEDIF(AC373, C373, "m")</f>
        <v>23</v>
      </c>
      <c r="AE373" s="8">
        <f t="shared" si="65"/>
        <v>2764.65</v>
      </c>
    </row>
    <row r="374" spans="1:31" x14ac:dyDescent="0.3">
      <c r="A374" s="4" t="s">
        <v>430</v>
      </c>
      <c r="B374" s="6">
        <v>45626</v>
      </c>
      <c r="C374" s="14">
        <v>45626</v>
      </c>
      <c r="D374" s="14" t="str">
        <f t="shared" si="57"/>
        <v>Q4 -2024</v>
      </c>
      <c r="E374" s="6">
        <v>45636</v>
      </c>
      <c r="F374" s="6">
        <f t="shared" si="58"/>
        <v>45636</v>
      </c>
      <c r="G374" s="12">
        <f t="shared" si="59"/>
        <v>10</v>
      </c>
      <c r="H374" s="12">
        <f t="shared" si="60"/>
        <v>0</v>
      </c>
      <c r="I374" s="4" t="s">
        <v>647</v>
      </c>
      <c r="J374" s="4" t="s">
        <v>654</v>
      </c>
      <c r="K374" s="4" t="s">
        <v>696</v>
      </c>
      <c r="L374" t="str">
        <f t="shared" si="61"/>
        <v>Asia&gt;India&gt;Hyderabad</v>
      </c>
      <c r="M374" s="4" t="s">
        <v>705</v>
      </c>
      <c r="N374" s="4" t="s">
        <v>707</v>
      </c>
      <c r="O374" s="4" t="s">
        <v>721</v>
      </c>
      <c r="P374" s="4" t="s">
        <v>733</v>
      </c>
      <c r="Q374" s="4" t="s">
        <v>1149</v>
      </c>
      <c r="R374" s="8">
        <v>851.49</v>
      </c>
      <c r="S374" s="8">
        <v>901.79</v>
      </c>
      <c r="T374" s="8">
        <v>901.79</v>
      </c>
      <c r="U374" s="8" t="str">
        <f>IF(T374&lt;=_xlfn.PERCENTILE.INC($T374:$T$633,0.33), "Low", IF(T374&lt;=_xlfn.PERCENTILE.INC($T374:$T$633,0.66), "Medium", "High"))</f>
        <v>Medium</v>
      </c>
      <c r="V374" s="10">
        <v>0.245</v>
      </c>
      <c r="W374" s="10">
        <f t="shared" si="62"/>
        <v>0.245</v>
      </c>
      <c r="X374" s="12">
        <v>16</v>
      </c>
      <c r="Y374" s="8">
        <f t="shared" si="55"/>
        <v>10893.6232</v>
      </c>
      <c r="Z374" s="8">
        <f t="shared" si="56"/>
        <v>13623.84</v>
      </c>
      <c r="AA374" s="8">
        <f t="shared" si="63"/>
        <v>-2730.2168000000001</v>
      </c>
      <c r="AB374" s="10">
        <f t="shared" si="64"/>
        <v>-0.25062522816100341</v>
      </c>
      <c r="AC374" s="14">
        <f>_xlfn.MINIFS($C$2:$C$633, $J$2:$J$633, J374)</f>
        <v>44955</v>
      </c>
      <c r="AD374">
        <f>DATEDIF(AC374, C374, "m")</f>
        <v>22</v>
      </c>
      <c r="AE374" s="8">
        <f t="shared" si="65"/>
        <v>680.85145</v>
      </c>
    </row>
    <row r="375" spans="1:31" x14ac:dyDescent="0.3">
      <c r="A375" s="4" t="s">
        <v>264</v>
      </c>
      <c r="B375" s="6">
        <v>45537</v>
      </c>
      <c r="C375" s="14">
        <v>45537</v>
      </c>
      <c r="D375" s="14" t="str">
        <f t="shared" si="57"/>
        <v>Q3 -2024</v>
      </c>
      <c r="E375" s="6">
        <v>45543</v>
      </c>
      <c r="F375" s="6">
        <f t="shared" si="58"/>
        <v>45543</v>
      </c>
      <c r="G375" s="12">
        <f t="shared" si="59"/>
        <v>6</v>
      </c>
      <c r="H375" s="12">
        <f t="shared" si="60"/>
        <v>1</v>
      </c>
      <c r="I375" s="4" t="s">
        <v>648</v>
      </c>
      <c r="J375" s="4" t="s">
        <v>660</v>
      </c>
      <c r="K375" s="4" t="s">
        <v>697</v>
      </c>
      <c r="L375" t="str">
        <f t="shared" si="61"/>
        <v>Americas&gt;USA&gt;Austin</v>
      </c>
      <c r="M375" s="4" t="s">
        <v>704</v>
      </c>
      <c r="N375" s="4" t="s">
        <v>711</v>
      </c>
      <c r="O375" s="4" t="s">
        <v>722</v>
      </c>
      <c r="P375" s="4" t="s">
        <v>727</v>
      </c>
      <c r="Q375" s="4" t="s">
        <v>984</v>
      </c>
      <c r="R375" s="8">
        <v>462.94</v>
      </c>
      <c r="S375" s="8">
        <v>1015.7</v>
      </c>
      <c r="T375" s="8">
        <v>1015.7</v>
      </c>
      <c r="U375" s="8" t="str">
        <f>IF(T375&lt;=_xlfn.PERCENTILE.INC($T375:$T$633,0.33), "Low", IF(T375&lt;=_xlfn.PERCENTILE.INC($T375:$T$633,0.66), "Medium", "High"))</f>
        <v>Medium</v>
      </c>
      <c r="V375" s="10">
        <v>0.14299999999999999</v>
      </c>
      <c r="W375" s="10">
        <f t="shared" si="62"/>
        <v>0.14299999999999999</v>
      </c>
      <c r="X375" s="12">
        <v>14</v>
      </c>
      <c r="Y375" s="8">
        <f t="shared" si="55"/>
        <v>12186.368600000002</v>
      </c>
      <c r="Z375" s="8">
        <f t="shared" si="56"/>
        <v>6481.16</v>
      </c>
      <c r="AA375" s="8">
        <f t="shared" si="63"/>
        <v>5705.2086000000018</v>
      </c>
      <c r="AB375" s="10">
        <f t="shared" si="64"/>
        <v>0.46816314090483041</v>
      </c>
      <c r="AC375" s="14">
        <f>_xlfn.MINIFS($C$2:$C$633, $J$2:$J$633, J375)</f>
        <v>44939</v>
      </c>
      <c r="AD375">
        <f>DATEDIF(AC375, C375, "m")</f>
        <v>19</v>
      </c>
      <c r="AE375" s="8">
        <f t="shared" si="65"/>
        <v>870.45490000000007</v>
      </c>
    </row>
    <row r="376" spans="1:31" x14ac:dyDescent="0.3">
      <c r="A376" s="4" t="s">
        <v>210</v>
      </c>
      <c r="B376" s="6">
        <v>45588</v>
      </c>
      <c r="C376" s="14">
        <v>45588</v>
      </c>
      <c r="D376" s="14" t="str">
        <f t="shared" si="57"/>
        <v>Q4 -2024</v>
      </c>
      <c r="E376" s="6">
        <v>45610</v>
      </c>
      <c r="F376" s="6">
        <f t="shared" si="58"/>
        <v>45610</v>
      </c>
      <c r="G376" s="12">
        <f t="shared" si="59"/>
        <v>22</v>
      </c>
      <c r="H376" s="12">
        <f t="shared" si="60"/>
        <v>0</v>
      </c>
      <c r="I376" s="4" t="s">
        <v>647</v>
      </c>
      <c r="J376" s="4" t="s">
        <v>652</v>
      </c>
      <c r="K376" s="4" t="s">
        <v>666</v>
      </c>
      <c r="L376" t="str">
        <f t="shared" si="61"/>
        <v>Asia&gt;Japan&gt;Osaka</v>
      </c>
      <c r="M376" s="4" t="s">
        <v>703</v>
      </c>
      <c r="N376" s="4" t="s">
        <v>711</v>
      </c>
      <c r="O376" s="4" t="s">
        <v>717</v>
      </c>
      <c r="P376" s="4" t="s">
        <v>730</v>
      </c>
      <c r="Q376" s="4" t="s">
        <v>930</v>
      </c>
      <c r="R376" s="8">
        <v>1406.4</v>
      </c>
      <c r="S376" s="8">
        <v>1564.76</v>
      </c>
      <c r="T376" s="8">
        <v>1564.76</v>
      </c>
      <c r="U376" s="8" t="str">
        <f>IF(T376&lt;=_xlfn.PERCENTILE.INC($T376:$T$633,0.33), "Low", IF(T376&lt;=_xlfn.PERCENTILE.INC($T376:$T$633,0.66), "Medium", "High"))</f>
        <v>High</v>
      </c>
      <c r="V376" s="10">
        <v>0.185</v>
      </c>
      <c r="W376" s="10">
        <f t="shared" si="62"/>
        <v>0.185</v>
      </c>
      <c r="X376" s="12">
        <v>17</v>
      </c>
      <c r="Y376" s="8">
        <f t="shared" si="55"/>
        <v>21679.749799999998</v>
      </c>
      <c r="Z376" s="8">
        <f t="shared" si="56"/>
        <v>23908.800000000003</v>
      </c>
      <c r="AA376" s="8">
        <f t="shared" si="63"/>
        <v>-2229.0502000000051</v>
      </c>
      <c r="AB376" s="10">
        <f t="shared" si="64"/>
        <v>-0.10281715520536151</v>
      </c>
      <c r="AC376" s="14">
        <f>_xlfn.MINIFS($C$2:$C$633, $J$2:$J$633, J376)</f>
        <v>44988</v>
      </c>
      <c r="AD376">
        <f>DATEDIF(AC376, C376, "m")</f>
        <v>19</v>
      </c>
      <c r="AE376" s="8">
        <f t="shared" si="65"/>
        <v>1275.2793999999999</v>
      </c>
    </row>
    <row r="377" spans="1:31" x14ac:dyDescent="0.3">
      <c r="A377" s="4" t="s">
        <v>417</v>
      </c>
      <c r="B377" s="6">
        <v>45497</v>
      </c>
      <c r="C377" s="14">
        <v>45497</v>
      </c>
      <c r="D377" s="14" t="str">
        <f t="shared" si="57"/>
        <v>Q3 -2024</v>
      </c>
      <c r="E377" s="6">
        <v>45512</v>
      </c>
      <c r="F377" s="6">
        <f t="shared" si="58"/>
        <v>45512</v>
      </c>
      <c r="G377" s="12">
        <f t="shared" si="59"/>
        <v>15</v>
      </c>
      <c r="H377" s="12">
        <f t="shared" si="60"/>
        <v>0</v>
      </c>
      <c r="I377" s="4" t="s">
        <v>649</v>
      </c>
      <c r="J377" s="4" t="s">
        <v>657</v>
      </c>
      <c r="K377" s="4" t="s">
        <v>673</v>
      </c>
      <c r="L377" t="str">
        <f t="shared" si="61"/>
        <v>Europe&gt;France&gt;Marseille</v>
      </c>
      <c r="M377" s="4" t="s">
        <v>706</v>
      </c>
      <c r="N377" s="4" t="s">
        <v>709</v>
      </c>
      <c r="O377" s="4" t="s">
        <v>722</v>
      </c>
      <c r="P377" s="4" t="s">
        <v>731</v>
      </c>
      <c r="Q377" s="4" t="s">
        <v>1136</v>
      </c>
      <c r="R377" s="8">
        <v>501.5</v>
      </c>
      <c r="S377" s="8">
        <v>1201.47</v>
      </c>
      <c r="T377" s="8">
        <v>1201.47</v>
      </c>
      <c r="U377" s="8" t="str">
        <f>IF(T377&lt;=_xlfn.PERCENTILE.INC($T377:$T$633,0.33), "Low", IF(T377&lt;=_xlfn.PERCENTILE.INC($T377:$T$633,0.66), "Medium", "High"))</f>
        <v>Medium</v>
      </c>
      <c r="V377" s="10">
        <v>0.126</v>
      </c>
      <c r="W377" s="10">
        <f t="shared" si="62"/>
        <v>0.126</v>
      </c>
      <c r="X377" s="12">
        <v>5</v>
      </c>
      <c r="Y377" s="8">
        <f t="shared" si="55"/>
        <v>5250.4239000000007</v>
      </c>
      <c r="Z377" s="8">
        <f t="shared" si="56"/>
        <v>2507.5</v>
      </c>
      <c r="AA377" s="8">
        <f t="shared" si="63"/>
        <v>2742.9239000000007</v>
      </c>
      <c r="AB377" s="10">
        <f t="shared" si="64"/>
        <v>0.52241951359394057</v>
      </c>
      <c r="AC377" s="14">
        <f>_xlfn.MINIFS($C$2:$C$633, $J$2:$J$633, J377)</f>
        <v>44936</v>
      </c>
      <c r="AD377">
        <f>DATEDIF(AC377, C377, "m")</f>
        <v>18</v>
      </c>
      <c r="AE377" s="8">
        <f t="shared" si="65"/>
        <v>1050.0847800000001</v>
      </c>
    </row>
    <row r="378" spans="1:31" x14ac:dyDescent="0.3">
      <c r="A378" s="4" t="s">
        <v>224</v>
      </c>
      <c r="B378" s="6">
        <v>45567</v>
      </c>
      <c r="C378" s="14">
        <v>45567</v>
      </c>
      <c r="D378" s="14" t="str">
        <f t="shared" si="57"/>
        <v>Q4 -2024</v>
      </c>
      <c r="E378" s="6">
        <v>45588</v>
      </c>
      <c r="F378" s="6">
        <f t="shared" si="58"/>
        <v>45588</v>
      </c>
      <c r="G378" s="12">
        <f t="shared" si="59"/>
        <v>21</v>
      </c>
      <c r="H378" s="12">
        <f t="shared" si="60"/>
        <v>0</v>
      </c>
      <c r="I378" s="4" t="s">
        <v>646</v>
      </c>
      <c r="J378" s="4" t="s">
        <v>661</v>
      </c>
      <c r="K378" s="4" t="s">
        <v>687</v>
      </c>
      <c r="L378" t="str">
        <f t="shared" si="61"/>
        <v>Africa&gt;South Africa&gt;Durban</v>
      </c>
      <c r="M378" s="4" t="s">
        <v>701</v>
      </c>
      <c r="N378" s="4" t="s">
        <v>709</v>
      </c>
      <c r="O378" s="4" t="s">
        <v>720</v>
      </c>
      <c r="P378" s="4" t="s">
        <v>727</v>
      </c>
      <c r="Q378" s="4" t="s">
        <v>944</v>
      </c>
      <c r="R378" s="8">
        <v>1095.6099999999999</v>
      </c>
      <c r="S378" s="8">
        <v>2366.5100000000002</v>
      </c>
      <c r="T378" s="8">
        <v>2366.5100000000002</v>
      </c>
      <c r="U378" s="8" t="str">
        <f>IF(T378&lt;=_xlfn.PERCENTILE.INC($T378:$T$633,0.33), "Low", IF(T378&lt;=_xlfn.PERCENTILE.INC($T378:$T$633,0.66), "Medium", "High"))</f>
        <v>High</v>
      </c>
      <c r="V378" s="10">
        <v>0.152</v>
      </c>
      <c r="W378" s="10">
        <f t="shared" si="62"/>
        <v>0.152</v>
      </c>
      <c r="X378" s="12">
        <v>9</v>
      </c>
      <c r="Y378" s="8">
        <f t="shared" si="55"/>
        <v>18061.204320000004</v>
      </c>
      <c r="Z378" s="8">
        <f t="shared" si="56"/>
        <v>9860.49</v>
      </c>
      <c r="AA378" s="8">
        <f t="shared" si="63"/>
        <v>8200.7143200000046</v>
      </c>
      <c r="AB378" s="10">
        <f t="shared" si="64"/>
        <v>0.4540513564158607</v>
      </c>
      <c r="AC378" s="14">
        <f>_xlfn.MINIFS($C$2:$C$633, $J$2:$J$633, J378)</f>
        <v>44933</v>
      </c>
      <c r="AD378">
        <f>DATEDIF(AC378, C378, "m")</f>
        <v>20</v>
      </c>
      <c r="AE378" s="8">
        <f t="shared" si="65"/>
        <v>2006.8004800000006</v>
      </c>
    </row>
    <row r="379" spans="1:31" x14ac:dyDescent="0.3">
      <c r="A379" s="4" t="s">
        <v>572</v>
      </c>
      <c r="B379" s="6">
        <v>45362</v>
      </c>
      <c r="C379" s="14">
        <v>45362</v>
      </c>
      <c r="D379" s="14" t="str">
        <f t="shared" si="57"/>
        <v>Q1 -2024</v>
      </c>
      <c r="E379" s="6">
        <v>45380</v>
      </c>
      <c r="F379" s="6">
        <f t="shared" si="58"/>
        <v>45380</v>
      </c>
      <c r="G379" s="12">
        <f t="shared" si="59"/>
        <v>18</v>
      </c>
      <c r="H379" s="12">
        <f t="shared" si="60"/>
        <v>0</v>
      </c>
      <c r="I379" s="4" t="s">
        <v>648</v>
      </c>
      <c r="J379" s="4" t="s">
        <v>660</v>
      </c>
      <c r="K379" s="4" t="s">
        <v>700</v>
      </c>
      <c r="L379" t="str">
        <f t="shared" si="61"/>
        <v>Americas&gt;USA&gt;New York</v>
      </c>
      <c r="M379" s="4" t="s">
        <v>701</v>
      </c>
      <c r="N379" s="4" t="s">
        <v>707</v>
      </c>
      <c r="O379" s="4" t="s">
        <v>724</v>
      </c>
      <c r="P379" s="4" t="s">
        <v>732</v>
      </c>
      <c r="Q379" s="4" t="s">
        <v>1290</v>
      </c>
      <c r="R379" s="8">
        <v>710.98</v>
      </c>
      <c r="S379" s="8">
        <v>1481.45</v>
      </c>
      <c r="T379" s="8">
        <v>1481.45</v>
      </c>
      <c r="U379" s="8" t="str">
        <f>IF(T379&lt;=_xlfn.PERCENTILE.INC($T379:$T$633,0.33), "Low", IF(T379&lt;=_xlfn.PERCENTILE.INC($T379:$T$633,0.66), "Medium", "High"))</f>
        <v>Medium</v>
      </c>
      <c r="V379" s="10">
        <v>0.21099999999999999</v>
      </c>
      <c r="W379" s="10">
        <f t="shared" si="62"/>
        <v>0.21099999999999999</v>
      </c>
      <c r="X379" s="12">
        <v>9</v>
      </c>
      <c r="Y379" s="8">
        <f t="shared" si="55"/>
        <v>10519.776450000001</v>
      </c>
      <c r="Z379" s="8">
        <f t="shared" si="56"/>
        <v>6398.82</v>
      </c>
      <c r="AA379" s="8">
        <f t="shared" si="63"/>
        <v>4120.9564500000015</v>
      </c>
      <c r="AB379" s="10">
        <f t="shared" si="64"/>
        <v>0.39173422264120461</v>
      </c>
      <c r="AC379" s="14">
        <f>_xlfn.MINIFS($C$2:$C$633, $J$2:$J$633, J379)</f>
        <v>44939</v>
      </c>
      <c r="AD379">
        <f>DATEDIF(AC379, C379, "m")</f>
        <v>13</v>
      </c>
      <c r="AE379" s="8">
        <f t="shared" si="65"/>
        <v>1168.8640500000001</v>
      </c>
    </row>
    <row r="380" spans="1:31" x14ac:dyDescent="0.3">
      <c r="A380" s="4" t="s">
        <v>222</v>
      </c>
      <c r="B380" s="6">
        <v>45545</v>
      </c>
      <c r="C380" s="14">
        <v>45545</v>
      </c>
      <c r="D380" s="14" t="str">
        <f t="shared" si="57"/>
        <v>Q3 -2024</v>
      </c>
      <c r="E380" s="6">
        <v>45572</v>
      </c>
      <c r="F380" s="6">
        <f t="shared" si="58"/>
        <v>45572</v>
      </c>
      <c r="G380" s="12">
        <f t="shared" si="59"/>
        <v>27</v>
      </c>
      <c r="H380" s="12">
        <f t="shared" si="60"/>
        <v>0</v>
      </c>
      <c r="I380" s="4" t="s">
        <v>646</v>
      </c>
      <c r="J380" s="4" t="s">
        <v>650</v>
      </c>
      <c r="K380" s="4" t="s">
        <v>662</v>
      </c>
      <c r="L380" t="str">
        <f t="shared" si="61"/>
        <v>Africa&gt;Kenya&gt;Kisumu</v>
      </c>
      <c r="M380" s="4" t="s">
        <v>704</v>
      </c>
      <c r="N380" s="4" t="s">
        <v>707</v>
      </c>
      <c r="O380" s="4" t="s">
        <v>716</v>
      </c>
      <c r="P380" s="4" t="s">
        <v>728</v>
      </c>
      <c r="Q380" s="4" t="s">
        <v>942</v>
      </c>
      <c r="R380" s="8">
        <v>1248.3900000000001</v>
      </c>
      <c r="S380" s="8">
        <v>1805.11</v>
      </c>
      <c r="T380" s="8">
        <v>1805.11</v>
      </c>
      <c r="U380" s="8" t="str">
        <f>IF(T380&lt;=_xlfn.PERCENTILE.INC($T380:$T$633,0.33), "Low", IF(T380&lt;=_xlfn.PERCENTILE.INC($T380:$T$633,0.66), "Medium", "High"))</f>
        <v>High</v>
      </c>
      <c r="V380" s="10">
        <v>0.20300000000000001</v>
      </c>
      <c r="W380" s="10">
        <f t="shared" si="62"/>
        <v>0.20300000000000001</v>
      </c>
      <c r="X380" s="12">
        <v>11</v>
      </c>
      <c r="Y380" s="8">
        <f t="shared" si="55"/>
        <v>15825.399369999997</v>
      </c>
      <c r="Z380" s="8">
        <f t="shared" si="56"/>
        <v>13732.29</v>
      </c>
      <c r="AA380" s="8">
        <f t="shared" si="63"/>
        <v>2093.1093699999965</v>
      </c>
      <c r="AB380" s="10">
        <f t="shared" si="64"/>
        <v>0.13226265707820786</v>
      </c>
      <c r="AC380" s="14">
        <f>_xlfn.MINIFS($C$2:$C$633, $J$2:$J$633, J380)</f>
        <v>44946</v>
      </c>
      <c r="AD380">
        <f>DATEDIF(AC380, C380, "m")</f>
        <v>19</v>
      </c>
      <c r="AE380" s="8">
        <f t="shared" si="65"/>
        <v>1438.6726699999997</v>
      </c>
    </row>
    <row r="381" spans="1:31" x14ac:dyDescent="0.3">
      <c r="A381" s="4" t="s">
        <v>598</v>
      </c>
      <c r="B381" s="6">
        <v>45507</v>
      </c>
      <c r="C381" s="14">
        <v>45507</v>
      </c>
      <c r="D381" s="14" t="str">
        <f t="shared" si="57"/>
        <v>Q3 -2024</v>
      </c>
      <c r="E381" s="6">
        <v>45513</v>
      </c>
      <c r="F381" s="6">
        <f t="shared" si="58"/>
        <v>45513</v>
      </c>
      <c r="G381" s="12">
        <f t="shared" si="59"/>
        <v>6</v>
      </c>
      <c r="H381" s="12">
        <f t="shared" si="60"/>
        <v>1</v>
      </c>
      <c r="I381" s="4" t="s">
        <v>646</v>
      </c>
      <c r="J381" s="4" t="s">
        <v>650</v>
      </c>
      <c r="K381" s="4" t="s">
        <v>675</v>
      </c>
      <c r="L381" t="str">
        <f t="shared" si="61"/>
        <v>Africa&gt;Kenya&gt;Mombasa</v>
      </c>
      <c r="M381" s="4" t="s">
        <v>704</v>
      </c>
      <c r="N381" s="4" t="s">
        <v>709</v>
      </c>
      <c r="O381" s="4" t="s">
        <v>722</v>
      </c>
      <c r="P381" s="4" t="s">
        <v>731</v>
      </c>
      <c r="Q381" s="4" t="s">
        <v>1316</v>
      </c>
      <c r="R381" s="8">
        <v>643.21</v>
      </c>
      <c r="S381" s="8">
        <v>1112.81</v>
      </c>
      <c r="T381" s="8">
        <v>1112.81</v>
      </c>
      <c r="U381" s="8" t="str">
        <f>IF(T381&lt;=_xlfn.PERCENTILE.INC($T381:$T$633,0.33), "Low", IF(T381&lt;=_xlfn.PERCENTILE.INC($T381:$T$633,0.66), "Medium", "High"))</f>
        <v>Medium</v>
      </c>
      <c r="V381" s="10">
        <v>0.14099999999999999</v>
      </c>
      <c r="W381" s="10">
        <f t="shared" si="62"/>
        <v>0.14099999999999999</v>
      </c>
      <c r="X381" s="12">
        <v>4</v>
      </c>
      <c r="Y381" s="8">
        <f t="shared" si="55"/>
        <v>3823.6151599999998</v>
      </c>
      <c r="Z381" s="8">
        <f t="shared" si="56"/>
        <v>2572.84</v>
      </c>
      <c r="AA381" s="8">
        <f t="shared" si="63"/>
        <v>1250.7751599999997</v>
      </c>
      <c r="AB381" s="10">
        <f t="shared" si="64"/>
        <v>0.32711847496702562</v>
      </c>
      <c r="AC381" s="14">
        <f>_xlfn.MINIFS($C$2:$C$633, $J$2:$J$633, J381)</f>
        <v>44946</v>
      </c>
      <c r="AD381">
        <f>DATEDIF(AC381, C381, "m")</f>
        <v>18</v>
      </c>
      <c r="AE381" s="8">
        <f t="shared" si="65"/>
        <v>955.90378999999996</v>
      </c>
    </row>
    <row r="382" spans="1:31" x14ac:dyDescent="0.3">
      <c r="A382" s="4" t="s">
        <v>388</v>
      </c>
      <c r="B382" s="6">
        <v>45429</v>
      </c>
      <c r="C382" s="14">
        <v>45429</v>
      </c>
      <c r="D382" s="14" t="str">
        <f t="shared" si="57"/>
        <v>Q2 -2024</v>
      </c>
      <c r="E382" s="6">
        <v>45439</v>
      </c>
      <c r="F382" s="6">
        <f t="shared" si="58"/>
        <v>45439</v>
      </c>
      <c r="G382" s="12">
        <f t="shared" si="59"/>
        <v>10</v>
      </c>
      <c r="H382" s="12">
        <f t="shared" si="60"/>
        <v>0</v>
      </c>
      <c r="I382" s="4" t="s">
        <v>648</v>
      </c>
      <c r="J382" s="4" t="s">
        <v>660</v>
      </c>
      <c r="K382" s="4" t="s">
        <v>697</v>
      </c>
      <c r="L382" t="str">
        <f t="shared" si="61"/>
        <v>Americas&gt;USA&gt;Austin</v>
      </c>
      <c r="M382" s="4" t="s">
        <v>703</v>
      </c>
      <c r="N382" s="4" t="s">
        <v>708</v>
      </c>
      <c r="O382" s="4" t="s">
        <v>712</v>
      </c>
      <c r="P382" s="4" t="s">
        <v>730</v>
      </c>
      <c r="Q382" s="4" t="s">
        <v>1108</v>
      </c>
      <c r="R382" s="8">
        <v>1484.23</v>
      </c>
      <c r="S382" s="8">
        <v>3472.81</v>
      </c>
      <c r="T382" s="8">
        <v>3472.81</v>
      </c>
      <c r="U382" s="8" t="str">
        <f>IF(T382&lt;=_xlfn.PERCENTILE.INC($T382:$T$633,0.33), "Low", IF(T382&lt;=_xlfn.PERCENTILE.INC($T382:$T$633,0.66), "Medium", "High"))</f>
        <v>High</v>
      </c>
      <c r="V382" s="10">
        <v>0.25600000000000001</v>
      </c>
      <c r="W382" s="10">
        <f t="shared" si="62"/>
        <v>0.25600000000000001</v>
      </c>
      <c r="X382" s="12">
        <v>12</v>
      </c>
      <c r="Y382" s="8">
        <f t="shared" si="55"/>
        <v>31005.24768</v>
      </c>
      <c r="Z382" s="8">
        <f t="shared" si="56"/>
        <v>17810.760000000002</v>
      </c>
      <c r="AA382" s="8">
        <f t="shared" si="63"/>
        <v>13194.487679999998</v>
      </c>
      <c r="AB382" s="10">
        <f t="shared" si="64"/>
        <v>0.42555659661803413</v>
      </c>
      <c r="AC382" s="14">
        <f>_xlfn.MINIFS($C$2:$C$633, $J$2:$J$633, J382)</f>
        <v>44939</v>
      </c>
      <c r="AD382">
        <f>DATEDIF(AC382, C382, "m")</f>
        <v>16</v>
      </c>
      <c r="AE382" s="8">
        <f t="shared" si="65"/>
        <v>2583.7706400000002</v>
      </c>
    </row>
    <row r="383" spans="1:31" x14ac:dyDescent="0.3">
      <c r="A383" s="4" t="s">
        <v>51</v>
      </c>
      <c r="B383" s="6">
        <v>45358</v>
      </c>
      <c r="C383" s="14">
        <v>45358</v>
      </c>
      <c r="D383" s="14" t="str">
        <f t="shared" si="57"/>
        <v>Q1 -2024</v>
      </c>
      <c r="E383" s="6">
        <v>45376</v>
      </c>
      <c r="F383" s="6">
        <f t="shared" si="58"/>
        <v>45376</v>
      </c>
      <c r="G383" s="12">
        <f t="shared" si="59"/>
        <v>18</v>
      </c>
      <c r="H383" s="12">
        <f t="shared" si="60"/>
        <v>0</v>
      </c>
      <c r="I383" s="4" t="s">
        <v>649</v>
      </c>
      <c r="J383" s="4" t="s">
        <v>656</v>
      </c>
      <c r="K383" s="4" t="s">
        <v>684</v>
      </c>
      <c r="L383" t="str">
        <f t="shared" si="61"/>
        <v>Europe&gt;Germany&gt;Munich</v>
      </c>
      <c r="M383" s="4" t="s">
        <v>701</v>
      </c>
      <c r="N383" s="4" t="s">
        <v>708</v>
      </c>
      <c r="O383" s="4" t="s">
        <v>717</v>
      </c>
      <c r="P383" s="4" t="s">
        <v>727</v>
      </c>
      <c r="Q383" s="4" t="s">
        <v>770</v>
      </c>
      <c r="R383" s="8">
        <v>712.84</v>
      </c>
      <c r="S383" s="8">
        <v>927.51</v>
      </c>
      <c r="T383" s="8">
        <v>927.51</v>
      </c>
      <c r="U383" s="8" t="str">
        <f>IF(T383&lt;=_xlfn.PERCENTILE.INC($T383:$T$633,0.33), "Low", IF(T383&lt;=_xlfn.PERCENTILE.INC($T383:$T$633,0.66), "Medium", "High"))</f>
        <v>Medium</v>
      </c>
      <c r="V383" s="10">
        <v>0.24299999999999999</v>
      </c>
      <c r="W383" s="10">
        <f t="shared" si="62"/>
        <v>0.24299999999999999</v>
      </c>
      <c r="X383" s="12">
        <v>27</v>
      </c>
      <c r="Y383" s="8">
        <f t="shared" si="55"/>
        <v>18957.37689</v>
      </c>
      <c r="Z383" s="8">
        <f t="shared" si="56"/>
        <v>19246.68</v>
      </c>
      <c r="AA383" s="8">
        <f t="shared" si="63"/>
        <v>-289.30311000000074</v>
      </c>
      <c r="AB383" s="10">
        <f t="shared" si="64"/>
        <v>-1.5260714163076427E-2</v>
      </c>
      <c r="AC383" s="14">
        <f>_xlfn.MINIFS($C$2:$C$633, $J$2:$J$633, J383)</f>
        <v>44948</v>
      </c>
      <c r="AD383">
        <f>DATEDIF(AC383, C383, "m")</f>
        <v>13</v>
      </c>
      <c r="AE383" s="8">
        <f t="shared" si="65"/>
        <v>702.12506999999994</v>
      </c>
    </row>
    <row r="384" spans="1:31" x14ac:dyDescent="0.3">
      <c r="A384" s="4" t="s">
        <v>374</v>
      </c>
      <c r="B384" s="6">
        <v>45466</v>
      </c>
      <c r="C384" s="14">
        <v>45466</v>
      </c>
      <c r="D384" s="14" t="str">
        <f t="shared" si="57"/>
        <v>Q2 -2024</v>
      </c>
      <c r="E384" s="6">
        <v>45468</v>
      </c>
      <c r="F384" s="6">
        <f t="shared" si="58"/>
        <v>45468</v>
      </c>
      <c r="G384" s="12">
        <f t="shared" si="59"/>
        <v>2</v>
      </c>
      <c r="H384" s="12">
        <f t="shared" si="60"/>
        <v>1</v>
      </c>
      <c r="I384" s="4" t="s">
        <v>649</v>
      </c>
      <c r="J384" s="4" t="s">
        <v>658</v>
      </c>
      <c r="K384" s="4" t="s">
        <v>674</v>
      </c>
      <c r="L384" t="str">
        <f t="shared" si="61"/>
        <v>Europe&gt;United Kingdom&gt;Birmingham</v>
      </c>
      <c r="M384" s="4" t="s">
        <v>705</v>
      </c>
      <c r="N384" s="4" t="s">
        <v>709</v>
      </c>
      <c r="O384" s="4" t="s">
        <v>716</v>
      </c>
      <c r="P384" s="4" t="s">
        <v>733</v>
      </c>
      <c r="Q384" s="4" t="s">
        <v>1094</v>
      </c>
      <c r="R384" s="8">
        <v>951.44</v>
      </c>
      <c r="S384" s="8">
        <v>1646.43</v>
      </c>
      <c r="T384" s="8">
        <v>1646.43</v>
      </c>
      <c r="U384" s="8" t="str">
        <f>IF(T384&lt;=_xlfn.PERCENTILE.INC($T384:$T$633,0.33), "Low", IF(T384&lt;=_xlfn.PERCENTILE.INC($T384:$T$633,0.66), "Medium", "High"))</f>
        <v>High</v>
      </c>
      <c r="V384" s="10">
        <v>0.11</v>
      </c>
      <c r="W384" s="10">
        <f t="shared" si="62"/>
        <v>0.11</v>
      </c>
      <c r="X384" s="12">
        <v>24</v>
      </c>
      <c r="Y384" s="8">
        <f t="shared" si="55"/>
        <v>35167.7448</v>
      </c>
      <c r="Z384" s="8">
        <f t="shared" si="56"/>
        <v>22834.560000000001</v>
      </c>
      <c r="AA384" s="8">
        <f t="shared" si="63"/>
        <v>12333.184799999999</v>
      </c>
      <c r="AB384" s="10">
        <f t="shared" si="64"/>
        <v>0.35069592520473475</v>
      </c>
      <c r="AC384" s="14">
        <f>_xlfn.MINIFS($C$2:$C$633, $J$2:$J$633, J384)</f>
        <v>44945</v>
      </c>
      <c r="AD384">
        <f>DATEDIF(AC384, C384, "m")</f>
        <v>17</v>
      </c>
      <c r="AE384" s="8">
        <f t="shared" si="65"/>
        <v>1465.3226999999999</v>
      </c>
    </row>
    <row r="385" spans="1:31" x14ac:dyDescent="0.3">
      <c r="A385" s="4" t="s">
        <v>542</v>
      </c>
      <c r="B385" s="6">
        <v>45448</v>
      </c>
      <c r="C385" s="14">
        <v>45448</v>
      </c>
      <c r="D385" s="14" t="str">
        <f t="shared" si="57"/>
        <v>Q2 -2024</v>
      </c>
      <c r="E385" s="6">
        <v>45466</v>
      </c>
      <c r="F385" s="6">
        <f t="shared" si="58"/>
        <v>45466</v>
      </c>
      <c r="G385" s="12">
        <f t="shared" si="59"/>
        <v>18</v>
      </c>
      <c r="H385" s="12">
        <f t="shared" si="60"/>
        <v>0</v>
      </c>
      <c r="I385" s="4" t="s">
        <v>646</v>
      </c>
      <c r="J385" s="4" t="s">
        <v>650</v>
      </c>
      <c r="K385" s="4" t="s">
        <v>664</v>
      </c>
      <c r="L385" t="str">
        <f t="shared" si="61"/>
        <v>Africa&gt;Kenya&gt;Nairobi</v>
      </c>
      <c r="M385" s="4" t="s">
        <v>704</v>
      </c>
      <c r="N385" s="4" t="s">
        <v>710</v>
      </c>
      <c r="O385" s="4" t="s">
        <v>726</v>
      </c>
      <c r="P385" s="4" t="s">
        <v>731</v>
      </c>
      <c r="Q385" s="4" t="s">
        <v>1261</v>
      </c>
      <c r="R385" s="8">
        <v>1208.74</v>
      </c>
      <c r="S385" s="8">
        <v>1594.78</v>
      </c>
      <c r="T385" s="8">
        <v>1594.78</v>
      </c>
      <c r="U385" s="8" t="str">
        <f>IF(T385&lt;=_xlfn.PERCENTILE.INC($T385:$T$633,0.33), "Low", IF(T385&lt;=_xlfn.PERCENTILE.INC($T385:$T$633,0.66), "Medium", "High"))</f>
        <v>High</v>
      </c>
      <c r="V385" s="10">
        <v>5.8999999999999997E-2</v>
      </c>
      <c r="W385" s="10">
        <f t="shared" si="62"/>
        <v>5.8999999999999997E-2</v>
      </c>
      <c r="X385" s="12">
        <v>39</v>
      </c>
      <c r="Y385" s="8">
        <f t="shared" si="55"/>
        <v>58526.83122</v>
      </c>
      <c r="Z385" s="8">
        <f t="shared" si="56"/>
        <v>47140.86</v>
      </c>
      <c r="AA385" s="8">
        <f t="shared" si="63"/>
        <v>11385.971219999999</v>
      </c>
      <c r="AB385" s="10">
        <f t="shared" si="64"/>
        <v>0.1945427589817838</v>
      </c>
      <c r="AC385" s="14">
        <f>_xlfn.MINIFS($C$2:$C$633, $J$2:$J$633, J385)</f>
        <v>44946</v>
      </c>
      <c r="AD385">
        <f>DATEDIF(AC385, C385, "m")</f>
        <v>16</v>
      </c>
      <c r="AE385" s="8">
        <f t="shared" si="65"/>
        <v>1500.6879799999999</v>
      </c>
    </row>
    <row r="386" spans="1:31" x14ac:dyDescent="0.3">
      <c r="A386" s="4" t="s">
        <v>335</v>
      </c>
      <c r="B386" s="6">
        <v>45293</v>
      </c>
      <c r="C386" s="14">
        <v>45293</v>
      </c>
      <c r="D386" s="14" t="str">
        <f t="shared" si="57"/>
        <v>Q1 -2024</v>
      </c>
      <c r="E386" s="6">
        <v>45292</v>
      </c>
      <c r="F386" s="6">
        <f t="shared" si="58"/>
        <v>45299</v>
      </c>
      <c r="G386" s="12">
        <f t="shared" si="59"/>
        <v>6</v>
      </c>
      <c r="H386" s="12">
        <f t="shared" si="60"/>
        <v>1</v>
      </c>
      <c r="I386" s="4" t="s">
        <v>648</v>
      </c>
      <c r="J386" s="4" t="s">
        <v>660</v>
      </c>
      <c r="K386" s="4" t="s">
        <v>677</v>
      </c>
      <c r="L386" t="str">
        <f t="shared" si="61"/>
        <v>Americas&gt;USA&gt;Chicago</v>
      </c>
      <c r="M386" s="4" t="s">
        <v>702</v>
      </c>
      <c r="N386" s="4" t="s">
        <v>709</v>
      </c>
      <c r="O386" s="4" t="s">
        <v>717</v>
      </c>
      <c r="P386" s="4" t="s">
        <v>729</v>
      </c>
      <c r="Q386" s="4" t="s">
        <v>1055</v>
      </c>
      <c r="R386" s="8">
        <v>404.77</v>
      </c>
      <c r="S386" s="8">
        <v>433.88</v>
      </c>
      <c r="T386" s="8">
        <v>433.88</v>
      </c>
      <c r="U386" s="8" t="str">
        <f>IF(T386&lt;=_xlfn.PERCENTILE.INC($T386:$T$633,0.33), "Low", IF(T386&lt;=_xlfn.PERCENTILE.INC($T386:$T$633,0.66), "Medium", "High"))</f>
        <v>Low</v>
      </c>
      <c r="V386" s="10">
        <v>0.215</v>
      </c>
      <c r="W386" s="10">
        <f t="shared" si="62"/>
        <v>0.215</v>
      </c>
      <c r="X386" s="12">
        <v>22</v>
      </c>
      <c r="Y386" s="8">
        <f t="shared" ref="Y386:Y449" si="66">(T386*X386*(1-W386))</f>
        <v>7493.1076000000012</v>
      </c>
      <c r="Z386" s="8">
        <f t="shared" ref="Z386:Z449" si="67">R386*X386</f>
        <v>8904.9399999999987</v>
      </c>
      <c r="AA386" s="8">
        <f t="shared" si="63"/>
        <v>-1411.8323999999975</v>
      </c>
      <c r="AB386" s="10">
        <f t="shared" si="64"/>
        <v>-0.18841747314558746</v>
      </c>
      <c r="AC386" s="14">
        <f>_xlfn.MINIFS($C$2:$C$633, $J$2:$J$633, J386)</f>
        <v>44939</v>
      </c>
      <c r="AD386">
        <f>DATEDIF(AC386, C386, "m")</f>
        <v>11</v>
      </c>
      <c r="AE386" s="8">
        <f t="shared" si="65"/>
        <v>340.59580000000005</v>
      </c>
    </row>
    <row r="387" spans="1:31" x14ac:dyDescent="0.3">
      <c r="A387" s="4" t="s">
        <v>232</v>
      </c>
      <c r="B387" s="6">
        <v>45576</v>
      </c>
      <c r="C387" s="14">
        <v>45576</v>
      </c>
      <c r="D387" s="14" t="str">
        <f t="shared" ref="D387:D450" si="68">IF(MONTH(C387) &lt;=3, "Q1", IF(MONTH(C387)&lt;=6, "Q2", IF(MONTH(C387)&lt;=9, "Q3", "Q4")))&amp; " -" &amp; YEAR(C387)</f>
        <v>Q4 -2024</v>
      </c>
      <c r="E387" s="6">
        <v>45605</v>
      </c>
      <c r="F387" s="6">
        <f t="shared" ref="F387:F450" si="69">IF(E387&lt;B387, E387 + 7, E387)</f>
        <v>45605</v>
      </c>
      <c r="G387" s="12">
        <f t="shared" ref="G387:G450" si="70">DATEDIF(B387, F387,"D")</f>
        <v>29</v>
      </c>
      <c r="H387" s="12">
        <f t="shared" ref="H387:H450" si="71">IF(G387&lt;=7,1,0)</f>
        <v>0</v>
      </c>
      <c r="I387" s="4" t="s">
        <v>647</v>
      </c>
      <c r="J387" s="4" t="s">
        <v>659</v>
      </c>
      <c r="K387" s="4" t="s">
        <v>685</v>
      </c>
      <c r="L387" t="str">
        <f t="shared" ref="L387:L450" si="72">I387&amp;"&gt;"&amp;J387 &amp;"&gt;"&amp;K387</f>
        <v>Asia&gt;China&gt;Shanghai</v>
      </c>
      <c r="M387" s="4" t="s">
        <v>703</v>
      </c>
      <c r="N387" s="4" t="s">
        <v>708</v>
      </c>
      <c r="O387" s="4" t="s">
        <v>721</v>
      </c>
      <c r="P387" s="4" t="s">
        <v>728</v>
      </c>
      <c r="Q387" s="4" t="s">
        <v>952</v>
      </c>
      <c r="R387" s="8">
        <v>391.64</v>
      </c>
      <c r="S387" s="8">
        <v>504.76</v>
      </c>
      <c r="T387" s="8">
        <v>504.76</v>
      </c>
      <c r="U387" s="8" t="str">
        <f>IF(T387&lt;=_xlfn.PERCENTILE.INC($T387:$T$633,0.33), "Low", IF(T387&lt;=_xlfn.PERCENTILE.INC($T387:$T$633,0.66), "Medium", "High"))</f>
        <v>Low</v>
      </c>
      <c r="V387" s="10">
        <v>4.0000000000000001E-3</v>
      </c>
      <c r="W387" s="10">
        <f t="shared" ref="W387:W450" si="73">IF(V387&gt;0.3,0.3,V387)</f>
        <v>4.0000000000000001E-3</v>
      </c>
      <c r="X387" s="12">
        <v>13</v>
      </c>
      <c r="Y387" s="8">
        <f t="shared" si="66"/>
        <v>6535.6324800000002</v>
      </c>
      <c r="Z387" s="8">
        <f t="shared" si="67"/>
        <v>5091.32</v>
      </c>
      <c r="AA387" s="8">
        <f t="shared" ref="AA387:AA450" si="74">Y387-Z387</f>
        <v>1444.3124800000005</v>
      </c>
      <c r="AB387" s="10">
        <f t="shared" ref="AB387:AB450" si="75">IF(Y387 = 0, 0, AA387/Y387)</f>
        <v>0.22099046793402319</v>
      </c>
      <c r="AC387" s="14">
        <f>_xlfn.MINIFS($C$2:$C$633, $J$2:$J$633, J387)</f>
        <v>44938</v>
      </c>
      <c r="AD387">
        <f>DATEDIF(AC387, C387, "m")</f>
        <v>20</v>
      </c>
      <c r="AE387" s="8">
        <f t="shared" ref="AE387:AE450" si="76">(Y387/X387)</f>
        <v>502.74096000000003</v>
      </c>
    </row>
    <row r="388" spans="1:31" x14ac:dyDescent="0.3">
      <c r="A388" s="4" t="s">
        <v>511</v>
      </c>
      <c r="B388" s="6">
        <v>45544</v>
      </c>
      <c r="C388" s="14">
        <v>45544</v>
      </c>
      <c r="D388" s="14" t="str">
        <f t="shared" si="68"/>
        <v>Q3 -2024</v>
      </c>
      <c r="E388" s="6">
        <v>45548</v>
      </c>
      <c r="F388" s="6">
        <f t="shared" si="69"/>
        <v>45548</v>
      </c>
      <c r="G388" s="12">
        <f t="shared" si="70"/>
        <v>4</v>
      </c>
      <c r="H388" s="12">
        <f t="shared" si="71"/>
        <v>1</v>
      </c>
      <c r="I388" s="4" t="s">
        <v>649</v>
      </c>
      <c r="J388" s="4" t="s">
        <v>658</v>
      </c>
      <c r="K388" s="4" t="s">
        <v>683</v>
      </c>
      <c r="L388" t="str">
        <f t="shared" si="72"/>
        <v>Europe&gt;United Kingdom&gt;London</v>
      </c>
      <c r="M388" s="4" t="s">
        <v>704</v>
      </c>
      <c r="N388" s="4" t="s">
        <v>709</v>
      </c>
      <c r="O388" s="4" t="s">
        <v>721</v>
      </c>
      <c r="P388" s="4" t="s">
        <v>729</v>
      </c>
      <c r="Q388" s="4" t="s">
        <v>1230</v>
      </c>
      <c r="R388" s="8">
        <v>1133.08</v>
      </c>
      <c r="S388" s="8">
        <v>976.17</v>
      </c>
      <c r="T388" s="8">
        <v>976.17</v>
      </c>
      <c r="U388" s="8" t="str">
        <f>IF(T388&lt;=_xlfn.PERCENTILE.INC($T388:$T$633,0.33), "Low", IF(T388&lt;=_xlfn.PERCENTILE.INC($T388:$T$633,0.66), "Medium", "High"))</f>
        <v>Medium</v>
      </c>
      <c r="V388" s="10">
        <v>4.2000000000000003E-2</v>
      </c>
      <c r="W388" s="10">
        <f t="shared" si="73"/>
        <v>4.2000000000000003E-2</v>
      </c>
      <c r="X388" s="12">
        <v>27</v>
      </c>
      <c r="Y388" s="8">
        <f t="shared" si="66"/>
        <v>25249.613219999999</v>
      </c>
      <c r="Z388" s="8">
        <f t="shared" si="67"/>
        <v>30593.159999999996</v>
      </c>
      <c r="AA388" s="8">
        <f t="shared" si="74"/>
        <v>-5343.5467799999969</v>
      </c>
      <c r="AB388" s="10">
        <f t="shared" si="75"/>
        <v>-0.21162885678452373</v>
      </c>
      <c r="AC388" s="14">
        <f>_xlfn.MINIFS($C$2:$C$633, $J$2:$J$633, J388)</f>
        <v>44945</v>
      </c>
      <c r="AD388">
        <f>DATEDIF(AC388, C388, "m")</f>
        <v>19</v>
      </c>
      <c r="AE388" s="8">
        <f t="shared" si="76"/>
        <v>935.17085999999995</v>
      </c>
    </row>
    <row r="389" spans="1:31" x14ac:dyDescent="0.3">
      <c r="A389" s="4" t="s">
        <v>521</v>
      </c>
      <c r="B389" s="6">
        <v>45589</v>
      </c>
      <c r="C389" s="14">
        <v>45589</v>
      </c>
      <c r="D389" s="14" t="str">
        <f t="shared" si="68"/>
        <v>Q4 -2024</v>
      </c>
      <c r="E389" s="6">
        <v>45593</v>
      </c>
      <c r="F389" s="6">
        <f t="shared" si="69"/>
        <v>45593</v>
      </c>
      <c r="G389" s="12">
        <f t="shared" si="70"/>
        <v>4</v>
      </c>
      <c r="H389" s="12">
        <f t="shared" si="71"/>
        <v>1</v>
      </c>
      <c r="I389" s="4" t="s">
        <v>647</v>
      </c>
      <c r="J389" s="4" t="s">
        <v>659</v>
      </c>
      <c r="K389" s="4" t="s">
        <v>685</v>
      </c>
      <c r="L389" t="str">
        <f t="shared" si="72"/>
        <v>Asia&gt;China&gt;Shanghai</v>
      </c>
      <c r="M389" s="4" t="s">
        <v>705</v>
      </c>
      <c r="N389" s="4" t="s">
        <v>710</v>
      </c>
      <c r="O389" s="4" t="s">
        <v>714</v>
      </c>
      <c r="P389" s="4" t="s">
        <v>729</v>
      </c>
      <c r="Q389" s="4" t="s">
        <v>1240</v>
      </c>
      <c r="R389" s="8">
        <v>1331.77</v>
      </c>
      <c r="S389" s="8">
        <v>2606.11</v>
      </c>
      <c r="T389" s="8">
        <v>2606.11</v>
      </c>
      <c r="U389" s="8" t="str">
        <f>IF(T389&lt;=_xlfn.PERCENTILE.INC($T389:$T$633,0.33), "Low", IF(T389&lt;=_xlfn.PERCENTILE.INC($T389:$T$633,0.66), "Medium", "High"))</f>
        <v>High</v>
      </c>
      <c r="V389" s="10">
        <v>0.02</v>
      </c>
      <c r="W389" s="10">
        <f t="shared" si="73"/>
        <v>0.02</v>
      </c>
      <c r="X389" s="12">
        <v>6</v>
      </c>
      <c r="Y389" s="8">
        <f t="shared" si="66"/>
        <v>15323.926799999999</v>
      </c>
      <c r="Z389" s="8">
        <f t="shared" si="67"/>
        <v>7990.62</v>
      </c>
      <c r="AA389" s="8">
        <f t="shared" si="74"/>
        <v>7333.3067999999994</v>
      </c>
      <c r="AB389" s="10">
        <f t="shared" si="75"/>
        <v>0.47855271665745619</v>
      </c>
      <c r="AC389" s="14">
        <f>_xlfn.MINIFS($C$2:$C$633, $J$2:$J$633, J389)</f>
        <v>44938</v>
      </c>
      <c r="AD389">
        <f>DATEDIF(AC389, C389, "m")</f>
        <v>21</v>
      </c>
      <c r="AE389" s="8">
        <f t="shared" si="76"/>
        <v>2553.9877999999999</v>
      </c>
    </row>
    <row r="390" spans="1:31" x14ac:dyDescent="0.3">
      <c r="A390" s="4" t="s">
        <v>626</v>
      </c>
      <c r="B390" s="6">
        <v>45584</v>
      </c>
      <c r="C390" s="14">
        <v>45584</v>
      </c>
      <c r="D390" s="14" t="str">
        <f t="shared" si="68"/>
        <v>Q4 -2024</v>
      </c>
      <c r="E390" s="6">
        <v>45602</v>
      </c>
      <c r="F390" s="6">
        <f t="shared" si="69"/>
        <v>45602</v>
      </c>
      <c r="G390" s="12">
        <f t="shared" si="70"/>
        <v>18</v>
      </c>
      <c r="H390" s="12">
        <f t="shared" si="71"/>
        <v>0</v>
      </c>
      <c r="I390" s="4" t="s">
        <v>648</v>
      </c>
      <c r="J390" s="4" t="s">
        <v>660</v>
      </c>
      <c r="K390" s="4" t="s">
        <v>677</v>
      </c>
      <c r="L390" t="str">
        <f t="shared" si="72"/>
        <v>Americas&gt;USA&gt;Chicago</v>
      </c>
      <c r="M390" s="4" t="s">
        <v>702</v>
      </c>
      <c r="N390" s="4" t="s">
        <v>1423</v>
      </c>
      <c r="O390" s="4" t="s">
        <v>712</v>
      </c>
      <c r="P390" s="4" t="s">
        <v>732</v>
      </c>
      <c r="Q390" s="4" t="s">
        <v>1344</v>
      </c>
      <c r="R390" s="8">
        <v>942.02</v>
      </c>
      <c r="S390" s="8">
        <v>1028.46</v>
      </c>
      <c r="T390" s="8">
        <v>1028.46</v>
      </c>
      <c r="U390" s="8" t="str">
        <f>IF(T390&lt;=_xlfn.PERCENTILE.INC($T390:$T$633,0.33), "Low", IF(T390&lt;=_xlfn.PERCENTILE.INC($T390:$T$633,0.66), "Medium", "High"))</f>
        <v>Medium</v>
      </c>
      <c r="V390" s="10">
        <v>0</v>
      </c>
      <c r="W390" s="10">
        <f t="shared" si="73"/>
        <v>0</v>
      </c>
      <c r="X390" s="12">
        <v>9</v>
      </c>
      <c r="Y390" s="8">
        <f t="shared" si="66"/>
        <v>9256.14</v>
      </c>
      <c r="Z390" s="8">
        <f t="shared" si="67"/>
        <v>8478.18</v>
      </c>
      <c r="AA390" s="8">
        <f t="shared" si="74"/>
        <v>777.95999999999913</v>
      </c>
      <c r="AB390" s="10">
        <f t="shared" si="75"/>
        <v>8.4047994088248354E-2</v>
      </c>
      <c r="AC390" s="14">
        <f>_xlfn.MINIFS($C$2:$C$633, $J$2:$J$633, J390)</f>
        <v>44939</v>
      </c>
      <c r="AD390">
        <f>DATEDIF(AC390, C390, "m")</f>
        <v>21</v>
      </c>
      <c r="AE390" s="8">
        <f t="shared" si="76"/>
        <v>1028.46</v>
      </c>
    </row>
    <row r="391" spans="1:31" x14ac:dyDescent="0.3">
      <c r="A391" s="4" t="s">
        <v>457</v>
      </c>
      <c r="B391" s="6">
        <v>45526</v>
      </c>
      <c r="C391" s="14">
        <v>45526</v>
      </c>
      <c r="D391" s="14" t="str">
        <f t="shared" si="68"/>
        <v>Q3 -2024</v>
      </c>
      <c r="E391" s="6">
        <v>45539</v>
      </c>
      <c r="F391" s="6">
        <f t="shared" si="69"/>
        <v>45539</v>
      </c>
      <c r="G391" s="12">
        <f t="shared" si="70"/>
        <v>13</v>
      </c>
      <c r="H391" s="12">
        <f t="shared" si="71"/>
        <v>0</v>
      </c>
      <c r="I391" s="4" t="s">
        <v>649</v>
      </c>
      <c r="J391" s="4" t="s">
        <v>656</v>
      </c>
      <c r="K391" s="4" t="s">
        <v>698</v>
      </c>
      <c r="L391" t="str">
        <f t="shared" si="72"/>
        <v>Europe&gt;Germany&gt;Frankfurt</v>
      </c>
      <c r="M391" s="4" t="s">
        <v>703</v>
      </c>
      <c r="N391" s="4" t="s">
        <v>707</v>
      </c>
      <c r="O391" s="4" t="s">
        <v>716</v>
      </c>
      <c r="P391" s="4" t="s">
        <v>728</v>
      </c>
      <c r="Q391" s="4" t="s">
        <v>1176</v>
      </c>
      <c r="R391" s="8">
        <v>90.04</v>
      </c>
      <c r="S391" s="8">
        <v>194.62</v>
      </c>
      <c r="T391" s="8">
        <v>194.62</v>
      </c>
      <c r="U391" s="8" t="str">
        <f>IF(T391&lt;=_xlfn.PERCENTILE.INC($T391:$T$633,0.33), "Low", IF(T391&lt;=_xlfn.PERCENTILE.INC($T391:$T$633,0.66), "Medium", "High"))</f>
        <v>Low</v>
      </c>
      <c r="V391" s="10">
        <v>4.2999999999999997E-2</v>
      </c>
      <c r="W391" s="10">
        <f t="shared" si="73"/>
        <v>4.2999999999999997E-2</v>
      </c>
      <c r="X391" s="12">
        <v>32</v>
      </c>
      <c r="Y391" s="8">
        <f t="shared" si="66"/>
        <v>5960.04288</v>
      </c>
      <c r="Z391" s="8">
        <f t="shared" si="67"/>
        <v>2881.28</v>
      </c>
      <c r="AA391" s="8">
        <f t="shared" si="74"/>
        <v>3078.7628799999998</v>
      </c>
      <c r="AB391" s="10">
        <f t="shared" si="75"/>
        <v>0.51656723650954672</v>
      </c>
      <c r="AC391" s="14">
        <f>_xlfn.MINIFS($C$2:$C$633, $J$2:$J$633, J391)</f>
        <v>44948</v>
      </c>
      <c r="AD391">
        <f>DATEDIF(AC391, C391, "m")</f>
        <v>19</v>
      </c>
      <c r="AE391" s="8">
        <f t="shared" si="76"/>
        <v>186.25134</v>
      </c>
    </row>
    <row r="392" spans="1:31" x14ac:dyDescent="0.3">
      <c r="A392" s="4" t="s">
        <v>286</v>
      </c>
      <c r="B392" s="6">
        <v>45382</v>
      </c>
      <c r="C392" s="14">
        <v>45382</v>
      </c>
      <c r="D392" s="14" t="str">
        <f t="shared" si="68"/>
        <v>Q1 -2024</v>
      </c>
      <c r="E392" s="6">
        <v>45399</v>
      </c>
      <c r="F392" s="6">
        <f t="shared" si="69"/>
        <v>45399</v>
      </c>
      <c r="G392" s="12">
        <f t="shared" si="70"/>
        <v>17</v>
      </c>
      <c r="H392" s="12">
        <f t="shared" si="71"/>
        <v>0</v>
      </c>
      <c r="I392" s="4" t="s">
        <v>649</v>
      </c>
      <c r="J392" s="4" t="s">
        <v>656</v>
      </c>
      <c r="K392" s="4" t="s">
        <v>698</v>
      </c>
      <c r="L392" t="str">
        <f t="shared" si="72"/>
        <v>Europe&gt;Germany&gt;Frankfurt</v>
      </c>
      <c r="M392" s="4" t="s">
        <v>702</v>
      </c>
      <c r="N392" s="4" t="s">
        <v>711</v>
      </c>
      <c r="O392" s="4" t="s">
        <v>722</v>
      </c>
      <c r="P392" s="4" t="s">
        <v>732</v>
      </c>
      <c r="Q392" s="4" t="s">
        <v>1006</v>
      </c>
      <c r="R392" s="8">
        <v>1025.51</v>
      </c>
      <c r="S392" s="8">
        <v>1436.54</v>
      </c>
      <c r="T392" s="8">
        <v>1436.54</v>
      </c>
      <c r="U392" s="8" t="str">
        <f>IF(T392&lt;=_xlfn.PERCENTILE.INC($T392:$T$633,0.33), "Low", IF(T392&lt;=_xlfn.PERCENTILE.INC($T392:$T$633,0.66), "Medium", "High"))</f>
        <v>Medium</v>
      </c>
      <c r="V392" s="10">
        <v>0.13900000000000001</v>
      </c>
      <c r="W392" s="10">
        <f t="shared" si="73"/>
        <v>0.13900000000000001</v>
      </c>
      <c r="X392" s="12">
        <v>28</v>
      </c>
      <c r="Y392" s="8">
        <f t="shared" si="66"/>
        <v>34632.106319999999</v>
      </c>
      <c r="Z392" s="8">
        <f t="shared" si="67"/>
        <v>28714.28</v>
      </c>
      <c r="AA392" s="8">
        <f t="shared" si="74"/>
        <v>5917.8263200000001</v>
      </c>
      <c r="AB392" s="10">
        <f t="shared" si="75"/>
        <v>0.17087688127656453</v>
      </c>
      <c r="AC392" s="14">
        <f>_xlfn.MINIFS($C$2:$C$633, $J$2:$J$633, J392)</f>
        <v>44948</v>
      </c>
      <c r="AD392">
        <f>DATEDIF(AC392, C392, "m")</f>
        <v>14</v>
      </c>
      <c r="AE392" s="8">
        <f t="shared" si="76"/>
        <v>1236.86094</v>
      </c>
    </row>
    <row r="393" spans="1:31" x14ac:dyDescent="0.3">
      <c r="A393" s="4" t="s">
        <v>433</v>
      </c>
      <c r="B393" s="6">
        <v>45307</v>
      </c>
      <c r="C393" s="14">
        <v>45307</v>
      </c>
      <c r="D393" s="14" t="str">
        <f t="shared" si="68"/>
        <v>Q1 -2024</v>
      </c>
      <c r="E393" s="6">
        <v>45333</v>
      </c>
      <c r="F393" s="6">
        <f t="shared" si="69"/>
        <v>45333</v>
      </c>
      <c r="G393" s="12">
        <f t="shared" si="70"/>
        <v>26</v>
      </c>
      <c r="H393" s="12">
        <f t="shared" si="71"/>
        <v>0</v>
      </c>
      <c r="I393" s="4" t="s">
        <v>649</v>
      </c>
      <c r="J393" s="4" t="s">
        <v>656</v>
      </c>
      <c r="K393" s="4" t="s">
        <v>698</v>
      </c>
      <c r="L393" t="str">
        <f t="shared" si="72"/>
        <v>Europe&gt;Germany&gt;Frankfurt</v>
      </c>
      <c r="M393" s="4" t="s">
        <v>703</v>
      </c>
      <c r="N393" s="4" t="s">
        <v>710</v>
      </c>
      <c r="O393" s="4" t="s">
        <v>718</v>
      </c>
      <c r="P393" s="4" t="s">
        <v>732</v>
      </c>
      <c r="Q393" s="4" t="s">
        <v>1152</v>
      </c>
      <c r="R393" s="8">
        <v>504.93</v>
      </c>
      <c r="S393" s="8">
        <v>819.06</v>
      </c>
      <c r="T393" s="8">
        <v>819.06</v>
      </c>
      <c r="U393" s="8" t="str">
        <f>IF(T393&lt;=_xlfn.PERCENTILE.INC($T393:$T$633,0.33), "Low", IF(T393&lt;=_xlfn.PERCENTILE.INC($T393:$T$633,0.66), "Medium", "High"))</f>
        <v>Medium</v>
      </c>
      <c r="V393" s="10">
        <v>0.22600000000000001</v>
      </c>
      <c r="W393" s="10">
        <f t="shared" si="73"/>
        <v>0.22600000000000001</v>
      </c>
      <c r="X393" s="12">
        <v>15</v>
      </c>
      <c r="Y393" s="8">
        <f t="shared" si="66"/>
        <v>9509.2865999999995</v>
      </c>
      <c r="Z393" s="8">
        <f t="shared" si="67"/>
        <v>7573.95</v>
      </c>
      <c r="AA393" s="8">
        <f t="shared" si="74"/>
        <v>1935.3365999999996</v>
      </c>
      <c r="AB393" s="10">
        <f t="shared" si="75"/>
        <v>0.20352069312959814</v>
      </c>
      <c r="AC393" s="14">
        <f>_xlfn.MINIFS($C$2:$C$633, $J$2:$J$633, J393)</f>
        <v>44948</v>
      </c>
      <c r="AD393">
        <f>DATEDIF(AC393, C393, "m")</f>
        <v>11</v>
      </c>
      <c r="AE393" s="8">
        <f t="shared" si="76"/>
        <v>633.95243999999991</v>
      </c>
    </row>
    <row r="394" spans="1:31" x14ac:dyDescent="0.3">
      <c r="A394" s="4" t="s">
        <v>633</v>
      </c>
      <c r="B394" s="6">
        <v>45578</v>
      </c>
      <c r="C394" s="14">
        <v>45578</v>
      </c>
      <c r="D394" s="14" t="str">
        <f t="shared" si="68"/>
        <v>Q4 -2024</v>
      </c>
      <c r="E394" s="6">
        <v>45589</v>
      </c>
      <c r="F394" s="6">
        <f t="shared" si="69"/>
        <v>45589</v>
      </c>
      <c r="G394" s="12">
        <f t="shared" si="70"/>
        <v>11</v>
      </c>
      <c r="H394" s="12">
        <f t="shared" si="71"/>
        <v>0</v>
      </c>
      <c r="I394" s="4" t="s">
        <v>649</v>
      </c>
      <c r="J394" s="4" t="s">
        <v>657</v>
      </c>
      <c r="K394" s="4" t="s">
        <v>690</v>
      </c>
      <c r="L394" t="str">
        <f t="shared" si="72"/>
        <v>Europe&gt;France&gt;Paris</v>
      </c>
      <c r="M394" s="4" t="s">
        <v>702</v>
      </c>
      <c r="N394" s="4" t="s">
        <v>710</v>
      </c>
      <c r="O394" s="4" t="s">
        <v>721</v>
      </c>
      <c r="P394" s="4" t="s">
        <v>727</v>
      </c>
      <c r="Q394" s="4" t="s">
        <v>1351</v>
      </c>
      <c r="R394" s="8">
        <v>816.7</v>
      </c>
      <c r="S394" s="8">
        <v>1010.75</v>
      </c>
      <c r="T394" s="8">
        <v>1010.75</v>
      </c>
      <c r="U394" s="8" t="str">
        <f>IF(T394&lt;=_xlfn.PERCENTILE.INC($T394:$T$633,0.33), "Low", IF(T394&lt;=_xlfn.PERCENTILE.INC($T394:$T$633,0.66), "Medium", "High"))</f>
        <v>Medium</v>
      </c>
      <c r="V394" s="10">
        <v>4.7E-2</v>
      </c>
      <c r="W394" s="10">
        <f t="shared" si="73"/>
        <v>4.7E-2</v>
      </c>
      <c r="X394" s="12">
        <v>43</v>
      </c>
      <c r="Y394" s="8">
        <f t="shared" si="66"/>
        <v>41419.524249999995</v>
      </c>
      <c r="Z394" s="8">
        <f t="shared" si="67"/>
        <v>35118.1</v>
      </c>
      <c r="AA394" s="8">
        <f t="shared" si="74"/>
        <v>6301.4242499999964</v>
      </c>
      <c r="AB394" s="10">
        <f t="shared" si="75"/>
        <v>0.15213656757537472</v>
      </c>
      <c r="AC394" s="14">
        <f>_xlfn.MINIFS($C$2:$C$633, $J$2:$J$633, J394)</f>
        <v>44936</v>
      </c>
      <c r="AD394">
        <f>DATEDIF(AC394, C394, "m")</f>
        <v>21</v>
      </c>
      <c r="AE394" s="8">
        <f t="shared" si="76"/>
        <v>963.24474999999984</v>
      </c>
    </row>
    <row r="395" spans="1:31" x14ac:dyDescent="0.3">
      <c r="A395" s="4" t="s">
        <v>204</v>
      </c>
      <c r="B395" s="6">
        <v>45325</v>
      </c>
      <c r="C395" s="14">
        <v>45325</v>
      </c>
      <c r="D395" s="14" t="str">
        <f t="shared" si="68"/>
        <v>Q1 -2024</v>
      </c>
      <c r="E395" s="6">
        <v>45341</v>
      </c>
      <c r="F395" s="6">
        <f t="shared" si="69"/>
        <v>45341</v>
      </c>
      <c r="G395" s="12">
        <f t="shared" si="70"/>
        <v>16</v>
      </c>
      <c r="H395" s="12">
        <f t="shared" si="71"/>
        <v>0</v>
      </c>
      <c r="I395" s="4" t="s">
        <v>647</v>
      </c>
      <c r="J395" s="4" t="s">
        <v>659</v>
      </c>
      <c r="K395" s="4" t="s">
        <v>676</v>
      </c>
      <c r="L395" t="str">
        <f t="shared" si="72"/>
        <v>Asia&gt;China&gt;Shenzhen</v>
      </c>
      <c r="M395" s="4" t="s">
        <v>705</v>
      </c>
      <c r="N395" s="4" t="s">
        <v>708</v>
      </c>
      <c r="O395" s="4" t="s">
        <v>722</v>
      </c>
      <c r="P395" s="4" t="s">
        <v>731</v>
      </c>
      <c r="Q395" s="4" t="s">
        <v>924</v>
      </c>
      <c r="R395" s="8">
        <v>993.75</v>
      </c>
      <c r="S395" s="8">
        <v>1310.29</v>
      </c>
      <c r="T395" s="8">
        <v>1310.29</v>
      </c>
      <c r="U395" s="8" t="str">
        <f>IF(T395&lt;=_xlfn.PERCENTILE.INC($T395:$T$633,0.33), "Low", IF(T395&lt;=_xlfn.PERCENTILE.INC($T395:$T$633,0.66), "Medium", "High"))</f>
        <v>Medium</v>
      </c>
      <c r="V395" s="10">
        <v>0.215</v>
      </c>
      <c r="W395" s="10">
        <f t="shared" si="73"/>
        <v>0.215</v>
      </c>
      <c r="X395" s="12">
        <v>19</v>
      </c>
      <c r="Y395" s="8">
        <f t="shared" si="66"/>
        <v>19542.975350000001</v>
      </c>
      <c r="Z395" s="8">
        <f t="shared" si="67"/>
        <v>18881.25</v>
      </c>
      <c r="AA395" s="8">
        <f t="shared" si="74"/>
        <v>661.72535000000062</v>
      </c>
      <c r="AB395" s="10">
        <f t="shared" si="75"/>
        <v>3.3860010471742245E-2</v>
      </c>
      <c r="AC395" s="14">
        <f>_xlfn.MINIFS($C$2:$C$633, $J$2:$J$633, J395)</f>
        <v>44938</v>
      </c>
      <c r="AD395">
        <f>DATEDIF(AC395, C395, "m")</f>
        <v>12</v>
      </c>
      <c r="AE395" s="8">
        <f t="shared" si="76"/>
        <v>1028.5776499999999</v>
      </c>
    </row>
    <row r="396" spans="1:31" x14ac:dyDescent="0.3">
      <c r="A396" s="4" t="s">
        <v>171</v>
      </c>
      <c r="B396" s="6">
        <v>45323</v>
      </c>
      <c r="C396" s="14">
        <v>45323</v>
      </c>
      <c r="D396" s="14" t="str">
        <f t="shared" si="68"/>
        <v>Q1 -2024</v>
      </c>
      <c r="E396" s="6">
        <v>45343</v>
      </c>
      <c r="F396" s="6">
        <f t="shared" si="69"/>
        <v>45343</v>
      </c>
      <c r="G396" s="12">
        <f t="shared" si="70"/>
        <v>20</v>
      </c>
      <c r="H396" s="12">
        <f t="shared" si="71"/>
        <v>0</v>
      </c>
      <c r="I396" s="4" t="s">
        <v>649</v>
      </c>
      <c r="J396" s="4" t="s">
        <v>657</v>
      </c>
      <c r="K396" s="4" t="s">
        <v>690</v>
      </c>
      <c r="L396" t="str">
        <f t="shared" si="72"/>
        <v>Europe&gt;France&gt;Paris</v>
      </c>
      <c r="M396" s="4" t="s">
        <v>705</v>
      </c>
      <c r="N396" s="4" t="s">
        <v>709</v>
      </c>
      <c r="O396" s="4" t="s">
        <v>720</v>
      </c>
      <c r="P396" s="4" t="s">
        <v>729</v>
      </c>
      <c r="Q396" s="4" t="s">
        <v>890</v>
      </c>
      <c r="R396" s="8">
        <v>656.2</v>
      </c>
      <c r="S396" s="8">
        <v>1467.17</v>
      </c>
      <c r="T396" s="8">
        <v>1467.17</v>
      </c>
      <c r="U396" s="8" t="str">
        <f>IF(T396&lt;=_xlfn.PERCENTILE.INC($T396:$T$633,0.33), "Low", IF(T396&lt;=_xlfn.PERCENTILE.INC($T396:$T$633,0.66), "Medium", "High"))</f>
        <v>Medium</v>
      </c>
      <c r="V396" s="10">
        <v>1.7999999999999999E-2</v>
      </c>
      <c r="W396" s="10">
        <f t="shared" si="73"/>
        <v>1.7999999999999999E-2</v>
      </c>
      <c r="X396" s="12">
        <v>5</v>
      </c>
      <c r="Y396" s="8">
        <f t="shared" si="66"/>
        <v>7203.8047000000006</v>
      </c>
      <c r="Z396" s="8">
        <f t="shared" si="67"/>
        <v>3281</v>
      </c>
      <c r="AA396" s="8">
        <f t="shared" si="74"/>
        <v>3922.8047000000006</v>
      </c>
      <c r="AB396" s="10">
        <f t="shared" si="75"/>
        <v>0.54454623124360946</v>
      </c>
      <c r="AC396" s="14">
        <f>_xlfn.MINIFS($C$2:$C$633, $J$2:$J$633, J396)</f>
        <v>44936</v>
      </c>
      <c r="AD396">
        <f>DATEDIF(AC396, C396, "m")</f>
        <v>12</v>
      </c>
      <c r="AE396" s="8">
        <f t="shared" si="76"/>
        <v>1440.7609400000001</v>
      </c>
    </row>
    <row r="397" spans="1:31" x14ac:dyDescent="0.3">
      <c r="A397" s="4" t="s">
        <v>582</v>
      </c>
      <c r="B397" s="6">
        <v>45600</v>
      </c>
      <c r="C397" s="14">
        <v>45600</v>
      </c>
      <c r="D397" s="14" t="str">
        <f t="shared" si="68"/>
        <v>Q4 -2024</v>
      </c>
      <c r="E397" s="6">
        <v>45603</v>
      </c>
      <c r="F397" s="6">
        <f t="shared" si="69"/>
        <v>45603</v>
      </c>
      <c r="G397" s="12">
        <f t="shared" si="70"/>
        <v>3</v>
      </c>
      <c r="H397" s="12">
        <f t="shared" si="71"/>
        <v>1</v>
      </c>
      <c r="I397" s="4" t="s">
        <v>649</v>
      </c>
      <c r="J397" s="4" t="s">
        <v>657</v>
      </c>
      <c r="K397" s="4" t="s">
        <v>679</v>
      </c>
      <c r="L397" t="str">
        <f t="shared" si="72"/>
        <v>Europe&gt;France&gt;Lyon</v>
      </c>
      <c r="M397" s="4" t="s">
        <v>701</v>
      </c>
      <c r="N397" s="4" t="s">
        <v>708</v>
      </c>
      <c r="O397" s="4" t="s">
        <v>719</v>
      </c>
      <c r="P397" s="4" t="s">
        <v>732</v>
      </c>
      <c r="Q397" s="4" t="s">
        <v>1300</v>
      </c>
      <c r="R397" s="8">
        <v>740.68</v>
      </c>
      <c r="S397" s="8">
        <v>1837.19</v>
      </c>
      <c r="T397" s="8">
        <v>1837.19</v>
      </c>
      <c r="U397" s="8" t="str">
        <f>IF(T397&lt;=_xlfn.PERCENTILE.INC($T397:$T$633,0.33), "Low", IF(T397&lt;=_xlfn.PERCENTILE.INC($T397:$T$633,0.66), "Medium", "High"))</f>
        <v>High</v>
      </c>
      <c r="V397" s="10">
        <v>0.19700000000000001</v>
      </c>
      <c r="W397" s="10">
        <f t="shared" si="73"/>
        <v>0.19700000000000001</v>
      </c>
      <c r="X397" s="12">
        <v>17</v>
      </c>
      <c r="Y397" s="8">
        <f t="shared" si="66"/>
        <v>25079.480689999997</v>
      </c>
      <c r="Z397" s="8">
        <f t="shared" si="67"/>
        <v>12591.56</v>
      </c>
      <c r="AA397" s="8">
        <f t="shared" si="74"/>
        <v>12487.920689999997</v>
      </c>
      <c r="AB397" s="10">
        <f t="shared" si="75"/>
        <v>0.4979337827748298</v>
      </c>
      <c r="AC397" s="14">
        <f>_xlfn.MINIFS($C$2:$C$633, $J$2:$J$633, J397)</f>
        <v>44936</v>
      </c>
      <c r="AD397">
        <f>DATEDIF(AC397, C397, "m")</f>
        <v>21</v>
      </c>
      <c r="AE397" s="8">
        <f t="shared" si="76"/>
        <v>1475.2635699999998</v>
      </c>
    </row>
    <row r="398" spans="1:31" x14ac:dyDescent="0.3">
      <c r="A398" s="4" t="s">
        <v>119</v>
      </c>
      <c r="B398" s="6">
        <v>45549</v>
      </c>
      <c r="C398" s="14">
        <v>45549</v>
      </c>
      <c r="D398" s="14" t="str">
        <f t="shared" si="68"/>
        <v>Q3 -2024</v>
      </c>
      <c r="E398" s="6">
        <v>45570</v>
      </c>
      <c r="F398" s="6">
        <f t="shared" si="69"/>
        <v>45570</v>
      </c>
      <c r="G398" s="12">
        <f t="shared" si="70"/>
        <v>21</v>
      </c>
      <c r="H398" s="12">
        <f t="shared" si="71"/>
        <v>0</v>
      </c>
      <c r="I398" s="4" t="s">
        <v>647</v>
      </c>
      <c r="J398" s="4" t="s">
        <v>659</v>
      </c>
      <c r="K398" s="4" t="s">
        <v>685</v>
      </c>
      <c r="L398" t="str">
        <f t="shared" si="72"/>
        <v>Asia&gt;China&gt;Shanghai</v>
      </c>
      <c r="M398" s="4" t="s">
        <v>705</v>
      </c>
      <c r="N398" s="4" t="s">
        <v>708</v>
      </c>
      <c r="O398" s="4" t="s">
        <v>722</v>
      </c>
      <c r="P398" s="4" t="s">
        <v>731</v>
      </c>
      <c r="Q398" s="4" t="s">
        <v>838</v>
      </c>
      <c r="R398" s="8">
        <v>1405.56</v>
      </c>
      <c r="S398" s="8">
        <v>2968.87</v>
      </c>
      <c r="T398" s="8">
        <v>2968.87</v>
      </c>
      <c r="U398" s="8" t="str">
        <f>IF(T398&lt;=_xlfn.PERCENTILE.INC($T398:$T$633,0.33), "Low", IF(T398&lt;=_xlfn.PERCENTILE.INC($T398:$T$633,0.66), "Medium", "High"))</f>
        <v>High</v>
      </c>
      <c r="V398" s="10">
        <v>0.16900000000000001</v>
      </c>
      <c r="W398" s="10">
        <f t="shared" si="73"/>
        <v>0.16900000000000001</v>
      </c>
      <c r="X398" s="12">
        <v>5</v>
      </c>
      <c r="Y398" s="8">
        <f t="shared" si="66"/>
        <v>12335.654849999999</v>
      </c>
      <c r="Z398" s="8">
        <f t="shared" si="67"/>
        <v>7027.7999999999993</v>
      </c>
      <c r="AA398" s="8">
        <f t="shared" si="74"/>
        <v>5307.8548499999997</v>
      </c>
      <c r="AB398" s="10">
        <f t="shared" si="75"/>
        <v>0.4302856163327235</v>
      </c>
      <c r="AC398" s="14">
        <f>_xlfn.MINIFS($C$2:$C$633, $J$2:$J$633, J398)</f>
        <v>44938</v>
      </c>
      <c r="AD398">
        <f>DATEDIF(AC398, C398, "m")</f>
        <v>20</v>
      </c>
      <c r="AE398" s="8">
        <f t="shared" si="76"/>
        <v>2467.1309699999997</v>
      </c>
    </row>
    <row r="399" spans="1:31" x14ac:dyDescent="0.3">
      <c r="A399" s="4" t="s">
        <v>523</v>
      </c>
      <c r="B399" s="6">
        <v>45608</v>
      </c>
      <c r="C399" s="14">
        <v>45608</v>
      </c>
      <c r="D399" s="14" t="str">
        <f t="shared" si="68"/>
        <v>Q4 -2024</v>
      </c>
      <c r="E399" s="6">
        <v>45617</v>
      </c>
      <c r="F399" s="6">
        <f t="shared" si="69"/>
        <v>45617</v>
      </c>
      <c r="G399" s="12">
        <f t="shared" si="70"/>
        <v>9</v>
      </c>
      <c r="H399" s="12">
        <f t="shared" si="71"/>
        <v>0</v>
      </c>
      <c r="I399" s="4" t="s">
        <v>647</v>
      </c>
      <c r="J399" s="4" t="s">
        <v>654</v>
      </c>
      <c r="K399" s="4" t="s">
        <v>691</v>
      </c>
      <c r="L399" t="str">
        <f t="shared" si="72"/>
        <v>Asia&gt;India&gt;Mumbai</v>
      </c>
      <c r="M399" s="4" t="s">
        <v>701</v>
      </c>
      <c r="N399" s="4" t="s">
        <v>711</v>
      </c>
      <c r="O399" s="4" t="s">
        <v>722</v>
      </c>
      <c r="P399" s="4" t="s">
        <v>731</v>
      </c>
      <c r="Q399" s="4" t="s">
        <v>1242</v>
      </c>
      <c r="R399" s="8">
        <v>903.41</v>
      </c>
      <c r="S399" s="8">
        <v>1860.41</v>
      </c>
      <c r="T399" s="8">
        <v>1860.41</v>
      </c>
      <c r="U399" s="8" t="str">
        <f>IF(T399&lt;=_xlfn.PERCENTILE.INC($T399:$T$633,0.33), "Low", IF(T399&lt;=_xlfn.PERCENTILE.INC($T399:$T$633,0.66), "Medium", "High"))</f>
        <v>High</v>
      </c>
      <c r="V399" s="10">
        <v>0.108</v>
      </c>
      <c r="W399" s="10">
        <f t="shared" si="73"/>
        <v>0.108</v>
      </c>
      <c r="X399" s="12">
        <v>5</v>
      </c>
      <c r="Y399" s="8">
        <f t="shared" si="66"/>
        <v>8297.4286000000011</v>
      </c>
      <c r="Z399" s="8">
        <f t="shared" si="67"/>
        <v>4517.05</v>
      </c>
      <c r="AA399" s="8">
        <f t="shared" si="74"/>
        <v>3780.3786000000009</v>
      </c>
      <c r="AB399" s="10">
        <f t="shared" si="75"/>
        <v>0.455608451996803</v>
      </c>
      <c r="AC399" s="14">
        <f>_xlfn.MINIFS($C$2:$C$633, $J$2:$J$633, J399)</f>
        <v>44955</v>
      </c>
      <c r="AD399">
        <f>DATEDIF(AC399, C399, "m")</f>
        <v>21</v>
      </c>
      <c r="AE399" s="8">
        <f t="shared" si="76"/>
        <v>1659.4857200000001</v>
      </c>
    </row>
    <row r="400" spans="1:31" x14ac:dyDescent="0.3">
      <c r="A400" s="4" t="s">
        <v>233</v>
      </c>
      <c r="B400" s="6">
        <v>45554</v>
      </c>
      <c r="C400" s="14">
        <v>45554</v>
      </c>
      <c r="D400" s="14" t="str">
        <f t="shared" si="68"/>
        <v>Q3 -2024</v>
      </c>
      <c r="E400" s="6">
        <v>45579</v>
      </c>
      <c r="F400" s="6">
        <f t="shared" si="69"/>
        <v>45579</v>
      </c>
      <c r="G400" s="12">
        <f t="shared" si="70"/>
        <v>25</v>
      </c>
      <c r="H400" s="12">
        <f t="shared" si="71"/>
        <v>0</v>
      </c>
      <c r="I400" s="4" t="s">
        <v>648</v>
      </c>
      <c r="J400" s="4" t="s">
        <v>655</v>
      </c>
      <c r="K400" s="4" t="s">
        <v>692</v>
      </c>
      <c r="L400" t="str">
        <f t="shared" si="72"/>
        <v>Americas&gt;Brazil&gt;Rio de Janeiro</v>
      </c>
      <c r="M400" s="4" t="s">
        <v>705</v>
      </c>
      <c r="N400" s="4" t="s">
        <v>707</v>
      </c>
      <c r="O400" s="4" t="s">
        <v>723</v>
      </c>
      <c r="P400" s="4" t="s">
        <v>728</v>
      </c>
      <c r="Q400" s="4" t="s">
        <v>953</v>
      </c>
      <c r="R400" s="8">
        <v>386.96</v>
      </c>
      <c r="S400" s="8">
        <v>937.46</v>
      </c>
      <c r="T400" s="8">
        <v>937.46</v>
      </c>
      <c r="U400" s="8" t="str">
        <f>IF(T400&lt;=_xlfn.PERCENTILE.INC($T400:$T$633,0.33), "Low", IF(T400&lt;=_xlfn.PERCENTILE.INC($T400:$T$633,0.66), "Medium", "High"))</f>
        <v>Medium</v>
      </c>
      <c r="V400" s="10">
        <v>0.26600000000000001</v>
      </c>
      <c r="W400" s="10">
        <f t="shared" si="73"/>
        <v>0.26600000000000001</v>
      </c>
      <c r="X400" s="12">
        <v>41</v>
      </c>
      <c r="Y400" s="8">
        <f t="shared" si="66"/>
        <v>28211.92124</v>
      </c>
      <c r="Z400" s="8">
        <f t="shared" si="67"/>
        <v>15865.359999999999</v>
      </c>
      <c r="AA400" s="8">
        <f t="shared" si="74"/>
        <v>12346.561240000001</v>
      </c>
      <c r="AB400" s="10">
        <f t="shared" si="75"/>
        <v>0.43763631462626335</v>
      </c>
      <c r="AC400" s="14">
        <f>_xlfn.MINIFS($C$2:$C$633, $J$2:$J$633, J400)</f>
        <v>44955</v>
      </c>
      <c r="AD400">
        <f>DATEDIF(AC400, C400, "m")</f>
        <v>19</v>
      </c>
      <c r="AE400" s="8">
        <f t="shared" si="76"/>
        <v>688.09564</v>
      </c>
    </row>
    <row r="401" spans="1:31" x14ac:dyDescent="0.3">
      <c r="A401" s="4" t="s">
        <v>153</v>
      </c>
      <c r="B401" s="6">
        <v>45616</v>
      </c>
      <c r="C401" s="14">
        <v>45616</v>
      </c>
      <c r="D401" s="14" t="str">
        <f t="shared" si="68"/>
        <v>Q4 -2024</v>
      </c>
      <c r="E401" s="6">
        <v>45641</v>
      </c>
      <c r="F401" s="6">
        <f t="shared" si="69"/>
        <v>45641</v>
      </c>
      <c r="G401" s="12">
        <f t="shared" si="70"/>
        <v>25</v>
      </c>
      <c r="H401" s="12">
        <f t="shared" si="71"/>
        <v>0</v>
      </c>
      <c r="I401" s="4" t="s">
        <v>649</v>
      </c>
      <c r="J401" s="4" t="s">
        <v>657</v>
      </c>
      <c r="K401" s="4" t="s">
        <v>690</v>
      </c>
      <c r="L401" t="str">
        <f t="shared" si="72"/>
        <v>Europe&gt;France&gt;Paris</v>
      </c>
      <c r="M401" s="4" t="s">
        <v>701</v>
      </c>
      <c r="N401" s="4" t="s">
        <v>708</v>
      </c>
      <c r="O401" s="4" t="s">
        <v>715</v>
      </c>
      <c r="P401" s="4" t="s">
        <v>728</v>
      </c>
      <c r="Q401" s="4" t="s">
        <v>872</v>
      </c>
      <c r="R401" s="8">
        <v>1203.58</v>
      </c>
      <c r="S401" s="8">
        <v>1856.16</v>
      </c>
      <c r="T401" s="8">
        <v>1856.16</v>
      </c>
      <c r="U401" s="8" t="str">
        <f>IF(T401&lt;=_xlfn.PERCENTILE.INC($T401:$T$633,0.33), "Low", IF(T401&lt;=_xlfn.PERCENTILE.INC($T401:$T$633,0.66), "Medium", "High"))</f>
        <v>High</v>
      </c>
      <c r="V401" s="10">
        <v>0.129</v>
      </c>
      <c r="W401" s="10">
        <f t="shared" si="73"/>
        <v>0.129</v>
      </c>
      <c r="X401" s="12">
        <v>22</v>
      </c>
      <c r="Y401" s="8">
        <f t="shared" si="66"/>
        <v>35567.737920000007</v>
      </c>
      <c r="Z401" s="8">
        <f t="shared" si="67"/>
        <v>26478.76</v>
      </c>
      <c r="AA401" s="8">
        <f t="shared" si="74"/>
        <v>9088.9779200000085</v>
      </c>
      <c r="AB401" s="10">
        <f t="shared" si="75"/>
        <v>0.25553994860295032</v>
      </c>
      <c r="AC401" s="14">
        <f>_xlfn.MINIFS($C$2:$C$633, $J$2:$J$633, J401)</f>
        <v>44936</v>
      </c>
      <c r="AD401">
        <f>DATEDIF(AC401, C401, "m")</f>
        <v>22</v>
      </c>
      <c r="AE401" s="8">
        <f t="shared" si="76"/>
        <v>1616.7153600000004</v>
      </c>
    </row>
    <row r="402" spans="1:31" x14ac:dyDescent="0.3">
      <c r="A402" s="4" t="s">
        <v>480</v>
      </c>
      <c r="B402" s="6">
        <v>45466</v>
      </c>
      <c r="C402" s="14">
        <v>45466</v>
      </c>
      <c r="D402" s="14" t="str">
        <f t="shared" si="68"/>
        <v>Q2 -2024</v>
      </c>
      <c r="E402" s="6">
        <v>45471</v>
      </c>
      <c r="F402" s="6">
        <f t="shared" si="69"/>
        <v>45471</v>
      </c>
      <c r="G402" s="12">
        <f t="shared" si="70"/>
        <v>5</v>
      </c>
      <c r="H402" s="12">
        <f t="shared" si="71"/>
        <v>1</v>
      </c>
      <c r="I402" s="4" t="s">
        <v>646</v>
      </c>
      <c r="J402" s="4" t="s">
        <v>651</v>
      </c>
      <c r="K402" s="4" t="s">
        <v>663</v>
      </c>
      <c r="L402" t="str">
        <f t="shared" si="72"/>
        <v>Africa&gt;Nigeria&gt;Port Harcourt</v>
      </c>
      <c r="M402" s="4" t="s">
        <v>703</v>
      </c>
      <c r="N402" s="4" t="s">
        <v>711</v>
      </c>
      <c r="O402" s="4" t="s">
        <v>724</v>
      </c>
      <c r="P402" s="4" t="s">
        <v>733</v>
      </c>
      <c r="Q402" s="4" t="s">
        <v>1199</v>
      </c>
      <c r="R402" s="8">
        <v>242.31</v>
      </c>
      <c r="S402" s="8">
        <v>587.95000000000005</v>
      </c>
      <c r="T402" s="8">
        <v>587.95000000000005</v>
      </c>
      <c r="U402" s="8" t="str">
        <f>IF(T402&lt;=_xlfn.PERCENTILE.INC($T402:$T$633,0.33), "Low", IF(T402&lt;=_xlfn.PERCENTILE.INC($T402:$T$633,0.66), "Medium", "High"))</f>
        <v>Low</v>
      </c>
      <c r="V402" s="10">
        <v>0.22900000000000001</v>
      </c>
      <c r="W402" s="10">
        <f t="shared" si="73"/>
        <v>0.22900000000000001</v>
      </c>
      <c r="X402" s="12">
        <v>6</v>
      </c>
      <c r="Y402" s="8">
        <f t="shared" si="66"/>
        <v>2719.8567000000003</v>
      </c>
      <c r="Z402" s="8">
        <f t="shared" si="67"/>
        <v>1453.8600000000001</v>
      </c>
      <c r="AA402" s="8">
        <f t="shared" si="74"/>
        <v>1265.9967000000001</v>
      </c>
      <c r="AB402" s="10">
        <f t="shared" si="75"/>
        <v>0.46546448568411714</v>
      </c>
      <c r="AC402" s="14">
        <f>_xlfn.MINIFS($C$2:$C$633, $J$2:$J$633, J402)</f>
        <v>44941</v>
      </c>
      <c r="AD402">
        <f>DATEDIF(AC402, C402, "m")</f>
        <v>17</v>
      </c>
      <c r="AE402" s="8">
        <f t="shared" si="76"/>
        <v>453.30945000000003</v>
      </c>
    </row>
    <row r="403" spans="1:31" x14ac:dyDescent="0.3">
      <c r="A403" s="4" t="s">
        <v>41</v>
      </c>
      <c r="B403" s="6">
        <v>45626</v>
      </c>
      <c r="C403" s="14">
        <v>45626</v>
      </c>
      <c r="D403" s="14" t="str">
        <f t="shared" si="68"/>
        <v>Q4 -2024</v>
      </c>
      <c r="E403" s="6">
        <v>45656</v>
      </c>
      <c r="F403" s="6">
        <f t="shared" si="69"/>
        <v>45656</v>
      </c>
      <c r="G403" s="12">
        <f t="shared" si="70"/>
        <v>30</v>
      </c>
      <c r="H403" s="12">
        <f t="shared" si="71"/>
        <v>0</v>
      </c>
      <c r="I403" s="4" t="s">
        <v>649</v>
      </c>
      <c r="J403" s="4" t="s">
        <v>657</v>
      </c>
      <c r="K403" s="4" t="s">
        <v>673</v>
      </c>
      <c r="L403" t="str">
        <f t="shared" si="72"/>
        <v>Europe&gt;France&gt;Marseille</v>
      </c>
      <c r="M403" s="4" t="s">
        <v>704</v>
      </c>
      <c r="N403" s="4" t="s">
        <v>709</v>
      </c>
      <c r="O403" s="4" t="s">
        <v>721</v>
      </c>
      <c r="P403" s="4" t="s">
        <v>728</v>
      </c>
      <c r="Q403" s="4" t="s">
        <v>760</v>
      </c>
      <c r="R403" s="8">
        <v>117.64</v>
      </c>
      <c r="S403" s="8">
        <v>175.67</v>
      </c>
      <c r="T403" s="8">
        <v>175.67</v>
      </c>
      <c r="U403" s="8" t="str">
        <f>IF(T403&lt;=_xlfn.PERCENTILE.INC($T403:$T$633,0.33), "Low", IF(T403&lt;=_xlfn.PERCENTILE.INC($T403:$T$633,0.66), "Medium", "High"))</f>
        <v>Low</v>
      </c>
      <c r="V403" s="10">
        <v>0</v>
      </c>
      <c r="W403" s="10">
        <f t="shared" si="73"/>
        <v>0</v>
      </c>
      <c r="X403" s="12">
        <v>10</v>
      </c>
      <c r="Y403" s="8">
        <f t="shared" si="66"/>
        <v>1756.6999999999998</v>
      </c>
      <c r="Z403" s="8">
        <f t="shared" si="67"/>
        <v>1176.4000000000001</v>
      </c>
      <c r="AA403" s="8">
        <f t="shared" si="74"/>
        <v>580.29999999999973</v>
      </c>
      <c r="AB403" s="10">
        <f t="shared" si="75"/>
        <v>0.33033528775545046</v>
      </c>
      <c r="AC403" s="14">
        <f>_xlfn.MINIFS($C$2:$C$633, $J$2:$J$633, J403)</f>
        <v>44936</v>
      </c>
      <c r="AD403">
        <f>DATEDIF(AC403, C403, "m")</f>
        <v>22</v>
      </c>
      <c r="AE403" s="8">
        <f t="shared" si="76"/>
        <v>175.67</v>
      </c>
    </row>
    <row r="404" spans="1:31" x14ac:dyDescent="0.3">
      <c r="A404" s="4" t="s">
        <v>310</v>
      </c>
      <c r="B404" s="6">
        <v>45353</v>
      </c>
      <c r="C404" s="14">
        <v>45353</v>
      </c>
      <c r="D404" s="14" t="str">
        <f t="shared" si="68"/>
        <v>Q1 -2024</v>
      </c>
      <c r="E404" s="6">
        <v>45367</v>
      </c>
      <c r="F404" s="6">
        <f t="shared" si="69"/>
        <v>45367</v>
      </c>
      <c r="G404" s="12">
        <f t="shared" si="70"/>
        <v>14</v>
      </c>
      <c r="H404" s="12">
        <f t="shared" si="71"/>
        <v>0</v>
      </c>
      <c r="I404" s="4" t="s">
        <v>648</v>
      </c>
      <c r="J404" s="4" t="s">
        <v>653</v>
      </c>
      <c r="K404" s="4" t="s">
        <v>688</v>
      </c>
      <c r="L404" t="str">
        <f t="shared" si="72"/>
        <v>Americas&gt;Canada&gt;Vancouver</v>
      </c>
      <c r="M404" s="4" t="s">
        <v>703</v>
      </c>
      <c r="N404" s="4" t="s">
        <v>711</v>
      </c>
      <c r="O404" s="4" t="s">
        <v>719</v>
      </c>
      <c r="P404" s="4" t="s">
        <v>728</v>
      </c>
      <c r="Q404" s="4" t="s">
        <v>1030</v>
      </c>
      <c r="R404" s="8">
        <v>248.24</v>
      </c>
      <c r="S404" s="8">
        <v>464.05</v>
      </c>
      <c r="T404" s="8">
        <v>464.05</v>
      </c>
      <c r="U404" s="8" t="str">
        <f>IF(T404&lt;=_xlfn.PERCENTILE.INC($T404:$T$633,0.33), "Low", IF(T404&lt;=_xlfn.PERCENTILE.INC($T404:$T$633,0.66), "Medium", "High"))</f>
        <v>Low</v>
      </c>
      <c r="V404" s="10">
        <v>0.16900000000000001</v>
      </c>
      <c r="W404" s="10">
        <f t="shared" si="73"/>
        <v>0.16900000000000001</v>
      </c>
      <c r="X404" s="12">
        <v>11</v>
      </c>
      <c r="Y404" s="8">
        <f t="shared" si="66"/>
        <v>4241.88105</v>
      </c>
      <c r="Z404" s="8">
        <f t="shared" si="67"/>
        <v>2730.6400000000003</v>
      </c>
      <c r="AA404" s="8">
        <f t="shared" si="74"/>
        <v>1511.2410499999996</v>
      </c>
      <c r="AB404" s="10">
        <f t="shared" si="75"/>
        <v>0.3562667203975462</v>
      </c>
      <c r="AC404" s="14">
        <f>_xlfn.MINIFS($C$2:$C$633, $J$2:$J$633, J404)</f>
        <v>44928</v>
      </c>
      <c r="AD404">
        <f>DATEDIF(AC404, C404, "m")</f>
        <v>14</v>
      </c>
      <c r="AE404" s="8">
        <f t="shared" si="76"/>
        <v>385.62554999999998</v>
      </c>
    </row>
    <row r="405" spans="1:31" x14ac:dyDescent="0.3">
      <c r="A405" s="4" t="s">
        <v>505</v>
      </c>
      <c r="B405" s="6">
        <v>45523</v>
      </c>
      <c r="C405" s="14">
        <v>45523</v>
      </c>
      <c r="D405" s="14" t="str">
        <f t="shared" si="68"/>
        <v>Q3 -2024</v>
      </c>
      <c r="E405" s="6">
        <v>45542</v>
      </c>
      <c r="F405" s="6">
        <f t="shared" si="69"/>
        <v>45542</v>
      </c>
      <c r="G405" s="12">
        <f t="shared" si="70"/>
        <v>19</v>
      </c>
      <c r="H405" s="12">
        <f t="shared" si="71"/>
        <v>0</v>
      </c>
      <c r="I405" s="4" t="s">
        <v>649</v>
      </c>
      <c r="J405" s="4" t="s">
        <v>657</v>
      </c>
      <c r="K405" s="4" t="s">
        <v>679</v>
      </c>
      <c r="L405" t="str">
        <f t="shared" si="72"/>
        <v>Europe&gt;France&gt;Lyon</v>
      </c>
      <c r="M405" s="4" t="s">
        <v>701</v>
      </c>
      <c r="N405" s="4" t="s">
        <v>711</v>
      </c>
      <c r="O405" s="4" t="s">
        <v>713</v>
      </c>
      <c r="P405" s="4" t="s">
        <v>727</v>
      </c>
      <c r="Q405" s="4" t="s">
        <v>1224</v>
      </c>
      <c r="R405" s="8">
        <v>297.58999999999997</v>
      </c>
      <c r="S405" s="8">
        <v>666.41</v>
      </c>
      <c r="T405" s="8">
        <v>666.41</v>
      </c>
      <c r="U405" s="8" t="str">
        <f>IF(T405&lt;=_xlfn.PERCENTILE.INC($T405:$T$633,0.33), "Low", IF(T405&lt;=_xlfn.PERCENTILE.INC($T405:$T$633,0.66), "Medium", "High"))</f>
        <v>Low</v>
      </c>
      <c r="V405" s="10">
        <v>0</v>
      </c>
      <c r="W405" s="10">
        <f t="shared" si="73"/>
        <v>0</v>
      </c>
      <c r="X405" s="12">
        <v>10</v>
      </c>
      <c r="Y405" s="8">
        <f t="shared" si="66"/>
        <v>6664.0999999999995</v>
      </c>
      <c r="Z405" s="8">
        <f t="shared" si="67"/>
        <v>2975.8999999999996</v>
      </c>
      <c r="AA405" s="8">
        <f t="shared" si="74"/>
        <v>3688.2</v>
      </c>
      <c r="AB405" s="10">
        <f t="shared" si="75"/>
        <v>0.55344307558409989</v>
      </c>
      <c r="AC405" s="14">
        <f>_xlfn.MINIFS($C$2:$C$633, $J$2:$J$633, J405)</f>
        <v>44936</v>
      </c>
      <c r="AD405">
        <f>DATEDIF(AC405, C405, "m")</f>
        <v>19</v>
      </c>
      <c r="AE405" s="8">
        <f t="shared" si="76"/>
        <v>666.41</v>
      </c>
    </row>
    <row r="406" spans="1:31" x14ac:dyDescent="0.3">
      <c r="A406" s="4" t="s">
        <v>123</v>
      </c>
      <c r="B406" s="6">
        <v>45581</v>
      </c>
      <c r="C406" s="14">
        <v>45581</v>
      </c>
      <c r="D406" s="14" t="str">
        <f t="shared" si="68"/>
        <v>Q4 -2024</v>
      </c>
      <c r="E406" s="6">
        <v>45604</v>
      </c>
      <c r="F406" s="6">
        <f t="shared" si="69"/>
        <v>45604</v>
      </c>
      <c r="G406" s="12">
        <f t="shared" si="70"/>
        <v>23</v>
      </c>
      <c r="H406" s="12">
        <f t="shared" si="71"/>
        <v>0</v>
      </c>
      <c r="I406" s="4" t="s">
        <v>647</v>
      </c>
      <c r="J406" s="4" t="s">
        <v>652</v>
      </c>
      <c r="K406" s="4" t="s">
        <v>666</v>
      </c>
      <c r="L406" t="str">
        <f t="shared" si="72"/>
        <v>Asia&gt;Japan&gt;Osaka</v>
      </c>
      <c r="M406" s="4" t="s">
        <v>705</v>
      </c>
      <c r="N406" s="4" t="s">
        <v>707</v>
      </c>
      <c r="O406" s="4" t="s">
        <v>713</v>
      </c>
      <c r="P406" s="4" t="s">
        <v>729</v>
      </c>
      <c r="Q406" s="4" t="s">
        <v>842</v>
      </c>
      <c r="R406" s="8">
        <v>82.14</v>
      </c>
      <c r="S406" s="8">
        <v>166.04</v>
      </c>
      <c r="T406" s="8">
        <v>166.04</v>
      </c>
      <c r="U406" s="8" t="str">
        <f>IF(T406&lt;=_xlfn.PERCENTILE.INC($T406:$T$633,0.33), "Low", IF(T406&lt;=_xlfn.PERCENTILE.INC($T406:$T$633,0.66), "Medium", "High"))</f>
        <v>Low</v>
      </c>
      <c r="V406" s="10">
        <v>0</v>
      </c>
      <c r="W406" s="10">
        <f t="shared" si="73"/>
        <v>0</v>
      </c>
      <c r="X406" s="12">
        <v>10</v>
      </c>
      <c r="Y406" s="8">
        <f t="shared" si="66"/>
        <v>1660.3999999999999</v>
      </c>
      <c r="Z406" s="8">
        <f t="shared" si="67"/>
        <v>821.4</v>
      </c>
      <c r="AA406" s="8">
        <f t="shared" si="74"/>
        <v>838.99999999999989</v>
      </c>
      <c r="AB406" s="10">
        <f t="shared" si="75"/>
        <v>0.50529992772825827</v>
      </c>
      <c r="AC406" s="14">
        <f>_xlfn.MINIFS($C$2:$C$633, $J$2:$J$633, J406)</f>
        <v>44988</v>
      </c>
      <c r="AD406">
        <f>DATEDIF(AC406, C406, "m")</f>
        <v>19</v>
      </c>
      <c r="AE406" s="8">
        <f t="shared" si="76"/>
        <v>166.04</v>
      </c>
    </row>
    <row r="407" spans="1:31" x14ac:dyDescent="0.3">
      <c r="A407" s="4" t="s">
        <v>35</v>
      </c>
      <c r="B407" s="6">
        <v>45498</v>
      </c>
      <c r="C407" s="14">
        <v>45498</v>
      </c>
      <c r="D407" s="14" t="str">
        <f t="shared" si="68"/>
        <v>Q3 -2024</v>
      </c>
      <c r="E407" s="6">
        <v>45497</v>
      </c>
      <c r="F407" s="6">
        <f t="shared" si="69"/>
        <v>45504</v>
      </c>
      <c r="G407" s="12">
        <f t="shared" si="70"/>
        <v>6</v>
      </c>
      <c r="H407" s="12">
        <f t="shared" si="71"/>
        <v>1</v>
      </c>
      <c r="I407" s="4" t="s">
        <v>646</v>
      </c>
      <c r="J407" s="4" t="s">
        <v>650</v>
      </c>
      <c r="K407" s="4" t="s">
        <v>675</v>
      </c>
      <c r="L407" t="str">
        <f t="shared" si="72"/>
        <v>Africa&gt;Kenya&gt;Mombasa</v>
      </c>
      <c r="M407" s="4" t="s">
        <v>703</v>
      </c>
      <c r="N407" s="4" t="s">
        <v>711</v>
      </c>
      <c r="O407" s="4" t="s">
        <v>713</v>
      </c>
      <c r="P407" s="4" t="s">
        <v>731</v>
      </c>
      <c r="Q407" s="4" t="s">
        <v>754</v>
      </c>
      <c r="R407" s="8">
        <v>1494.4</v>
      </c>
      <c r="S407" s="8">
        <v>3661.07</v>
      </c>
      <c r="T407" s="8">
        <v>3661.07</v>
      </c>
      <c r="U407" s="8" t="str">
        <f>IF(T407&lt;=_xlfn.PERCENTILE.INC($T407:$T$633,0.33), "Low", IF(T407&lt;=_xlfn.PERCENTILE.INC($T407:$T$633,0.66), "Medium", "High"))</f>
        <v>High</v>
      </c>
      <c r="V407" s="10">
        <v>7.1999999999999995E-2</v>
      </c>
      <c r="W407" s="10">
        <f t="shared" si="73"/>
        <v>7.1999999999999995E-2</v>
      </c>
      <c r="X407" s="12">
        <v>7</v>
      </c>
      <c r="Y407" s="8">
        <f t="shared" si="66"/>
        <v>23782.310720000001</v>
      </c>
      <c r="Z407" s="8">
        <f t="shared" si="67"/>
        <v>10460.800000000001</v>
      </c>
      <c r="AA407" s="8">
        <f t="shared" si="74"/>
        <v>13321.51072</v>
      </c>
      <c r="AB407" s="10">
        <f t="shared" si="75"/>
        <v>0.56014366630897339</v>
      </c>
      <c r="AC407" s="14">
        <f>_xlfn.MINIFS($C$2:$C$633, $J$2:$J$633, J407)</f>
        <v>44946</v>
      </c>
      <c r="AD407">
        <f>DATEDIF(AC407, C407, "m")</f>
        <v>18</v>
      </c>
      <c r="AE407" s="8">
        <f t="shared" si="76"/>
        <v>3397.4729600000001</v>
      </c>
    </row>
    <row r="408" spans="1:31" x14ac:dyDescent="0.3">
      <c r="A408" s="4" t="s">
        <v>88</v>
      </c>
      <c r="B408" s="6">
        <v>45641</v>
      </c>
      <c r="C408" s="14">
        <v>45641</v>
      </c>
      <c r="D408" s="14" t="str">
        <f t="shared" si="68"/>
        <v>Q4 -2024</v>
      </c>
      <c r="E408" s="6">
        <v>45646</v>
      </c>
      <c r="F408" s="6">
        <f t="shared" si="69"/>
        <v>45646</v>
      </c>
      <c r="G408" s="12">
        <f t="shared" si="70"/>
        <v>5</v>
      </c>
      <c r="H408" s="12">
        <f t="shared" si="71"/>
        <v>1</v>
      </c>
      <c r="I408" s="4" t="s">
        <v>647</v>
      </c>
      <c r="J408" s="4" t="s">
        <v>659</v>
      </c>
      <c r="K408" s="4" t="s">
        <v>676</v>
      </c>
      <c r="L408" t="str">
        <f t="shared" si="72"/>
        <v>Asia&gt;China&gt;Shenzhen</v>
      </c>
      <c r="M408" s="4" t="s">
        <v>705</v>
      </c>
      <c r="N408" s="4" t="s">
        <v>711</v>
      </c>
      <c r="O408" s="4" t="s">
        <v>713</v>
      </c>
      <c r="P408" s="4" t="s">
        <v>729</v>
      </c>
      <c r="Q408" s="4" t="s">
        <v>807</v>
      </c>
      <c r="R408" s="8">
        <v>717.55</v>
      </c>
      <c r="S408" s="8">
        <v>546.42999999999995</v>
      </c>
      <c r="T408" s="8">
        <v>546.42999999999995</v>
      </c>
      <c r="U408" s="8" t="str">
        <f>IF(T408&lt;=_xlfn.PERCENTILE.INC($T408:$T$633,0.33), "Low", IF(T408&lt;=_xlfn.PERCENTILE.INC($T408:$T$633,0.66), "Medium", "High"))</f>
        <v>Low</v>
      </c>
      <c r="V408" s="10">
        <v>4.7E-2</v>
      </c>
      <c r="W408" s="10">
        <f t="shared" si="73"/>
        <v>4.7E-2</v>
      </c>
      <c r="X408" s="12">
        <v>18</v>
      </c>
      <c r="Y408" s="8">
        <f t="shared" si="66"/>
        <v>9373.460219999999</v>
      </c>
      <c r="Z408" s="8">
        <f t="shared" si="67"/>
        <v>12915.9</v>
      </c>
      <c r="AA408" s="8">
        <f t="shared" si="74"/>
        <v>-3542.4397800000006</v>
      </c>
      <c r="AB408" s="10">
        <f t="shared" si="75"/>
        <v>-0.37792231437026369</v>
      </c>
      <c r="AC408" s="14">
        <f>_xlfn.MINIFS($C$2:$C$633, $J$2:$J$633, J408)</f>
        <v>44938</v>
      </c>
      <c r="AD408">
        <f>DATEDIF(AC408, C408, "m")</f>
        <v>23</v>
      </c>
      <c r="AE408" s="8">
        <f t="shared" si="76"/>
        <v>520.7477899999999</v>
      </c>
    </row>
    <row r="409" spans="1:31" x14ac:dyDescent="0.3">
      <c r="A409" s="4" t="s">
        <v>250</v>
      </c>
      <c r="B409" s="6">
        <v>45548</v>
      </c>
      <c r="C409" s="14">
        <v>45548</v>
      </c>
      <c r="D409" s="14" t="str">
        <f t="shared" si="68"/>
        <v>Q3 -2024</v>
      </c>
      <c r="E409" s="6">
        <v>45567</v>
      </c>
      <c r="F409" s="6">
        <f t="shared" si="69"/>
        <v>45567</v>
      </c>
      <c r="G409" s="12">
        <f t="shared" si="70"/>
        <v>19</v>
      </c>
      <c r="H409" s="12">
        <f t="shared" si="71"/>
        <v>0</v>
      </c>
      <c r="I409" s="4" t="s">
        <v>646</v>
      </c>
      <c r="J409" s="4" t="s">
        <v>650</v>
      </c>
      <c r="K409" s="4" t="s">
        <v>675</v>
      </c>
      <c r="L409" t="str">
        <f t="shared" si="72"/>
        <v>Africa&gt;Kenya&gt;Mombasa</v>
      </c>
      <c r="M409" s="4" t="s">
        <v>705</v>
      </c>
      <c r="N409" s="4" t="s">
        <v>707</v>
      </c>
      <c r="O409" s="4" t="s">
        <v>724</v>
      </c>
      <c r="P409" s="4" t="s">
        <v>730</v>
      </c>
      <c r="Q409" s="4" t="s">
        <v>970</v>
      </c>
      <c r="R409" s="8">
        <v>1338.99</v>
      </c>
      <c r="S409" s="8">
        <v>1765.76</v>
      </c>
      <c r="T409" s="8">
        <v>1765.76</v>
      </c>
      <c r="U409" s="8" t="str">
        <f>IF(T409&lt;=_xlfn.PERCENTILE.INC($T409:$T$633,0.33), "Low", IF(T409&lt;=_xlfn.PERCENTILE.INC($T409:$T$633,0.66), "Medium", "High"))</f>
        <v>High</v>
      </c>
      <c r="V409" s="10">
        <v>0.126</v>
      </c>
      <c r="W409" s="10">
        <f t="shared" si="73"/>
        <v>0.126</v>
      </c>
      <c r="X409" s="12">
        <v>24</v>
      </c>
      <c r="Y409" s="8">
        <f t="shared" si="66"/>
        <v>37038.581760000001</v>
      </c>
      <c r="Z409" s="8">
        <f t="shared" si="67"/>
        <v>32135.760000000002</v>
      </c>
      <c r="AA409" s="8">
        <f t="shared" si="74"/>
        <v>4902.8217599999989</v>
      </c>
      <c r="AB409" s="10">
        <f t="shared" si="75"/>
        <v>0.1323706666677725</v>
      </c>
      <c r="AC409" s="14">
        <f>_xlfn.MINIFS($C$2:$C$633, $J$2:$J$633, J409)</f>
        <v>44946</v>
      </c>
      <c r="AD409">
        <f>DATEDIF(AC409, C409, "m")</f>
        <v>19</v>
      </c>
      <c r="AE409" s="8">
        <f t="shared" si="76"/>
        <v>1543.27424</v>
      </c>
    </row>
    <row r="410" spans="1:31" x14ac:dyDescent="0.3">
      <c r="A410" s="4" t="s">
        <v>442</v>
      </c>
      <c r="B410" s="6">
        <v>45347</v>
      </c>
      <c r="C410" s="14">
        <v>45347</v>
      </c>
      <c r="D410" s="14" t="str">
        <f t="shared" si="68"/>
        <v>Q1 -2024</v>
      </c>
      <c r="E410" s="6">
        <v>45360</v>
      </c>
      <c r="F410" s="6">
        <f t="shared" si="69"/>
        <v>45360</v>
      </c>
      <c r="G410" s="12">
        <f t="shared" si="70"/>
        <v>13</v>
      </c>
      <c r="H410" s="12">
        <f t="shared" si="71"/>
        <v>0</v>
      </c>
      <c r="I410" s="4" t="s">
        <v>649</v>
      </c>
      <c r="J410" s="4" t="s">
        <v>657</v>
      </c>
      <c r="K410" s="4" t="s">
        <v>673</v>
      </c>
      <c r="L410" t="str">
        <f t="shared" si="72"/>
        <v>Europe&gt;France&gt;Marseille</v>
      </c>
      <c r="M410" s="4" t="s">
        <v>705</v>
      </c>
      <c r="N410" s="4" t="s">
        <v>710</v>
      </c>
      <c r="O410" s="4" t="s">
        <v>718</v>
      </c>
      <c r="P410" s="4" t="s">
        <v>732</v>
      </c>
      <c r="Q410" s="4" t="s">
        <v>1161</v>
      </c>
      <c r="R410" s="8">
        <v>322.44</v>
      </c>
      <c r="S410" s="8">
        <v>395.61</v>
      </c>
      <c r="T410" s="8">
        <v>395.61</v>
      </c>
      <c r="U410" s="8" t="str">
        <f>IF(T410&lt;=_xlfn.PERCENTILE.INC($T410:$T$633,0.33), "Low", IF(T410&lt;=_xlfn.PERCENTILE.INC($T410:$T$633,0.66), "Medium", "High"))</f>
        <v>Low</v>
      </c>
      <c r="V410" s="10">
        <v>0</v>
      </c>
      <c r="W410" s="10">
        <f t="shared" si="73"/>
        <v>0</v>
      </c>
      <c r="X410" s="12">
        <v>34</v>
      </c>
      <c r="Y410" s="8">
        <f t="shared" si="66"/>
        <v>13450.74</v>
      </c>
      <c r="Z410" s="8">
        <f t="shared" si="67"/>
        <v>10962.96</v>
      </c>
      <c r="AA410" s="8">
        <f t="shared" si="74"/>
        <v>2487.7800000000007</v>
      </c>
      <c r="AB410" s="10">
        <f t="shared" si="75"/>
        <v>0.18495487980586947</v>
      </c>
      <c r="AC410" s="14">
        <f>_xlfn.MINIFS($C$2:$C$633, $J$2:$J$633, J410)</f>
        <v>44936</v>
      </c>
      <c r="AD410">
        <f>DATEDIF(AC410, C410, "m")</f>
        <v>13</v>
      </c>
      <c r="AE410" s="8">
        <f t="shared" si="76"/>
        <v>395.61</v>
      </c>
    </row>
    <row r="411" spans="1:31" x14ac:dyDescent="0.3">
      <c r="A411" s="4" t="s">
        <v>636</v>
      </c>
      <c r="B411" s="6">
        <v>45501</v>
      </c>
      <c r="C411" s="14">
        <v>45501</v>
      </c>
      <c r="D411" s="14" t="str">
        <f t="shared" si="68"/>
        <v>Q3 -2024</v>
      </c>
      <c r="E411" s="6">
        <v>45527</v>
      </c>
      <c r="F411" s="6">
        <f t="shared" si="69"/>
        <v>45527</v>
      </c>
      <c r="G411" s="12">
        <f t="shared" si="70"/>
        <v>26</v>
      </c>
      <c r="H411" s="12">
        <f t="shared" si="71"/>
        <v>0</v>
      </c>
      <c r="I411" s="4" t="s">
        <v>647</v>
      </c>
      <c r="J411" s="4" t="s">
        <v>654</v>
      </c>
      <c r="K411" s="4" t="s">
        <v>696</v>
      </c>
      <c r="L411" t="str">
        <f t="shared" si="72"/>
        <v>Asia&gt;India&gt;Hyderabad</v>
      </c>
      <c r="M411" s="4" t="s">
        <v>701</v>
      </c>
      <c r="N411" s="4" t="s">
        <v>707</v>
      </c>
      <c r="O411" s="4" t="s">
        <v>713</v>
      </c>
      <c r="P411" s="4" t="s">
        <v>729</v>
      </c>
      <c r="Q411" s="4" t="s">
        <v>1354</v>
      </c>
      <c r="R411" s="8">
        <v>1339.24</v>
      </c>
      <c r="S411" s="8">
        <v>1558.89</v>
      </c>
      <c r="T411" s="8">
        <v>1558.89</v>
      </c>
      <c r="U411" s="8" t="str">
        <f>IF(T411&lt;=_xlfn.PERCENTILE.INC($T411:$T$633,0.33), "Low", IF(T411&lt;=_xlfn.PERCENTILE.INC($T411:$T$633,0.66), "Medium", "High"))</f>
        <v>High</v>
      </c>
      <c r="V411" s="10">
        <v>0.192</v>
      </c>
      <c r="W411" s="10">
        <f t="shared" si="73"/>
        <v>0.192</v>
      </c>
      <c r="X411" s="12">
        <v>24</v>
      </c>
      <c r="Y411" s="8">
        <f t="shared" si="66"/>
        <v>30229.994880000002</v>
      </c>
      <c r="Z411" s="8">
        <f t="shared" si="67"/>
        <v>32141.760000000002</v>
      </c>
      <c r="AA411" s="8">
        <f t="shared" si="74"/>
        <v>-1911.76512</v>
      </c>
      <c r="AB411" s="10">
        <f t="shared" si="75"/>
        <v>-6.3240669659021781E-2</v>
      </c>
      <c r="AC411" s="14">
        <f>_xlfn.MINIFS($C$2:$C$633, $J$2:$J$633, J411)</f>
        <v>44955</v>
      </c>
      <c r="AD411">
        <f>DATEDIF(AC411, C411, "m")</f>
        <v>17</v>
      </c>
      <c r="AE411" s="8">
        <f t="shared" si="76"/>
        <v>1259.58312</v>
      </c>
    </row>
    <row r="412" spans="1:31" x14ac:dyDescent="0.3">
      <c r="A412" s="4" t="s">
        <v>380</v>
      </c>
      <c r="B412" s="6">
        <v>45445</v>
      </c>
      <c r="C412" s="14">
        <v>45445</v>
      </c>
      <c r="D412" s="14" t="str">
        <f t="shared" si="68"/>
        <v>Q2 -2024</v>
      </c>
      <c r="E412" s="6">
        <v>45458</v>
      </c>
      <c r="F412" s="6">
        <f t="shared" si="69"/>
        <v>45458</v>
      </c>
      <c r="G412" s="12">
        <f t="shared" si="70"/>
        <v>13</v>
      </c>
      <c r="H412" s="12">
        <f t="shared" si="71"/>
        <v>0</v>
      </c>
      <c r="I412" s="4" t="s">
        <v>646</v>
      </c>
      <c r="J412" s="4" t="s">
        <v>650</v>
      </c>
      <c r="K412" s="4" t="s">
        <v>675</v>
      </c>
      <c r="L412" t="str">
        <f t="shared" si="72"/>
        <v>Africa&gt;Kenya&gt;Mombasa</v>
      </c>
      <c r="M412" s="4" t="s">
        <v>702</v>
      </c>
      <c r="N412" s="4" t="s">
        <v>708</v>
      </c>
      <c r="O412" s="4" t="s">
        <v>719</v>
      </c>
      <c r="P412" s="4" t="s">
        <v>730</v>
      </c>
      <c r="Q412" s="4" t="s">
        <v>1100</v>
      </c>
      <c r="R412" s="8">
        <v>1295.18</v>
      </c>
      <c r="S412" s="8">
        <v>3024.03</v>
      </c>
      <c r="T412" s="8">
        <v>3024.03</v>
      </c>
      <c r="U412" s="8" t="str">
        <f>IF(T412&lt;=_xlfn.PERCENTILE.INC($T412:$T$633,0.33), "Low", IF(T412&lt;=_xlfn.PERCENTILE.INC($T412:$T$633,0.66), "Medium", "High"))</f>
        <v>High</v>
      </c>
      <c r="V412" s="10">
        <v>0.192</v>
      </c>
      <c r="W412" s="10">
        <f t="shared" si="73"/>
        <v>0.192</v>
      </c>
      <c r="X412" s="12">
        <v>8</v>
      </c>
      <c r="Y412" s="8">
        <f t="shared" si="66"/>
        <v>19547.329920000004</v>
      </c>
      <c r="Z412" s="8">
        <f t="shared" si="67"/>
        <v>10361.44</v>
      </c>
      <c r="AA412" s="8">
        <f t="shared" si="74"/>
        <v>9185.8899200000033</v>
      </c>
      <c r="AB412" s="10">
        <f t="shared" si="75"/>
        <v>0.46993067378483178</v>
      </c>
      <c r="AC412" s="14">
        <f>_xlfn.MINIFS($C$2:$C$633, $J$2:$J$633, J412)</f>
        <v>44946</v>
      </c>
      <c r="AD412">
        <f>DATEDIF(AC412, C412, "m")</f>
        <v>16</v>
      </c>
      <c r="AE412" s="8">
        <f t="shared" si="76"/>
        <v>2443.4162400000005</v>
      </c>
    </row>
    <row r="413" spans="1:31" x14ac:dyDescent="0.3">
      <c r="A413" s="4" t="s">
        <v>334</v>
      </c>
      <c r="B413" s="6">
        <v>45440</v>
      </c>
      <c r="C413" s="14">
        <v>45440</v>
      </c>
      <c r="D413" s="14" t="str">
        <f t="shared" si="68"/>
        <v>Q2 -2024</v>
      </c>
      <c r="E413" s="6">
        <v>45461</v>
      </c>
      <c r="F413" s="6">
        <f t="shared" si="69"/>
        <v>45461</v>
      </c>
      <c r="G413" s="12">
        <f t="shared" si="70"/>
        <v>21</v>
      </c>
      <c r="H413" s="12">
        <f t="shared" si="71"/>
        <v>0</v>
      </c>
      <c r="I413" s="4" t="s">
        <v>649</v>
      </c>
      <c r="J413" s="4" t="s">
        <v>656</v>
      </c>
      <c r="K413" s="4" t="s">
        <v>698</v>
      </c>
      <c r="L413" t="str">
        <f t="shared" si="72"/>
        <v>Europe&gt;Germany&gt;Frankfurt</v>
      </c>
      <c r="M413" s="4" t="s">
        <v>705</v>
      </c>
      <c r="N413" s="4" t="s">
        <v>708</v>
      </c>
      <c r="O413" s="4" t="s">
        <v>718</v>
      </c>
      <c r="P413" s="4" t="s">
        <v>730</v>
      </c>
      <c r="Q413" s="4" t="s">
        <v>1054</v>
      </c>
      <c r="R413" s="8">
        <v>986.85</v>
      </c>
      <c r="S413" s="8">
        <v>2422.1</v>
      </c>
      <c r="T413" s="8">
        <v>2422.1</v>
      </c>
      <c r="U413" s="8" t="str">
        <f>IF(T413&lt;=_xlfn.PERCENTILE.INC($T413:$T$633,0.33), "Low", IF(T413&lt;=_xlfn.PERCENTILE.INC($T413:$T$633,0.66), "Medium", "High"))</f>
        <v>High</v>
      </c>
      <c r="V413" s="10">
        <v>7.5999999999999998E-2</v>
      </c>
      <c r="W413" s="10">
        <f t="shared" si="73"/>
        <v>7.5999999999999998E-2</v>
      </c>
      <c r="X413" s="12">
        <v>10</v>
      </c>
      <c r="Y413" s="8">
        <f t="shared" si="66"/>
        <v>22380.204000000002</v>
      </c>
      <c r="Z413" s="8">
        <f t="shared" si="67"/>
        <v>9868.5</v>
      </c>
      <c r="AA413" s="8">
        <f t="shared" si="74"/>
        <v>12511.704000000002</v>
      </c>
      <c r="AB413" s="10">
        <f t="shared" si="75"/>
        <v>0.55905227673527913</v>
      </c>
      <c r="AC413" s="14">
        <f>_xlfn.MINIFS($C$2:$C$633, $J$2:$J$633, J413)</f>
        <v>44948</v>
      </c>
      <c r="AD413">
        <f>DATEDIF(AC413, C413, "m")</f>
        <v>16</v>
      </c>
      <c r="AE413" s="8">
        <f t="shared" si="76"/>
        <v>2238.0204000000003</v>
      </c>
    </row>
    <row r="414" spans="1:31" x14ac:dyDescent="0.3">
      <c r="A414" s="4" t="s">
        <v>537</v>
      </c>
      <c r="B414" s="6">
        <v>45406</v>
      </c>
      <c r="C414" s="14">
        <v>45406</v>
      </c>
      <c r="D414" s="14" t="str">
        <f t="shared" si="68"/>
        <v>Q2 -2024</v>
      </c>
      <c r="E414" s="6">
        <v>45422</v>
      </c>
      <c r="F414" s="6">
        <f t="shared" si="69"/>
        <v>45422</v>
      </c>
      <c r="G414" s="12">
        <f t="shared" si="70"/>
        <v>16</v>
      </c>
      <c r="H414" s="12">
        <f t="shared" si="71"/>
        <v>0</v>
      </c>
      <c r="I414" s="4" t="s">
        <v>646</v>
      </c>
      <c r="J414" s="4" t="s">
        <v>650</v>
      </c>
      <c r="K414" s="4" t="s">
        <v>662</v>
      </c>
      <c r="L414" t="str">
        <f t="shared" si="72"/>
        <v>Africa&gt;Kenya&gt;Kisumu</v>
      </c>
      <c r="M414" s="4" t="s">
        <v>703</v>
      </c>
      <c r="N414" s="4" t="s">
        <v>708</v>
      </c>
      <c r="O414" s="4" t="s">
        <v>725</v>
      </c>
      <c r="P414" s="4" t="s">
        <v>732</v>
      </c>
      <c r="Q414" s="4" t="s">
        <v>1256</v>
      </c>
      <c r="R414" s="8">
        <v>513.30999999999995</v>
      </c>
      <c r="S414" s="8">
        <v>1186.26</v>
      </c>
      <c r="T414" s="8">
        <v>1186.26</v>
      </c>
      <c r="U414" s="8" t="str">
        <f>IF(T414&lt;=_xlfn.PERCENTILE.INC($T414:$T$633,0.33), "Low", IF(T414&lt;=_xlfn.PERCENTILE.INC($T414:$T$633,0.66), "Medium", "High"))</f>
        <v>Medium</v>
      </c>
      <c r="V414" s="10">
        <v>9.4E-2</v>
      </c>
      <c r="W414" s="10">
        <f t="shared" si="73"/>
        <v>9.4E-2</v>
      </c>
      <c r="X414" s="12">
        <v>15</v>
      </c>
      <c r="Y414" s="8">
        <f t="shared" si="66"/>
        <v>16121.273400000002</v>
      </c>
      <c r="Z414" s="8">
        <f t="shared" si="67"/>
        <v>7699.65</v>
      </c>
      <c r="AA414" s="8">
        <f t="shared" si="74"/>
        <v>8421.6234000000022</v>
      </c>
      <c r="AB414" s="10">
        <f t="shared" si="75"/>
        <v>0.52239194702820446</v>
      </c>
      <c r="AC414" s="14">
        <f>_xlfn.MINIFS($C$2:$C$633, $J$2:$J$633, J414)</f>
        <v>44946</v>
      </c>
      <c r="AD414">
        <f>DATEDIF(AC414, C414, "m")</f>
        <v>15</v>
      </c>
      <c r="AE414" s="8">
        <f t="shared" si="76"/>
        <v>1074.7515600000002</v>
      </c>
    </row>
    <row r="415" spans="1:31" x14ac:dyDescent="0.3">
      <c r="A415" s="4" t="s">
        <v>288</v>
      </c>
      <c r="B415" s="6">
        <v>45367</v>
      </c>
      <c r="C415" s="14">
        <v>45367</v>
      </c>
      <c r="D415" s="14" t="str">
        <f t="shared" si="68"/>
        <v>Q1 -2024</v>
      </c>
      <c r="E415" s="6">
        <v>45395</v>
      </c>
      <c r="F415" s="6">
        <f t="shared" si="69"/>
        <v>45395</v>
      </c>
      <c r="G415" s="12">
        <f t="shared" si="70"/>
        <v>28</v>
      </c>
      <c r="H415" s="12">
        <f t="shared" si="71"/>
        <v>0</v>
      </c>
      <c r="I415" s="4" t="s">
        <v>649</v>
      </c>
      <c r="J415" s="4" t="s">
        <v>657</v>
      </c>
      <c r="K415" s="4" t="s">
        <v>690</v>
      </c>
      <c r="L415" t="str">
        <f t="shared" si="72"/>
        <v>Europe&gt;France&gt;Paris</v>
      </c>
      <c r="M415" s="4" t="s">
        <v>705</v>
      </c>
      <c r="N415" s="4" t="s">
        <v>708</v>
      </c>
      <c r="O415" s="4" t="s">
        <v>723</v>
      </c>
      <c r="P415" s="4" t="s">
        <v>728</v>
      </c>
      <c r="Q415" s="4" t="s">
        <v>1008</v>
      </c>
      <c r="R415" s="8">
        <v>287.61</v>
      </c>
      <c r="S415" s="8">
        <v>628.54</v>
      </c>
      <c r="T415" s="8">
        <v>628.54</v>
      </c>
      <c r="U415" s="8" t="str">
        <f>IF(T415&lt;=_xlfn.PERCENTILE.INC($T415:$T$633,0.33), "Low", IF(T415&lt;=_xlfn.PERCENTILE.INC($T415:$T$633,0.66), "Medium", "High"))</f>
        <v>Low</v>
      </c>
      <c r="V415" s="10">
        <v>0.13500000000000001</v>
      </c>
      <c r="W415" s="10">
        <f t="shared" si="73"/>
        <v>0.13500000000000001</v>
      </c>
      <c r="X415" s="12">
        <v>21</v>
      </c>
      <c r="Y415" s="8">
        <f t="shared" si="66"/>
        <v>11417.429099999999</v>
      </c>
      <c r="Z415" s="8">
        <f t="shared" si="67"/>
        <v>6039.81</v>
      </c>
      <c r="AA415" s="8">
        <f t="shared" si="74"/>
        <v>5377.619099999999</v>
      </c>
      <c r="AB415" s="10">
        <f t="shared" si="75"/>
        <v>0.47100087531964613</v>
      </c>
      <c r="AC415" s="14">
        <f>_xlfn.MINIFS($C$2:$C$633, $J$2:$J$633, J415)</f>
        <v>44936</v>
      </c>
      <c r="AD415">
        <f>DATEDIF(AC415, C415, "m")</f>
        <v>14</v>
      </c>
      <c r="AE415" s="8">
        <f t="shared" si="76"/>
        <v>543.68709999999999</v>
      </c>
    </row>
    <row r="416" spans="1:31" x14ac:dyDescent="0.3">
      <c r="A416" s="4" t="s">
        <v>151</v>
      </c>
      <c r="B416" s="6">
        <v>45640</v>
      </c>
      <c r="C416" s="14">
        <v>45640</v>
      </c>
      <c r="D416" s="14" t="str">
        <f t="shared" si="68"/>
        <v>Q4 -2024</v>
      </c>
      <c r="E416" s="6">
        <v>45669</v>
      </c>
      <c r="F416" s="6">
        <f t="shared" si="69"/>
        <v>45669</v>
      </c>
      <c r="G416" s="12">
        <f t="shared" si="70"/>
        <v>29</v>
      </c>
      <c r="H416" s="12">
        <f t="shared" si="71"/>
        <v>0</v>
      </c>
      <c r="I416" s="4" t="s">
        <v>647</v>
      </c>
      <c r="J416" s="4" t="s">
        <v>659</v>
      </c>
      <c r="K416" s="4" t="s">
        <v>676</v>
      </c>
      <c r="L416" t="str">
        <f t="shared" si="72"/>
        <v>Asia&gt;China&gt;Shenzhen</v>
      </c>
      <c r="M416" s="4" t="s">
        <v>702</v>
      </c>
      <c r="N416" s="4" t="s">
        <v>708</v>
      </c>
      <c r="O416" s="4" t="s">
        <v>713</v>
      </c>
      <c r="P416" s="4" t="s">
        <v>727</v>
      </c>
      <c r="Q416" s="4" t="s">
        <v>870</v>
      </c>
      <c r="R416" s="8">
        <v>1412.15</v>
      </c>
      <c r="S416" s="8">
        <v>1631.04</v>
      </c>
      <c r="T416" s="8">
        <v>1631.04</v>
      </c>
      <c r="U416" s="8" t="str">
        <f>IF(T416&lt;=_xlfn.PERCENTILE.INC($T416:$T$633,0.33), "Low", IF(T416&lt;=_xlfn.PERCENTILE.INC($T416:$T$633,0.66), "Medium", "High"))</f>
        <v>High</v>
      </c>
      <c r="V416" s="10">
        <v>8.9999999999999993E-3</v>
      </c>
      <c r="W416" s="10">
        <f t="shared" si="73"/>
        <v>8.9999999999999993E-3</v>
      </c>
      <c r="X416" s="12">
        <v>6</v>
      </c>
      <c r="Y416" s="8">
        <f t="shared" si="66"/>
        <v>9698.1638399999993</v>
      </c>
      <c r="Z416" s="8">
        <f t="shared" si="67"/>
        <v>8472.9000000000015</v>
      </c>
      <c r="AA416" s="8">
        <f t="shared" si="74"/>
        <v>1225.2638399999978</v>
      </c>
      <c r="AB416" s="10">
        <f t="shared" si="75"/>
        <v>0.12633977526203535</v>
      </c>
      <c r="AC416" s="14">
        <f>_xlfn.MINIFS($C$2:$C$633, $J$2:$J$633, J416)</f>
        <v>44938</v>
      </c>
      <c r="AD416">
        <f>DATEDIF(AC416, C416, "m")</f>
        <v>23</v>
      </c>
      <c r="AE416" s="8">
        <f t="shared" si="76"/>
        <v>1616.3606399999999</v>
      </c>
    </row>
    <row r="417" spans="1:31" x14ac:dyDescent="0.3">
      <c r="A417" s="4" t="s">
        <v>447</v>
      </c>
      <c r="B417" s="6">
        <v>45636</v>
      </c>
      <c r="C417" s="14">
        <v>45636</v>
      </c>
      <c r="D417" s="14" t="str">
        <f t="shared" si="68"/>
        <v>Q4 -2024</v>
      </c>
      <c r="E417" s="6">
        <v>45645</v>
      </c>
      <c r="F417" s="6">
        <f t="shared" si="69"/>
        <v>45645</v>
      </c>
      <c r="G417" s="12">
        <f t="shared" si="70"/>
        <v>9</v>
      </c>
      <c r="H417" s="12">
        <f t="shared" si="71"/>
        <v>0</v>
      </c>
      <c r="I417" s="4" t="s">
        <v>646</v>
      </c>
      <c r="J417" s="4" t="s">
        <v>651</v>
      </c>
      <c r="K417" s="4" t="s">
        <v>665</v>
      </c>
      <c r="L417" t="str">
        <f t="shared" si="72"/>
        <v>Africa&gt;Nigeria&gt;Lagos</v>
      </c>
      <c r="M417" s="4" t="s">
        <v>701</v>
      </c>
      <c r="N417" s="4" t="s">
        <v>707</v>
      </c>
      <c r="O417" s="4" t="s">
        <v>719</v>
      </c>
      <c r="P417" s="4" t="s">
        <v>732</v>
      </c>
      <c r="Q417" s="4" t="s">
        <v>1166</v>
      </c>
      <c r="R417" s="8">
        <v>488.68</v>
      </c>
      <c r="S417" s="8">
        <v>984.36</v>
      </c>
      <c r="T417" s="8">
        <v>984.36</v>
      </c>
      <c r="U417" s="8" t="str">
        <f>IF(T417&lt;=_xlfn.PERCENTILE.INC($T417:$T$633,0.33), "Low", IF(T417&lt;=_xlfn.PERCENTILE.INC($T417:$T$633,0.66), "Medium", "High"))</f>
        <v>Medium</v>
      </c>
      <c r="V417" s="10">
        <v>5.8999999999999997E-2</v>
      </c>
      <c r="W417" s="10">
        <f t="shared" si="73"/>
        <v>5.8999999999999997E-2</v>
      </c>
      <c r="X417" s="12">
        <v>14</v>
      </c>
      <c r="Y417" s="8">
        <f t="shared" si="66"/>
        <v>12967.958640000001</v>
      </c>
      <c r="Z417" s="8">
        <f t="shared" si="67"/>
        <v>6841.52</v>
      </c>
      <c r="AA417" s="8">
        <f t="shared" si="74"/>
        <v>6126.4386400000003</v>
      </c>
      <c r="AB417" s="10">
        <f t="shared" si="75"/>
        <v>0.47242891576649876</v>
      </c>
      <c r="AC417" s="14">
        <f>_xlfn.MINIFS($C$2:$C$633, $J$2:$J$633, J417)</f>
        <v>44941</v>
      </c>
      <c r="AD417">
        <f>DATEDIF(AC417, C417, "m")</f>
        <v>22</v>
      </c>
      <c r="AE417" s="8">
        <f t="shared" si="76"/>
        <v>926.28276000000005</v>
      </c>
    </row>
    <row r="418" spans="1:31" x14ac:dyDescent="0.3">
      <c r="A418" s="4" t="s">
        <v>623</v>
      </c>
      <c r="B418" s="6">
        <v>45319</v>
      </c>
      <c r="C418" s="14">
        <v>45319</v>
      </c>
      <c r="D418" s="14" t="str">
        <f t="shared" si="68"/>
        <v>Q1 -2024</v>
      </c>
      <c r="E418" s="6">
        <v>45318</v>
      </c>
      <c r="F418" s="6">
        <f t="shared" si="69"/>
        <v>45325</v>
      </c>
      <c r="G418" s="12">
        <f t="shared" si="70"/>
        <v>6</v>
      </c>
      <c r="H418" s="12">
        <f t="shared" si="71"/>
        <v>1</v>
      </c>
      <c r="I418" s="4" t="s">
        <v>646</v>
      </c>
      <c r="J418" s="4" t="s">
        <v>661</v>
      </c>
      <c r="K418" s="4" t="s">
        <v>695</v>
      </c>
      <c r="L418" t="str">
        <f t="shared" si="72"/>
        <v>Africa&gt;South Africa&gt;Cape Town</v>
      </c>
      <c r="M418" s="4" t="s">
        <v>706</v>
      </c>
      <c r="N418" s="4" t="s">
        <v>711</v>
      </c>
      <c r="O418" s="4" t="s">
        <v>719</v>
      </c>
      <c r="P418" s="4" t="s">
        <v>727</v>
      </c>
      <c r="Q418" s="4" t="s">
        <v>1341</v>
      </c>
      <c r="R418" s="8">
        <v>109.75</v>
      </c>
      <c r="S418" s="8">
        <v>124.25</v>
      </c>
      <c r="T418" s="8">
        <v>124.25</v>
      </c>
      <c r="U418" s="8" t="str">
        <f>IF(T418&lt;=_xlfn.PERCENTILE.INC($T418:$T$633,0.33), "Low", IF(T418&lt;=_xlfn.PERCENTILE.INC($T418:$T$633,0.66), "Medium", "High"))</f>
        <v>Low</v>
      </c>
      <c r="V418" s="10">
        <v>0.12</v>
      </c>
      <c r="W418" s="10">
        <f t="shared" si="73"/>
        <v>0.12</v>
      </c>
      <c r="X418" s="12">
        <v>19</v>
      </c>
      <c r="Y418" s="8">
        <f t="shared" si="66"/>
        <v>2077.46</v>
      </c>
      <c r="Z418" s="8">
        <f t="shared" si="67"/>
        <v>2085.25</v>
      </c>
      <c r="AA418" s="8">
        <f t="shared" si="74"/>
        <v>-7.7899999999999636</v>
      </c>
      <c r="AB418" s="10">
        <f t="shared" si="75"/>
        <v>-3.7497713554051405E-3</v>
      </c>
      <c r="AC418" s="14">
        <f>_xlfn.MINIFS($C$2:$C$633, $J$2:$J$633, J418)</f>
        <v>44933</v>
      </c>
      <c r="AD418">
        <f>DATEDIF(AC418, C418, "m")</f>
        <v>12</v>
      </c>
      <c r="AE418" s="8">
        <f t="shared" si="76"/>
        <v>109.34</v>
      </c>
    </row>
    <row r="419" spans="1:31" x14ac:dyDescent="0.3">
      <c r="A419" s="4" t="s">
        <v>116</v>
      </c>
      <c r="B419" s="6">
        <v>45304</v>
      </c>
      <c r="C419" s="14">
        <v>45304</v>
      </c>
      <c r="D419" s="14" t="str">
        <f t="shared" si="68"/>
        <v>Q1 -2024</v>
      </c>
      <c r="E419" s="6">
        <v>45313</v>
      </c>
      <c r="F419" s="6">
        <f t="shared" si="69"/>
        <v>45313</v>
      </c>
      <c r="G419" s="12">
        <f t="shared" si="70"/>
        <v>9</v>
      </c>
      <c r="H419" s="12">
        <f t="shared" si="71"/>
        <v>0</v>
      </c>
      <c r="I419" s="4" t="s">
        <v>647</v>
      </c>
      <c r="J419" s="4" t="s">
        <v>654</v>
      </c>
      <c r="K419" s="4" t="s">
        <v>691</v>
      </c>
      <c r="L419" t="str">
        <f t="shared" si="72"/>
        <v>Asia&gt;India&gt;Mumbai</v>
      </c>
      <c r="M419" s="4" t="s">
        <v>706</v>
      </c>
      <c r="N419" s="4" t="s">
        <v>709</v>
      </c>
      <c r="O419" s="4" t="s">
        <v>713</v>
      </c>
      <c r="P419" s="4" t="s">
        <v>727</v>
      </c>
      <c r="Q419" s="4" t="s">
        <v>835</v>
      </c>
      <c r="R419" s="8">
        <v>313.60000000000002</v>
      </c>
      <c r="S419" s="8">
        <v>334.28</v>
      </c>
      <c r="T419" s="8">
        <v>334.28</v>
      </c>
      <c r="U419" s="8" t="str">
        <f>IF(T419&lt;=_xlfn.PERCENTILE.INC($T419:$T$633,0.33), "Low", IF(T419&lt;=_xlfn.PERCENTILE.INC($T419:$T$633,0.66), "Medium", "High"))</f>
        <v>Low</v>
      </c>
      <c r="V419" s="10">
        <v>0.14000000000000001</v>
      </c>
      <c r="W419" s="10">
        <f t="shared" si="73"/>
        <v>0.14000000000000001</v>
      </c>
      <c r="X419" s="12">
        <v>22</v>
      </c>
      <c r="Y419" s="8">
        <f t="shared" si="66"/>
        <v>6324.5775999999996</v>
      </c>
      <c r="Z419" s="8">
        <f t="shared" si="67"/>
        <v>6899.2000000000007</v>
      </c>
      <c r="AA419" s="8">
        <f t="shared" si="74"/>
        <v>-574.62240000000111</v>
      </c>
      <c r="AB419" s="10">
        <f t="shared" si="75"/>
        <v>-9.0855458868905517E-2</v>
      </c>
      <c r="AC419" s="14">
        <f>_xlfn.MINIFS($C$2:$C$633, $J$2:$J$633, J419)</f>
        <v>44955</v>
      </c>
      <c r="AD419">
        <f>DATEDIF(AC419, C419, "m")</f>
        <v>11</v>
      </c>
      <c r="AE419" s="8">
        <f t="shared" si="76"/>
        <v>287.48079999999999</v>
      </c>
    </row>
    <row r="420" spans="1:31" x14ac:dyDescent="0.3">
      <c r="A420" s="4" t="s">
        <v>466</v>
      </c>
      <c r="B420" s="6">
        <v>45413</v>
      </c>
      <c r="C420" s="14">
        <v>45413</v>
      </c>
      <c r="D420" s="14" t="str">
        <f t="shared" si="68"/>
        <v>Q2 -2024</v>
      </c>
      <c r="E420" s="6">
        <v>45428</v>
      </c>
      <c r="F420" s="6">
        <f t="shared" si="69"/>
        <v>45428</v>
      </c>
      <c r="G420" s="12">
        <f t="shared" si="70"/>
        <v>15</v>
      </c>
      <c r="H420" s="12">
        <f t="shared" si="71"/>
        <v>0</v>
      </c>
      <c r="I420" s="4" t="s">
        <v>647</v>
      </c>
      <c r="J420" s="4" t="s">
        <v>654</v>
      </c>
      <c r="K420" s="4" t="s">
        <v>668</v>
      </c>
      <c r="L420" t="str">
        <f t="shared" si="72"/>
        <v>Asia&gt;India&gt;Bengaluru</v>
      </c>
      <c r="M420" s="4" t="s">
        <v>705</v>
      </c>
      <c r="N420" s="4" t="s">
        <v>707</v>
      </c>
      <c r="O420" s="4" t="s">
        <v>716</v>
      </c>
      <c r="P420" s="4" t="s">
        <v>727</v>
      </c>
      <c r="Q420" s="4" t="s">
        <v>1185</v>
      </c>
      <c r="R420" s="8">
        <v>901.19</v>
      </c>
      <c r="S420" s="8">
        <v>2125.44</v>
      </c>
      <c r="T420" s="8">
        <v>2125.44</v>
      </c>
      <c r="U420" s="8" t="str">
        <f>IF(T420&lt;=_xlfn.PERCENTILE.INC($T420:$T$633,0.33), "Low", IF(T420&lt;=_xlfn.PERCENTILE.INC($T420:$T$633,0.66), "Medium", "High"))</f>
        <v>High</v>
      </c>
      <c r="V420" s="10">
        <v>7.0999999999999994E-2</v>
      </c>
      <c r="W420" s="10">
        <f t="shared" si="73"/>
        <v>7.0999999999999994E-2</v>
      </c>
      <c r="X420" s="12">
        <v>12</v>
      </c>
      <c r="Y420" s="8">
        <f t="shared" si="66"/>
        <v>23694.405119999999</v>
      </c>
      <c r="Z420" s="8">
        <f t="shared" si="67"/>
        <v>10814.28</v>
      </c>
      <c r="AA420" s="8">
        <f t="shared" si="74"/>
        <v>12880.125119999999</v>
      </c>
      <c r="AB420" s="10">
        <f t="shared" si="75"/>
        <v>0.54359352154100415</v>
      </c>
      <c r="AC420" s="14">
        <f>_xlfn.MINIFS($C$2:$C$633, $J$2:$J$633, J420)</f>
        <v>44955</v>
      </c>
      <c r="AD420">
        <f>DATEDIF(AC420, C420, "m")</f>
        <v>15</v>
      </c>
      <c r="AE420" s="8">
        <f t="shared" si="76"/>
        <v>1974.53376</v>
      </c>
    </row>
    <row r="421" spans="1:31" x14ac:dyDescent="0.3">
      <c r="A421" s="4" t="s">
        <v>259</v>
      </c>
      <c r="B421" s="6">
        <v>45357</v>
      </c>
      <c r="C421" s="14">
        <v>45357</v>
      </c>
      <c r="D421" s="14" t="str">
        <f t="shared" si="68"/>
        <v>Q1 -2024</v>
      </c>
      <c r="E421" s="6">
        <v>45377</v>
      </c>
      <c r="F421" s="6">
        <f t="shared" si="69"/>
        <v>45377</v>
      </c>
      <c r="G421" s="12">
        <f t="shared" si="70"/>
        <v>20</v>
      </c>
      <c r="H421" s="12">
        <f t="shared" si="71"/>
        <v>0</v>
      </c>
      <c r="I421" s="4" t="s">
        <v>646</v>
      </c>
      <c r="J421" s="4" t="s">
        <v>651</v>
      </c>
      <c r="K421" s="4" t="s">
        <v>663</v>
      </c>
      <c r="L421" t="str">
        <f t="shared" si="72"/>
        <v>Africa&gt;Nigeria&gt;Port Harcourt</v>
      </c>
      <c r="M421" s="4" t="s">
        <v>704</v>
      </c>
      <c r="N421" s="4" t="s">
        <v>709</v>
      </c>
      <c r="O421" s="4" t="s">
        <v>714</v>
      </c>
      <c r="P421" s="4" t="s">
        <v>730</v>
      </c>
      <c r="Q421" s="4" t="s">
        <v>979</v>
      </c>
      <c r="R421" s="8">
        <v>65.64</v>
      </c>
      <c r="S421" s="8">
        <v>151.88</v>
      </c>
      <c r="T421" s="8">
        <v>151.88</v>
      </c>
      <c r="U421" s="8" t="str">
        <f>IF(T421&lt;=_xlfn.PERCENTILE.INC($T421:$T$633,0.33), "Low", IF(T421&lt;=_xlfn.PERCENTILE.INC($T421:$T$633,0.66), "Medium", "High"))</f>
        <v>Low</v>
      </c>
      <c r="V421" s="10">
        <v>0.16700000000000001</v>
      </c>
      <c r="W421" s="10">
        <f t="shared" si="73"/>
        <v>0.16700000000000001</v>
      </c>
      <c r="X421" s="12">
        <v>23</v>
      </c>
      <c r="Y421" s="8">
        <f t="shared" si="66"/>
        <v>2909.8689199999999</v>
      </c>
      <c r="Z421" s="8">
        <f t="shared" si="67"/>
        <v>1509.72</v>
      </c>
      <c r="AA421" s="8">
        <f t="shared" si="74"/>
        <v>1400.1489199999999</v>
      </c>
      <c r="AB421" s="10">
        <f t="shared" si="75"/>
        <v>0.48117250587356353</v>
      </c>
      <c r="AC421" s="14">
        <f>_xlfn.MINIFS($C$2:$C$633, $J$2:$J$633, J421)</f>
        <v>44941</v>
      </c>
      <c r="AD421">
        <f>DATEDIF(AC421, C421, "m")</f>
        <v>13</v>
      </c>
      <c r="AE421" s="8">
        <f t="shared" si="76"/>
        <v>126.51603999999999</v>
      </c>
    </row>
    <row r="422" spans="1:31" x14ac:dyDescent="0.3">
      <c r="A422" s="4" t="s">
        <v>42</v>
      </c>
      <c r="B422" s="6">
        <v>45492</v>
      </c>
      <c r="C422" s="14">
        <v>45492</v>
      </c>
      <c r="D422" s="14" t="str">
        <f t="shared" si="68"/>
        <v>Q3 -2024</v>
      </c>
      <c r="E422" s="6">
        <v>45492</v>
      </c>
      <c r="F422" s="6">
        <f t="shared" si="69"/>
        <v>45492</v>
      </c>
      <c r="G422" s="12">
        <f t="shared" si="70"/>
        <v>0</v>
      </c>
      <c r="H422" s="12">
        <f t="shared" si="71"/>
        <v>1</v>
      </c>
      <c r="I422" s="4" t="s">
        <v>646</v>
      </c>
      <c r="J422" s="4" t="s">
        <v>650</v>
      </c>
      <c r="K422" s="4" t="s">
        <v>662</v>
      </c>
      <c r="L422" t="str">
        <f t="shared" si="72"/>
        <v>Africa&gt;Kenya&gt;Kisumu</v>
      </c>
      <c r="M422" s="4" t="s">
        <v>705</v>
      </c>
      <c r="N422" s="4" t="s">
        <v>707</v>
      </c>
      <c r="O422" s="4" t="s">
        <v>720</v>
      </c>
      <c r="P422" s="4" t="s">
        <v>730</v>
      </c>
      <c r="Q422" s="4" t="s">
        <v>761</v>
      </c>
      <c r="R422" s="8">
        <v>857.24</v>
      </c>
      <c r="S422" s="8">
        <v>758.23</v>
      </c>
      <c r="T422" s="8">
        <v>758.23</v>
      </c>
      <c r="U422" s="8" t="str">
        <f>IF(T422&lt;=_xlfn.PERCENTILE.INC($T422:$T$633,0.33), "Low", IF(T422&lt;=_xlfn.PERCENTILE.INC($T422:$T$633,0.66), "Medium", "High"))</f>
        <v>Medium</v>
      </c>
      <c r="V422" s="10">
        <v>0.125</v>
      </c>
      <c r="W422" s="10">
        <f t="shared" si="73"/>
        <v>0.125</v>
      </c>
      <c r="X422" s="12">
        <v>6</v>
      </c>
      <c r="Y422" s="8">
        <f t="shared" si="66"/>
        <v>3980.7075</v>
      </c>
      <c r="Z422" s="8">
        <f t="shared" si="67"/>
        <v>5143.4400000000005</v>
      </c>
      <c r="AA422" s="8">
        <f t="shared" si="74"/>
        <v>-1162.7325000000005</v>
      </c>
      <c r="AB422" s="10">
        <f t="shared" si="75"/>
        <v>-0.29209192084572921</v>
      </c>
      <c r="AC422" s="14">
        <f>_xlfn.MINIFS($C$2:$C$633, $J$2:$J$633, J422)</f>
        <v>44946</v>
      </c>
      <c r="AD422">
        <f>DATEDIF(AC422, C422, "m")</f>
        <v>17</v>
      </c>
      <c r="AE422" s="8">
        <f t="shared" si="76"/>
        <v>663.45124999999996</v>
      </c>
    </row>
    <row r="423" spans="1:31" x14ac:dyDescent="0.3">
      <c r="A423" s="4" t="s">
        <v>269</v>
      </c>
      <c r="B423" s="6">
        <v>45411</v>
      </c>
      <c r="C423" s="14">
        <v>45411</v>
      </c>
      <c r="D423" s="14" t="str">
        <f t="shared" si="68"/>
        <v>Q2 -2024</v>
      </c>
      <c r="E423" s="6">
        <v>45431</v>
      </c>
      <c r="F423" s="6">
        <f t="shared" si="69"/>
        <v>45431</v>
      </c>
      <c r="G423" s="12">
        <f t="shared" si="70"/>
        <v>20</v>
      </c>
      <c r="H423" s="12">
        <f t="shared" si="71"/>
        <v>0</v>
      </c>
      <c r="I423" s="4" t="s">
        <v>649</v>
      </c>
      <c r="J423" s="4" t="s">
        <v>656</v>
      </c>
      <c r="K423" s="4" t="s">
        <v>698</v>
      </c>
      <c r="L423" t="str">
        <f t="shared" si="72"/>
        <v>Europe&gt;Germany&gt;Frankfurt</v>
      </c>
      <c r="M423" s="4" t="s">
        <v>706</v>
      </c>
      <c r="N423" s="4" t="s">
        <v>709</v>
      </c>
      <c r="O423" s="4" t="s">
        <v>712</v>
      </c>
      <c r="P423" s="4" t="s">
        <v>731</v>
      </c>
      <c r="Q423" s="4" t="s">
        <v>989</v>
      </c>
      <c r="R423" s="8">
        <v>668.97</v>
      </c>
      <c r="S423" s="8">
        <v>1667.44</v>
      </c>
      <c r="T423" s="8">
        <v>1667.44</v>
      </c>
      <c r="U423" s="8" t="str">
        <f>IF(T423&lt;=_xlfn.PERCENTILE.INC($T423:$T$633,0.33), "Low", IF(T423&lt;=_xlfn.PERCENTILE.INC($T423:$T$633,0.66), "Medium", "High"))</f>
        <v>High</v>
      </c>
      <c r="V423" s="10">
        <v>3.4000000000000002E-2</v>
      </c>
      <c r="W423" s="10">
        <f t="shared" si="73"/>
        <v>3.4000000000000002E-2</v>
      </c>
      <c r="X423" s="12">
        <v>15</v>
      </c>
      <c r="Y423" s="8">
        <f t="shared" si="66"/>
        <v>24161.205600000001</v>
      </c>
      <c r="Z423" s="8">
        <f t="shared" si="67"/>
        <v>10034.550000000001</v>
      </c>
      <c r="AA423" s="8">
        <f t="shared" si="74"/>
        <v>14126.6556</v>
      </c>
      <c r="AB423" s="10">
        <f t="shared" si="75"/>
        <v>0.58468339013679016</v>
      </c>
      <c r="AC423" s="14">
        <f>_xlfn.MINIFS($C$2:$C$633, $J$2:$J$633, J423)</f>
        <v>44948</v>
      </c>
      <c r="AD423">
        <f>DATEDIF(AC423, C423, "m")</f>
        <v>15</v>
      </c>
      <c r="AE423" s="8">
        <f t="shared" si="76"/>
        <v>1610.74704</v>
      </c>
    </row>
    <row r="424" spans="1:31" x14ac:dyDescent="0.3">
      <c r="A424" s="4" t="s">
        <v>301</v>
      </c>
      <c r="B424" s="6">
        <v>45542</v>
      </c>
      <c r="C424" s="14">
        <v>45542</v>
      </c>
      <c r="D424" s="14" t="str">
        <f t="shared" si="68"/>
        <v>Q3 -2024</v>
      </c>
      <c r="E424" s="6">
        <v>45542</v>
      </c>
      <c r="F424" s="6">
        <f t="shared" si="69"/>
        <v>45542</v>
      </c>
      <c r="G424" s="12">
        <f t="shared" si="70"/>
        <v>0</v>
      </c>
      <c r="H424" s="12">
        <f t="shared" si="71"/>
        <v>1</v>
      </c>
      <c r="I424" s="4" t="s">
        <v>647</v>
      </c>
      <c r="J424" s="4" t="s">
        <v>654</v>
      </c>
      <c r="K424" s="4" t="s">
        <v>691</v>
      </c>
      <c r="L424" t="str">
        <f t="shared" si="72"/>
        <v>Asia&gt;India&gt;Mumbai</v>
      </c>
      <c r="M424" s="4" t="s">
        <v>702</v>
      </c>
      <c r="N424" s="4" t="s">
        <v>710</v>
      </c>
      <c r="O424" s="4" t="s">
        <v>717</v>
      </c>
      <c r="P424" s="4" t="s">
        <v>729</v>
      </c>
      <c r="Q424" s="4" t="s">
        <v>1021</v>
      </c>
      <c r="R424" s="8">
        <v>1066.6500000000001</v>
      </c>
      <c r="S424" s="8">
        <v>2569.77</v>
      </c>
      <c r="T424" s="8">
        <v>2569.77</v>
      </c>
      <c r="U424" s="8" t="str">
        <f>IF(T424&lt;=_xlfn.PERCENTILE.INC($T424:$T$633,0.33), "Low", IF(T424&lt;=_xlfn.PERCENTILE.INC($T424:$T$633,0.66), "Medium", "High"))</f>
        <v>High</v>
      </c>
      <c r="V424" s="10">
        <v>0.13400000000000001</v>
      </c>
      <c r="W424" s="10">
        <f t="shared" si="73"/>
        <v>0.13400000000000001</v>
      </c>
      <c r="X424" s="12">
        <v>9</v>
      </c>
      <c r="Y424" s="8">
        <f t="shared" si="66"/>
        <v>20028.787380000002</v>
      </c>
      <c r="Z424" s="8">
        <f t="shared" si="67"/>
        <v>9599.85</v>
      </c>
      <c r="AA424" s="8">
        <f t="shared" si="74"/>
        <v>10428.937380000001</v>
      </c>
      <c r="AB424" s="10">
        <f t="shared" si="75"/>
        <v>0.52069739331368348</v>
      </c>
      <c r="AC424" s="14">
        <f>_xlfn.MINIFS($C$2:$C$633, $J$2:$J$633, J424)</f>
        <v>44955</v>
      </c>
      <c r="AD424">
        <f>DATEDIF(AC424, C424, "m")</f>
        <v>19</v>
      </c>
      <c r="AE424" s="8">
        <f t="shared" si="76"/>
        <v>2225.4208200000003</v>
      </c>
    </row>
    <row r="425" spans="1:31" x14ac:dyDescent="0.3">
      <c r="A425" s="4" t="s">
        <v>257</v>
      </c>
      <c r="B425" s="6">
        <v>45630</v>
      </c>
      <c r="C425" s="14">
        <v>45630</v>
      </c>
      <c r="D425" s="14" t="str">
        <f t="shared" si="68"/>
        <v>Q4 -2024</v>
      </c>
      <c r="E425" s="6">
        <v>45638</v>
      </c>
      <c r="F425" s="6">
        <f t="shared" si="69"/>
        <v>45638</v>
      </c>
      <c r="G425" s="12">
        <f t="shared" si="70"/>
        <v>8</v>
      </c>
      <c r="H425" s="12">
        <f t="shared" si="71"/>
        <v>0</v>
      </c>
      <c r="I425" s="4" t="s">
        <v>649</v>
      </c>
      <c r="J425" s="4" t="s">
        <v>656</v>
      </c>
      <c r="K425" s="4" t="s">
        <v>698</v>
      </c>
      <c r="L425" t="str">
        <f t="shared" si="72"/>
        <v>Europe&gt;Germany&gt;Frankfurt</v>
      </c>
      <c r="M425" s="4" t="s">
        <v>706</v>
      </c>
      <c r="N425" s="4" t="s">
        <v>709</v>
      </c>
      <c r="O425" s="4" t="s">
        <v>717</v>
      </c>
      <c r="P425" s="4" t="s">
        <v>728</v>
      </c>
      <c r="Q425" s="4" t="s">
        <v>977</v>
      </c>
      <c r="R425" s="8">
        <v>72.06</v>
      </c>
      <c r="S425" s="8">
        <v>122.74</v>
      </c>
      <c r="T425" s="8">
        <v>122.74</v>
      </c>
      <c r="U425" s="8" t="str">
        <f>IF(T425&lt;=_xlfn.PERCENTILE.INC($T425:$T$633,0.33), "Low", IF(T425&lt;=_xlfn.PERCENTILE.INC($T425:$T$633,0.66), "Medium", "High"))</f>
        <v>Low</v>
      </c>
      <c r="V425" s="10">
        <v>0.23799999999999999</v>
      </c>
      <c r="W425" s="10">
        <f t="shared" si="73"/>
        <v>0.23799999999999999</v>
      </c>
      <c r="X425" s="12">
        <v>8</v>
      </c>
      <c r="Y425" s="8">
        <f t="shared" si="66"/>
        <v>748.22303999999997</v>
      </c>
      <c r="Z425" s="8">
        <f t="shared" si="67"/>
        <v>576.48</v>
      </c>
      <c r="AA425" s="8">
        <f t="shared" si="74"/>
        <v>171.74303999999995</v>
      </c>
      <c r="AB425" s="10">
        <f t="shared" si="75"/>
        <v>0.22953455162246802</v>
      </c>
      <c r="AC425" s="14">
        <f>_xlfn.MINIFS($C$2:$C$633, $J$2:$J$633, J425)</f>
        <v>44948</v>
      </c>
      <c r="AD425">
        <f>DATEDIF(AC425, C425, "m")</f>
        <v>22</v>
      </c>
      <c r="AE425" s="8">
        <f t="shared" si="76"/>
        <v>93.527879999999996</v>
      </c>
    </row>
    <row r="426" spans="1:31" x14ac:dyDescent="0.3">
      <c r="A426" s="4" t="s">
        <v>389</v>
      </c>
      <c r="B426" s="6">
        <v>45354</v>
      </c>
      <c r="C426" s="14">
        <v>45354</v>
      </c>
      <c r="D426" s="14" t="str">
        <f t="shared" si="68"/>
        <v>Q1 -2024</v>
      </c>
      <c r="E426" s="6">
        <v>45370</v>
      </c>
      <c r="F426" s="6">
        <f t="shared" si="69"/>
        <v>45370</v>
      </c>
      <c r="G426" s="12">
        <f t="shared" si="70"/>
        <v>16</v>
      </c>
      <c r="H426" s="12">
        <f t="shared" si="71"/>
        <v>0</v>
      </c>
      <c r="I426" s="4" t="s">
        <v>647</v>
      </c>
      <c r="J426" s="4" t="s">
        <v>659</v>
      </c>
      <c r="K426" s="4" t="s">
        <v>699</v>
      </c>
      <c r="L426" t="str">
        <f t="shared" si="72"/>
        <v>Asia&gt;China&gt;Beijing</v>
      </c>
      <c r="M426" s="4" t="s">
        <v>704</v>
      </c>
      <c r="N426" s="4" t="s">
        <v>710</v>
      </c>
      <c r="O426" s="4" t="s">
        <v>715</v>
      </c>
      <c r="P426" s="4" t="s">
        <v>730</v>
      </c>
      <c r="Q426" s="4" t="s">
        <v>1109</v>
      </c>
      <c r="R426" s="8">
        <v>988.83</v>
      </c>
      <c r="S426" s="8">
        <v>1206.04</v>
      </c>
      <c r="T426" s="8">
        <v>1206.04</v>
      </c>
      <c r="U426" s="8" t="str">
        <f>IF(T426&lt;=_xlfn.PERCENTILE.INC($T426:$T$633,0.33), "Low", IF(T426&lt;=_xlfn.PERCENTILE.INC($T426:$T$633,0.66), "Medium", "High"))</f>
        <v>Medium</v>
      </c>
      <c r="V426" s="10">
        <v>6.3E-2</v>
      </c>
      <c r="W426" s="10">
        <f t="shared" si="73"/>
        <v>6.3E-2</v>
      </c>
      <c r="X426" s="12">
        <v>34</v>
      </c>
      <c r="Y426" s="8">
        <f t="shared" si="66"/>
        <v>38422.022320000004</v>
      </c>
      <c r="Z426" s="8">
        <f t="shared" si="67"/>
        <v>33620.22</v>
      </c>
      <c r="AA426" s="8">
        <f t="shared" si="74"/>
        <v>4801.8023200000025</v>
      </c>
      <c r="AB426" s="10">
        <f t="shared" si="75"/>
        <v>0.12497526236406606</v>
      </c>
      <c r="AC426" s="14">
        <f>_xlfn.MINIFS($C$2:$C$633, $J$2:$J$633, J426)</f>
        <v>44938</v>
      </c>
      <c r="AD426">
        <f>DATEDIF(AC426, C426, "m")</f>
        <v>13</v>
      </c>
      <c r="AE426" s="8">
        <f t="shared" si="76"/>
        <v>1130.0594800000001</v>
      </c>
    </row>
    <row r="427" spans="1:31" x14ac:dyDescent="0.3">
      <c r="A427" s="4" t="s">
        <v>574</v>
      </c>
      <c r="B427" s="6">
        <v>45299</v>
      </c>
      <c r="C427" s="14">
        <v>45299</v>
      </c>
      <c r="D427" s="14" t="str">
        <f t="shared" si="68"/>
        <v>Q1 -2024</v>
      </c>
      <c r="E427" s="6">
        <v>45303</v>
      </c>
      <c r="F427" s="6">
        <f t="shared" si="69"/>
        <v>45303</v>
      </c>
      <c r="G427" s="12">
        <f t="shared" si="70"/>
        <v>4</v>
      </c>
      <c r="H427" s="12">
        <f t="shared" si="71"/>
        <v>1</v>
      </c>
      <c r="I427" s="4" t="s">
        <v>647</v>
      </c>
      <c r="J427" s="4" t="s">
        <v>654</v>
      </c>
      <c r="K427" s="4" t="s">
        <v>668</v>
      </c>
      <c r="L427" t="str">
        <f t="shared" si="72"/>
        <v>Asia&gt;India&gt;Bengaluru</v>
      </c>
      <c r="M427" s="4" t="s">
        <v>701</v>
      </c>
      <c r="N427" s="4" t="s">
        <v>711</v>
      </c>
      <c r="O427" s="4" t="s">
        <v>718</v>
      </c>
      <c r="P427" s="4" t="s">
        <v>728</v>
      </c>
      <c r="Q427" s="4" t="s">
        <v>1292</v>
      </c>
      <c r="R427" s="8">
        <v>802.32</v>
      </c>
      <c r="S427" s="8">
        <v>602.34</v>
      </c>
      <c r="T427" s="8">
        <v>602.34</v>
      </c>
      <c r="U427" s="8" t="str">
        <f>IF(T427&lt;=_xlfn.PERCENTILE.INC($T427:$T$633,0.33), "Low", IF(T427&lt;=_xlfn.PERCENTILE.INC($T427:$T$633,0.66), "Medium", "High"))</f>
        <v>Low</v>
      </c>
      <c r="V427" s="10">
        <v>0.12</v>
      </c>
      <c r="W427" s="10">
        <f t="shared" si="73"/>
        <v>0.12</v>
      </c>
      <c r="X427" s="12">
        <v>25</v>
      </c>
      <c r="Y427" s="8">
        <f t="shared" si="66"/>
        <v>13251.48</v>
      </c>
      <c r="Z427" s="8">
        <f t="shared" si="67"/>
        <v>20058</v>
      </c>
      <c r="AA427" s="8">
        <f t="shared" si="74"/>
        <v>-6806.52</v>
      </c>
      <c r="AB427" s="10">
        <f t="shared" si="75"/>
        <v>-0.51364224977134632</v>
      </c>
      <c r="AC427" s="14">
        <f>_xlfn.MINIFS($C$2:$C$633, $J$2:$J$633, J427)</f>
        <v>44955</v>
      </c>
      <c r="AD427">
        <f>DATEDIF(AC427, C427, "m")</f>
        <v>11</v>
      </c>
      <c r="AE427" s="8">
        <f t="shared" si="76"/>
        <v>530.05920000000003</v>
      </c>
    </row>
    <row r="428" spans="1:31" x14ac:dyDescent="0.3">
      <c r="A428" s="4" t="s">
        <v>318</v>
      </c>
      <c r="B428" s="6">
        <v>45462</v>
      </c>
      <c r="C428" s="14">
        <v>45462</v>
      </c>
      <c r="D428" s="14" t="str">
        <f t="shared" si="68"/>
        <v>Q2 -2024</v>
      </c>
      <c r="E428" s="6">
        <v>45463</v>
      </c>
      <c r="F428" s="6">
        <f t="shared" si="69"/>
        <v>45463</v>
      </c>
      <c r="G428" s="12">
        <f t="shared" si="70"/>
        <v>1</v>
      </c>
      <c r="H428" s="12">
        <f t="shared" si="71"/>
        <v>1</v>
      </c>
      <c r="I428" s="4" t="s">
        <v>646</v>
      </c>
      <c r="J428" s="4" t="s">
        <v>650</v>
      </c>
      <c r="K428" s="4" t="s">
        <v>662</v>
      </c>
      <c r="L428" t="str">
        <f t="shared" si="72"/>
        <v>Africa&gt;Kenya&gt;Kisumu</v>
      </c>
      <c r="M428" s="4" t="s">
        <v>705</v>
      </c>
      <c r="N428" s="4" t="s">
        <v>711</v>
      </c>
      <c r="O428" s="4" t="s">
        <v>713</v>
      </c>
      <c r="P428" s="4" t="s">
        <v>731</v>
      </c>
      <c r="Q428" s="4" t="s">
        <v>1038</v>
      </c>
      <c r="R428" s="8">
        <v>231.63</v>
      </c>
      <c r="S428" s="8">
        <v>537.39</v>
      </c>
      <c r="T428" s="8">
        <v>537.39</v>
      </c>
      <c r="U428" s="8" t="str">
        <f>IF(T428&lt;=_xlfn.PERCENTILE.INC($T428:$T$633,0.33), "Low", IF(T428&lt;=_xlfn.PERCENTILE.INC($T428:$T$633,0.66), "Medium", "High"))</f>
        <v>Low</v>
      </c>
      <c r="V428" s="10">
        <v>0.08</v>
      </c>
      <c r="W428" s="10">
        <f t="shared" si="73"/>
        <v>0.08</v>
      </c>
      <c r="X428" s="12">
        <v>12</v>
      </c>
      <c r="Y428" s="8">
        <f t="shared" si="66"/>
        <v>5932.7856000000002</v>
      </c>
      <c r="Z428" s="8">
        <f t="shared" si="67"/>
        <v>2779.56</v>
      </c>
      <c r="AA428" s="8">
        <f t="shared" si="74"/>
        <v>3153.2256000000002</v>
      </c>
      <c r="AB428" s="10">
        <f t="shared" si="75"/>
        <v>0.53149158129024587</v>
      </c>
      <c r="AC428" s="14">
        <f>_xlfn.MINIFS($C$2:$C$633, $J$2:$J$633, J428)</f>
        <v>44946</v>
      </c>
      <c r="AD428">
        <f>DATEDIF(AC428, C428, "m")</f>
        <v>16</v>
      </c>
      <c r="AE428" s="8">
        <f t="shared" si="76"/>
        <v>494.39879999999999</v>
      </c>
    </row>
    <row r="429" spans="1:31" x14ac:dyDescent="0.3">
      <c r="A429" s="4" t="s">
        <v>283</v>
      </c>
      <c r="B429" s="6">
        <v>45301</v>
      </c>
      <c r="C429" s="14">
        <v>45301</v>
      </c>
      <c r="D429" s="14" t="str">
        <f t="shared" si="68"/>
        <v>Q1 -2024</v>
      </c>
      <c r="E429" s="6">
        <v>45314</v>
      </c>
      <c r="F429" s="6">
        <f t="shared" si="69"/>
        <v>45314</v>
      </c>
      <c r="G429" s="12">
        <f t="shared" si="70"/>
        <v>13</v>
      </c>
      <c r="H429" s="12">
        <f t="shared" si="71"/>
        <v>0</v>
      </c>
      <c r="I429" s="4" t="s">
        <v>649</v>
      </c>
      <c r="J429" s="4" t="s">
        <v>657</v>
      </c>
      <c r="K429" s="4" t="s">
        <v>673</v>
      </c>
      <c r="L429" t="str">
        <f t="shared" si="72"/>
        <v>Europe&gt;France&gt;Marseille</v>
      </c>
      <c r="M429" s="4" t="s">
        <v>701</v>
      </c>
      <c r="N429" s="4" t="s">
        <v>711</v>
      </c>
      <c r="O429" s="4" t="s">
        <v>720</v>
      </c>
      <c r="P429" s="4" t="s">
        <v>728</v>
      </c>
      <c r="Q429" s="4" t="s">
        <v>1003</v>
      </c>
      <c r="R429" s="8">
        <v>720</v>
      </c>
      <c r="S429" s="8">
        <v>907.59</v>
      </c>
      <c r="T429" s="8">
        <v>907.59</v>
      </c>
      <c r="U429" s="8" t="str">
        <f>IF(T429&lt;=_xlfn.PERCENTILE.INC($T429:$T$633,0.33), "Low", IF(T429&lt;=_xlfn.PERCENTILE.INC($T429:$T$633,0.66), "Medium", "High"))</f>
        <v>Medium</v>
      </c>
      <c r="V429" s="10">
        <v>0.154</v>
      </c>
      <c r="W429" s="10">
        <f t="shared" si="73"/>
        <v>0.154</v>
      </c>
      <c r="X429" s="12">
        <v>10</v>
      </c>
      <c r="Y429" s="8">
        <f t="shared" si="66"/>
        <v>7678.2113999999992</v>
      </c>
      <c r="Z429" s="8">
        <f t="shared" si="67"/>
        <v>7200</v>
      </c>
      <c r="AA429" s="8">
        <f t="shared" si="74"/>
        <v>478.21139999999923</v>
      </c>
      <c r="AB429" s="10">
        <f t="shared" si="75"/>
        <v>6.2281614179052078E-2</v>
      </c>
      <c r="AC429" s="14">
        <f>_xlfn.MINIFS($C$2:$C$633, $J$2:$J$633, J429)</f>
        <v>44936</v>
      </c>
      <c r="AD429">
        <f>DATEDIF(AC429, C429, "m")</f>
        <v>12</v>
      </c>
      <c r="AE429" s="8">
        <f t="shared" si="76"/>
        <v>767.8211399999999</v>
      </c>
    </row>
    <row r="430" spans="1:31" x14ac:dyDescent="0.3">
      <c r="A430" s="4" t="s">
        <v>462</v>
      </c>
      <c r="B430" s="6">
        <v>45446</v>
      </c>
      <c r="C430" s="14">
        <v>45446</v>
      </c>
      <c r="D430" s="14" t="str">
        <f t="shared" si="68"/>
        <v>Q2 -2024</v>
      </c>
      <c r="E430" s="6">
        <v>45467</v>
      </c>
      <c r="F430" s="6">
        <f t="shared" si="69"/>
        <v>45467</v>
      </c>
      <c r="G430" s="12">
        <f t="shared" si="70"/>
        <v>21</v>
      </c>
      <c r="H430" s="12">
        <f t="shared" si="71"/>
        <v>0</v>
      </c>
      <c r="I430" s="4" t="s">
        <v>648</v>
      </c>
      <c r="J430" s="4" t="s">
        <v>653</v>
      </c>
      <c r="K430" s="4" t="s">
        <v>667</v>
      </c>
      <c r="L430" t="str">
        <f t="shared" si="72"/>
        <v>Americas&gt;Canada&gt;Toronto</v>
      </c>
      <c r="M430" s="4" t="s">
        <v>705</v>
      </c>
      <c r="N430" s="4" t="s">
        <v>711</v>
      </c>
      <c r="O430" s="4" t="s">
        <v>715</v>
      </c>
      <c r="P430" s="4" t="s">
        <v>732</v>
      </c>
      <c r="Q430" s="4" t="s">
        <v>1181</v>
      </c>
      <c r="R430" s="8">
        <v>1205.5</v>
      </c>
      <c r="S430" s="8">
        <v>2210.17</v>
      </c>
      <c r="T430" s="8">
        <v>2210.17</v>
      </c>
      <c r="U430" s="8" t="str">
        <f>IF(T430&lt;=_xlfn.PERCENTILE.INC($T430:$T$633,0.33), "Low", IF(T430&lt;=_xlfn.PERCENTILE.INC($T430:$T$633,0.66), "Medium", "High"))</f>
        <v>High</v>
      </c>
      <c r="V430" s="10">
        <v>0.104</v>
      </c>
      <c r="W430" s="10">
        <f t="shared" si="73"/>
        <v>0.104</v>
      </c>
      <c r="X430" s="12">
        <v>23</v>
      </c>
      <c r="Y430" s="8">
        <f t="shared" si="66"/>
        <v>45547.183360000003</v>
      </c>
      <c r="Z430" s="8">
        <f t="shared" si="67"/>
        <v>27726.5</v>
      </c>
      <c r="AA430" s="8">
        <f t="shared" si="74"/>
        <v>17820.683360000003</v>
      </c>
      <c r="AB430" s="10">
        <f t="shared" si="75"/>
        <v>0.39125763758314652</v>
      </c>
      <c r="AC430" s="14">
        <f>_xlfn.MINIFS($C$2:$C$633, $J$2:$J$633, J430)</f>
        <v>44928</v>
      </c>
      <c r="AD430">
        <f>DATEDIF(AC430, C430, "m")</f>
        <v>17</v>
      </c>
      <c r="AE430" s="8">
        <f t="shared" si="76"/>
        <v>1980.3123200000002</v>
      </c>
    </row>
    <row r="431" spans="1:31" x14ac:dyDescent="0.3">
      <c r="A431" s="4" t="s">
        <v>28</v>
      </c>
      <c r="B431" s="6">
        <v>45311</v>
      </c>
      <c r="C431" s="14">
        <v>45311</v>
      </c>
      <c r="D431" s="14" t="str">
        <f t="shared" si="68"/>
        <v>Q1 -2024</v>
      </c>
      <c r="E431" s="6">
        <v>45335</v>
      </c>
      <c r="F431" s="6">
        <f t="shared" si="69"/>
        <v>45335</v>
      </c>
      <c r="G431" s="12">
        <f t="shared" si="70"/>
        <v>24</v>
      </c>
      <c r="H431" s="12">
        <f t="shared" si="71"/>
        <v>0</v>
      </c>
      <c r="I431" s="4" t="s">
        <v>649</v>
      </c>
      <c r="J431" s="4" t="s">
        <v>657</v>
      </c>
      <c r="K431" s="4" t="s">
        <v>673</v>
      </c>
      <c r="L431" t="str">
        <f t="shared" si="72"/>
        <v>Europe&gt;France&gt;Marseille</v>
      </c>
      <c r="M431" s="4" t="s">
        <v>701</v>
      </c>
      <c r="N431" s="4" t="s">
        <v>707</v>
      </c>
      <c r="O431" s="4" t="s">
        <v>722</v>
      </c>
      <c r="P431" s="4" t="s">
        <v>728</v>
      </c>
      <c r="Q431" s="4" t="s">
        <v>747</v>
      </c>
      <c r="R431" s="8">
        <v>643.53</v>
      </c>
      <c r="S431" s="8">
        <v>1439.01</v>
      </c>
      <c r="T431" s="8">
        <v>1439.01</v>
      </c>
      <c r="U431" s="8" t="str">
        <f>IF(T431&lt;=_xlfn.PERCENTILE.INC($T431:$T$633,0.33), "Low", IF(T431&lt;=_xlfn.PERCENTILE.INC($T431:$T$633,0.66), "Medium", "High"))</f>
        <v>Medium</v>
      </c>
      <c r="V431" s="10">
        <v>0</v>
      </c>
      <c r="W431" s="10">
        <f t="shared" si="73"/>
        <v>0</v>
      </c>
      <c r="X431" s="12">
        <v>15</v>
      </c>
      <c r="Y431" s="8">
        <f t="shared" si="66"/>
        <v>21585.15</v>
      </c>
      <c r="Z431" s="8">
        <f t="shared" si="67"/>
        <v>9652.9499999999989</v>
      </c>
      <c r="AA431" s="8">
        <f t="shared" si="74"/>
        <v>11932.200000000003</v>
      </c>
      <c r="AB431" s="10">
        <f t="shared" si="75"/>
        <v>0.55279671440782208</v>
      </c>
      <c r="AC431" s="14">
        <f>_xlfn.MINIFS($C$2:$C$633, $J$2:$J$633, J431)</f>
        <v>44936</v>
      </c>
      <c r="AD431">
        <f>DATEDIF(AC431, C431, "m")</f>
        <v>12</v>
      </c>
      <c r="AE431" s="8">
        <f t="shared" si="76"/>
        <v>1439.01</v>
      </c>
    </row>
    <row r="432" spans="1:31" x14ac:dyDescent="0.3">
      <c r="A432" s="4" t="s">
        <v>373</v>
      </c>
      <c r="B432" s="6">
        <v>45309</v>
      </c>
      <c r="C432" s="14">
        <v>45309</v>
      </c>
      <c r="D432" s="14" t="str">
        <f t="shared" si="68"/>
        <v>Q1 -2024</v>
      </c>
      <c r="E432" s="6">
        <v>45325</v>
      </c>
      <c r="F432" s="6">
        <f t="shared" si="69"/>
        <v>45325</v>
      </c>
      <c r="G432" s="12">
        <f t="shared" si="70"/>
        <v>16</v>
      </c>
      <c r="H432" s="12">
        <f t="shared" si="71"/>
        <v>0</v>
      </c>
      <c r="I432" s="4" t="s">
        <v>646</v>
      </c>
      <c r="J432" s="4" t="s">
        <v>661</v>
      </c>
      <c r="K432" s="4" t="s">
        <v>695</v>
      </c>
      <c r="L432" t="str">
        <f t="shared" si="72"/>
        <v>Africa&gt;South Africa&gt;Cape Town</v>
      </c>
      <c r="M432" s="4" t="s">
        <v>703</v>
      </c>
      <c r="N432" s="4" t="s">
        <v>710</v>
      </c>
      <c r="O432" s="4" t="s">
        <v>716</v>
      </c>
      <c r="P432" s="4" t="s">
        <v>728</v>
      </c>
      <c r="Q432" s="4" t="s">
        <v>1093</v>
      </c>
      <c r="R432" s="8">
        <v>666.23</v>
      </c>
      <c r="S432" s="8">
        <v>1382.91</v>
      </c>
      <c r="T432" s="8">
        <v>1382.91</v>
      </c>
      <c r="U432" s="8" t="str">
        <f>IF(T432&lt;=_xlfn.PERCENTILE.INC($T432:$T$633,0.33), "Low", IF(T432&lt;=_xlfn.PERCENTILE.INC($T432:$T$633,0.66), "Medium", "High"))</f>
        <v>Medium</v>
      </c>
      <c r="V432" s="10">
        <v>0.17599999999999999</v>
      </c>
      <c r="W432" s="10">
        <f t="shared" si="73"/>
        <v>0.17599999999999999</v>
      </c>
      <c r="X432" s="12">
        <v>13</v>
      </c>
      <c r="Y432" s="8">
        <f t="shared" si="66"/>
        <v>14813.731920000002</v>
      </c>
      <c r="Z432" s="8">
        <f t="shared" si="67"/>
        <v>8660.99</v>
      </c>
      <c r="AA432" s="8">
        <f t="shared" si="74"/>
        <v>6152.7419200000022</v>
      </c>
      <c r="AB432" s="10">
        <f t="shared" si="75"/>
        <v>0.41534043907553048</v>
      </c>
      <c r="AC432" s="14">
        <f>_xlfn.MINIFS($C$2:$C$633, $J$2:$J$633, J432)</f>
        <v>44933</v>
      </c>
      <c r="AD432">
        <f>DATEDIF(AC432, C432, "m")</f>
        <v>12</v>
      </c>
      <c r="AE432" s="8">
        <f t="shared" si="76"/>
        <v>1139.5178400000002</v>
      </c>
    </row>
    <row r="433" spans="1:31" x14ac:dyDescent="0.3">
      <c r="A433" s="4" t="s">
        <v>534</v>
      </c>
      <c r="B433" s="6">
        <v>45482</v>
      </c>
      <c r="C433" s="14">
        <v>45482</v>
      </c>
      <c r="D433" s="14" t="str">
        <f t="shared" si="68"/>
        <v>Q3 -2024</v>
      </c>
      <c r="E433" s="6">
        <v>45512</v>
      </c>
      <c r="F433" s="6">
        <f t="shared" si="69"/>
        <v>45512</v>
      </c>
      <c r="G433" s="12">
        <f t="shared" si="70"/>
        <v>30</v>
      </c>
      <c r="H433" s="12">
        <f t="shared" si="71"/>
        <v>0</v>
      </c>
      <c r="I433" s="4" t="s">
        <v>649</v>
      </c>
      <c r="J433" s="4" t="s">
        <v>657</v>
      </c>
      <c r="K433" s="4" t="s">
        <v>673</v>
      </c>
      <c r="L433" t="str">
        <f t="shared" si="72"/>
        <v>Europe&gt;France&gt;Marseille</v>
      </c>
      <c r="M433" s="4" t="s">
        <v>701</v>
      </c>
      <c r="N433" s="4" t="s">
        <v>711</v>
      </c>
      <c r="O433" s="4" t="s">
        <v>713</v>
      </c>
      <c r="P433" s="4" t="s">
        <v>727</v>
      </c>
      <c r="Q433" s="4" t="s">
        <v>1253</v>
      </c>
      <c r="R433" s="8">
        <v>1062.3800000000001</v>
      </c>
      <c r="S433" s="8">
        <v>1503.96</v>
      </c>
      <c r="T433" s="8">
        <v>1503.96</v>
      </c>
      <c r="U433" s="8" t="str">
        <f>IF(T433&lt;=_xlfn.PERCENTILE.INC($T433:$T$633,0.33), "Low", IF(T433&lt;=_xlfn.PERCENTILE.INC($T433:$T$633,0.66), "Medium", "High"))</f>
        <v>Medium</v>
      </c>
      <c r="V433" s="10">
        <v>0.18</v>
      </c>
      <c r="W433" s="10">
        <f t="shared" si="73"/>
        <v>0.18</v>
      </c>
      <c r="X433" s="12">
        <v>6</v>
      </c>
      <c r="Y433" s="8">
        <f t="shared" si="66"/>
        <v>7399.4832000000006</v>
      </c>
      <c r="Z433" s="8">
        <f t="shared" si="67"/>
        <v>6374.2800000000007</v>
      </c>
      <c r="AA433" s="8">
        <f t="shared" si="74"/>
        <v>1025.2031999999999</v>
      </c>
      <c r="AB433" s="10">
        <f t="shared" si="75"/>
        <v>0.13855064905073369</v>
      </c>
      <c r="AC433" s="14">
        <f>_xlfn.MINIFS($C$2:$C$633, $J$2:$J$633, J433)</f>
        <v>44936</v>
      </c>
      <c r="AD433">
        <f>DATEDIF(AC433, C433, "m")</f>
        <v>17</v>
      </c>
      <c r="AE433" s="8">
        <f t="shared" si="76"/>
        <v>1233.2472</v>
      </c>
    </row>
    <row r="434" spans="1:31" x14ac:dyDescent="0.3">
      <c r="A434" s="4" t="s">
        <v>358</v>
      </c>
      <c r="B434" s="6">
        <v>45486</v>
      </c>
      <c r="C434" s="14">
        <v>45486</v>
      </c>
      <c r="D434" s="14" t="str">
        <f t="shared" si="68"/>
        <v>Q3 -2024</v>
      </c>
      <c r="E434" s="6">
        <v>45485</v>
      </c>
      <c r="F434" s="6">
        <f t="shared" si="69"/>
        <v>45492</v>
      </c>
      <c r="G434" s="12">
        <f t="shared" si="70"/>
        <v>6</v>
      </c>
      <c r="H434" s="12">
        <f t="shared" si="71"/>
        <v>1</v>
      </c>
      <c r="I434" s="4" t="s">
        <v>647</v>
      </c>
      <c r="J434" s="4" t="s">
        <v>652</v>
      </c>
      <c r="K434" s="4" t="s">
        <v>694</v>
      </c>
      <c r="L434" t="str">
        <f t="shared" si="72"/>
        <v>Asia&gt;Japan&gt;Nagoya</v>
      </c>
      <c r="M434" s="4" t="s">
        <v>705</v>
      </c>
      <c r="N434" s="4" t="s">
        <v>709</v>
      </c>
      <c r="O434" s="4" t="s">
        <v>721</v>
      </c>
      <c r="P434" s="4" t="s">
        <v>729</v>
      </c>
      <c r="Q434" s="4" t="s">
        <v>1078</v>
      </c>
      <c r="R434" s="8">
        <v>105.13</v>
      </c>
      <c r="S434" s="8">
        <v>244.13</v>
      </c>
      <c r="T434" s="8">
        <v>244.13</v>
      </c>
      <c r="U434" s="8" t="str">
        <f>IF(T434&lt;=_xlfn.PERCENTILE.INC($T434:$T$633,0.33), "Low", IF(T434&lt;=_xlfn.PERCENTILE.INC($T434:$T$633,0.66), "Medium", "High"))</f>
        <v>Low</v>
      </c>
      <c r="V434" s="10">
        <v>7.0999999999999994E-2</v>
      </c>
      <c r="W434" s="10">
        <f t="shared" si="73"/>
        <v>7.0999999999999994E-2</v>
      </c>
      <c r="X434" s="12">
        <v>14</v>
      </c>
      <c r="Y434" s="8">
        <f t="shared" si="66"/>
        <v>3175.1547799999998</v>
      </c>
      <c r="Z434" s="8">
        <f t="shared" si="67"/>
        <v>1471.82</v>
      </c>
      <c r="AA434" s="8">
        <f t="shared" si="74"/>
        <v>1703.3347799999999</v>
      </c>
      <c r="AB434" s="10">
        <f t="shared" si="75"/>
        <v>0.53645724319618837</v>
      </c>
      <c r="AC434" s="14">
        <f>_xlfn.MINIFS($C$2:$C$633, $J$2:$J$633, J434)</f>
        <v>44988</v>
      </c>
      <c r="AD434">
        <f>DATEDIF(AC434, C434, "m")</f>
        <v>16</v>
      </c>
      <c r="AE434" s="8">
        <f t="shared" si="76"/>
        <v>226.79676999999998</v>
      </c>
    </row>
    <row r="435" spans="1:31" x14ac:dyDescent="0.3">
      <c r="A435" s="4" t="s">
        <v>253</v>
      </c>
      <c r="B435" s="6">
        <v>45381</v>
      </c>
      <c r="C435" s="14">
        <v>45381</v>
      </c>
      <c r="D435" s="14" t="str">
        <f t="shared" si="68"/>
        <v>Q1 -2024</v>
      </c>
      <c r="E435" s="6">
        <v>45406</v>
      </c>
      <c r="F435" s="6">
        <f t="shared" si="69"/>
        <v>45406</v>
      </c>
      <c r="G435" s="12">
        <f t="shared" si="70"/>
        <v>25</v>
      </c>
      <c r="H435" s="12">
        <f t="shared" si="71"/>
        <v>0</v>
      </c>
      <c r="I435" s="4" t="s">
        <v>648</v>
      </c>
      <c r="J435" s="4" t="s">
        <v>660</v>
      </c>
      <c r="K435" s="4" t="s">
        <v>697</v>
      </c>
      <c r="L435" t="str">
        <f t="shared" si="72"/>
        <v>Americas&gt;USA&gt;Austin</v>
      </c>
      <c r="M435" s="4" t="s">
        <v>703</v>
      </c>
      <c r="N435" s="4" t="s">
        <v>708</v>
      </c>
      <c r="O435" s="4" t="s">
        <v>715</v>
      </c>
      <c r="P435" s="4" t="s">
        <v>731</v>
      </c>
      <c r="Q435" s="4" t="s">
        <v>973</v>
      </c>
      <c r="R435" s="8">
        <v>160.82</v>
      </c>
      <c r="S435" s="8">
        <v>258.52</v>
      </c>
      <c r="T435" s="8">
        <v>258.52</v>
      </c>
      <c r="U435" s="8" t="str">
        <f>IF(T435&lt;=_xlfn.PERCENTILE.INC($T435:$T$633,0.33), "Low", IF(T435&lt;=_xlfn.PERCENTILE.INC($T435:$T$633,0.66), "Medium", "High"))</f>
        <v>Low</v>
      </c>
      <c r="V435" s="10">
        <v>0.13</v>
      </c>
      <c r="W435" s="10">
        <f t="shared" si="73"/>
        <v>0.13</v>
      </c>
      <c r="X435" s="12">
        <v>17</v>
      </c>
      <c r="Y435" s="8">
        <f t="shared" si="66"/>
        <v>3823.5108</v>
      </c>
      <c r="Z435" s="8">
        <f t="shared" si="67"/>
        <v>2733.94</v>
      </c>
      <c r="AA435" s="8">
        <f t="shared" si="74"/>
        <v>1089.5708</v>
      </c>
      <c r="AB435" s="10">
        <f t="shared" si="75"/>
        <v>0.28496605789631874</v>
      </c>
      <c r="AC435" s="14">
        <f>_xlfn.MINIFS($C$2:$C$633, $J$2:$J$633, J435)</f>
        <v>44939</v>
      </c>
      <c r="AD435">
        <f>DATEDIF(AC435, C435, "m")</f>
        <v>14</v>
      </c>
      <c r="AE435" s="8">
        <f t="shared" si="76"/>
        <v>224.91239999999999</v>
      </c>
    </row>
    <row r="436" spans="1:31" x14ac:dyDescent="0.3">
      <c r="A436" s="4" t="s">
        <v>360</v>
      </c>
      <c r="B436" s="6">
        <v>45498</v>
      </c>
      <c r="C436" s="14">
        <v>45498</v>
      </c>
      <c r="D436" s="14" t="str">
        <f t="shared" si="68"/>
        <v>Q3 -2024</v>
      </c>
      <c r="E436" s="6">
        <v>45506</v>
      </c>
      <c r="F436" s="6">
        <f t="shared" si="69"/>
        <v>45506</v>
      </c>
      <c r="G436" s="12">
        <f t="shared" si="70"/>
        <v>8</v>
      </c>
      <c r="H436" s="12">
        <f t="shared" si="71"/>
        <v>0</v>
      </c>
      <c r="I436" s="4" t="s">
        <v>648</v>
      </c>
      <c r="J436" s="4" t="s">
        <v>653</v>
      </c>
      <c r="K436" s="4" t="s">
        <v>681</v>
      </c>
      <c r="L436" t="str">
        <f t="shared" si="72"/>
        <v>Americas&gt;Canada&gt;Montreal</v>
      </c>
      <c r="M436" s="4" t="s">
        <v>704</v>
      </c>
      <c r="N436" s="4" t="s">
        <v>711</v>
      </c>
      <c r="O436" s="4" t="s">
        <v>713</v>
      </c>
      <c r="P436" s="4" t="s">
        <v>733</v>
      </c>
      <c r="Q436" s="4" t="s">
        <v>1080</v>
      </c>
      <c r="R436" s="8">
        <v>986.81</v>
      </c>
      <c r="S436" s="8">
        <v>2050.31</v>
      </c>
      <c r="T436" s="8">
        <v>2050.31</v>
      </c>
      <c r="U436" s="8" t="str">
        <f>IF(T436&lt;=_xlfn.PERCENTILE.INC($T436:$T$633,0.33), "Low", IF(T436&lt;=_xlfn.PERCENTILE.INC($T436:$T$633,0.66), "Medium", "High"))</f>
        <v>High</v>
      </c>
      <c r="V436" s="10">
        <v>0.10299999999999999</v>
      </c>
      <c r="W436" s="10">
        <f t="shared" si="73"/>
        <v>0.10299999999999999</v>
      </c>
      <c r="X436" s="12">
        <v>43</v>
      </c>
      <c r="Y436" s="8">
        <f t="shared" si="66"/>
        <v>79082.507010000001</v>
      </c>
      <c r="Z436" s="8">
        <f t="shared" si="67"/>
        <v>42432.829999999994</v>
      </c>
      <c r="AA436" s="8">
        <f t="shared" si="74"/>
        <v>36649.677010000007</v>
      </c>
      <c r="AB436" s="10">
        <f t="shared" si="75"/>
        <v>0.46343595310358138</v>
      </c>
      <c r="AC436" s="14">
        <f>_xlfn.MINIFS($C$2:$C$633, $J$2:$J$633, J436)</f>
        <v>44928</v>
      </c>
      <c r="AD436">
        <f>DATEDIF(AC436, C436, "m")</f>
        <v>18</v>
      </c>
      <c r="AE436" s="8">
        <f t="shared" si="76"/>
        <v>1839.12807</v>
      </c>
    </row>
    <row r="437" spans="1:31" x14ac:dyDescent="0.3">
      <c r="A437" s="4" t="s">
        <v>156</v>
      </c>
      <c r="B437" s="6">
        <v>45649</v>
      </c>
      <c r="C437" s="14">
        <v>45649</v>
      </c>
      <c r="D437" s="14" t="str">
        <f t="shared" si="68"/>
        <v>Q4 -2024</v>
      </c>
      <c r="E437" s="6">
        <v>45668</v>
      </c>
      <c r="F437" s="6">
        <f t="shared" si="69"/>
        <v>45668</v>
      </c>
      <c r="G437" s="12">
        <f t="shared" si="70"/>
        <v>19</v>
      </c>
      <c r="H437" s="12">
        <f t="shared" si="71"/>
        <v>0</v>
      </c>
      <c r="I437" s="4" t="s">
        <v>649</v>
      </c>
      <c r="J437" s="4" t="s">
        <v>656</v>
      </c>
      <c r="K437" s="4" t="s">
        <v>671</v>
      </c>
      <c r="L437" t="str">
        <f t="shared" si="72"/>
        <v>Europe&gt;Germany&gt;Berlin</v>
      </c>
      <c r="M437" s="4" t="s">
        <v>702</v>
      </c>
      <c r="N437" s="4" t="s">
        <v>707</v>
      </c>
      <c r="O437" s="4" t="s">
        <v>723</v>
      </c>
      <c r="P437" s="4" t="s">
        <v>730</v>
      </c>
      <c r="Q437" s="4" t="s">
        <v>875</v>
      </c>
      <c r="R437" s="8">
        <v>501.81</v>
      </c>
      <c r="S437" s="8">
        <v>921.62</v>
      </c>
      <c r="T437" s="8">
        <v>921.62</v>
      </c>
      <c r="U437" s="8" t="str">
        <f>IF(T437&lt;=_xlfn.PERCENTILE.INC($T437:$T$633,0.33), "Low", IF(T437&lt;=_xlfn.PERCENTILE.INC($T437:$T$633,0.66), "Medium", "High"))</f>
        <v>Medium</v>
      </c>
      <c r="V437" s="10">
        <v>0.01</v>
      </c>
      <c r="W437" s="10">
        <f t="shared" si="73"/>
        <v>0.01</v>
      </c>
      <c r="X437" s="12">
        <v>9</v>
      </c>
      <c r="Y437" s="8">
        <f t="shared" si="66"/>
        <v>8211.6342000000004</v>
      </c>
      <c r="Z437" s="8">
        <f t="shared" si="67"/>
        <v>4516.29</v>
      </c>
      <c r="AA437" s="8">
        <f t="shared" si="74"/>
        <v>3695.3442000000005</v>
      </c>
      <c r="AB437" s="10">
        <f t="shared" si="75"/>
        <v>0.45001325071202031</v>
      </c>
      <c r="AC437" s="14">
        <f>_xlfn.MINIFS($C$2:$C$633, $J$2:$J$633, J437)</f>
        <v>44948</v>
      </c>
      <c r="AD437">
        <f>DATEDIF(AC437, C437, "m")</f>
        <v>23</v>
      </c>
      <c r="AE437" s="8">
        <f t="shared" si="76"/>
        <v>912.40380000000005</v>
      </c>
    </row>
    <row r="438" spans="1:31" x14ac:dyDescent="0.3">
      <c r="A438" s="4" t="s">
        <v>75</v>
      </c>
      <c r="B438" s="6">
        <v>45361</v>
      </c>
      <c r="C438" s="14">
        <v>45361</v>
      </c>
      <c r="D438" s="14" t="str">
        <f t="shared" si="68"/>
        <v>Q1 -2024</v>
      </c>
      <c r="E438" s="6">
        <v>45391</v>
      </c>
      <c r="F438" s="6">
        <f t="shared" si="69"/>
        <v>45391</v>
      </c>
      <c r="G438" s="12">
        <f t="shared" si="70"/>
        <v>30</v>
      </c>
      <c r="H438" s="12">
        <f t="shared" si="71"/>
        <v>0</v>
      </c>
      <c r="I438" s="4" t="s">
        <v>649</v>
      </c>
      <c r="J438" s="4" t="s">
        <v>657</v>
      </c>
      <c r="K438" s="4" t="s">
        <v>679</v>
      </c>
      <c r="L438" t="str">
        <f t="shared" si="72"/>
        <v>Europe&gt;France&gt;Lyon</v>
      </c>
      <c r="M438" s="4" t="s">
        <v>701</v>
      </c>
      <c r="N438" s="4" t="s">
        <v>711</v>
      </c>
      <c r="O438" s="4" t="s">
        <v>714</v>
      </c>
      <c r="P438" s="4" t="s">
        <v>727</v>
      </c>
      <c r="Q438" s="4" t="s">
        <v>794</v>
      </c>
      <c r="R438" s="8">
        <v>1176.56</v>
      </c>
      <c r="S438" s="8">
        <v>1911.89</v>
      </c>
      <c r="T438" s="8">
        <v>1911.89</v>
      </c>
      <c r="U438" s="8" t="str">
        <f>IF(T438&lt;=_xlfn.PERCENTILE.INC($T438:$T$633,0.33), "Low", IF(T438&lt;=_xlfn.PERCENTILE.INC($T438:$T$633,0.66), "Medium", "High"))</f>
        <v>High</v>
      </c>
      <c r="V438" s="10">
        <v>0.11899999999999999</v>
      </c>
      <c r="W438" s="10">
        <f t="shared" si="73"/>
        <v>0.11899999999999999</v>
      </c>
      <c r="X438" s="12">
        <v>20</v>
      </c>
      <c r="Y438" s="8">
        <f t="shared" si="66"/>
        <v>33687.501800000005</v>
      </c>
      <c r="Z438" s="8">
        <f t="shared" si="67"/>
        <v>23531.199999999997</v>
      </c>
      <c r="AA438" s="8">
        <f t="shared" si="74"/>
        <v>10156.301800000008</v>
      </c>
      <c r="AB438" s="10">
        <f t="shared" si="75"/>
        <v>0.30148575160892477</v>
      </c>
      <c r="AC438" s="14">
        <f>_xlfn.MINIFS($C$2:$C$633, $J$2:$J$633, J438)</f>
        <v>44936</v>
      </c>
      <c r="AD438">
        <f>DATEDIF(AC438, C438, "m")</f>
        <v>14</v>
      </c>
      <c r="AE438" s="8">
        <f t="shared" si="76"/>
        <v>1684.3750900000002</v>
      </c>
    </row>
    <row r="439" spans="1:31" x14ac:dyDescent="0.3">
      <c r="A439" s="4" t="s">
        <v>614</v>
      </c>
      <c r="B439" s="6">
        <v>45360</v>
      </c>
      <c r="C439" s="14">
        <v>45360</v>
      </c>
      <c r="D439" s="14" t="str">
        <f t="shared" si="68"/>
        <v>Q1 -2024</v>
      </c>
      <c r="E439" s="6">
        <v>45373</v>
      </c>
      <c r="F439" s="6">
        <f t="shared" si="69"/>
        <v>45373</v>
      </c>
      <c r="G439" s="12">
        <f t="shared" si="70"/>
        <v>13</v>
      </c>
      <c r="H439" s="12">
        <f t="shared" si="71"/>
        <v>0</v>
      </c>
      <c r="I439" s="4" t="s">
        <v>649</v>
      </c>
      <c r="J439" s="4" t="s">
        <v>658</v>
      </c>
      <c r="K439" s="4" t="s">
        <v>693</v>
      </c>
      <c r="L439" t="str">
        <f t="shared" si="72"/>
        <v>Europe&gt;United Kingdom&gt;Manchester</v>
      </c>
      <c r="M439" s="4" t="s">
        <v>704</v>
      </c>
      <c r="N439" s="4" t="s">
        <v>708</v>
      </c>
      <c r="O439" s="4" t="s">
        <v>718</v>
      </c>
      <c r="P439" s="4" t="s">
        <v>731</v>
      </c>
      <c r="Q439" s="4" t="s">
        <v>1332</v>
      </c>
      <c r="R439" s="8">
        <v>985.45</v>
      </c>
      <c r="S439" s="8">
        <v>1802.44</v>
      </c>
      <c r="T439" s="8">
        <v>1802.44</v>
      </c>
      <c r="U439" s="8" t="str">
        <f>IF(T439&lt;=_xlfn.PERCENTILE.INC($T439:$T$633,0.33), "Low", IF(T439&lt;=_xlfn.PERCENTILE.INC($T439:$T$633,0.66), "Medium", "High"))</f>
        <v>High</v>
      </c>
      <c r="V439" s="10">
        <v>8.9999999999999993E-3</v>
      </c>
      <c r="W439" s="10">
        <f t="shared" si="73"/>
        <v>8.9999999999999993E-3</v>
      </c>
      <c r="X439" s="12">
        <v>19</v>
      </c>
      <c r="Y439" s="8">
        <f t="shared" si="66"/>
        <v>33938.142760000002</v>
      </c>
      <c r="Z439" s="8">
        <f t="shared" si="67"/>
        <v>18723.55</v>
      </c>
      <c r="AA439" s="8">
        <f t="shared" si="74"/>
        <v>15214.592760000003</v>
      </c>
      <c r="AB439" s="10">
        <f t="shared" si="75"/>
        <v>0.44830363486867486</v>
      </c>
      <c r="AC439" s="14">
        <f>_xlfn.MINIFS($C$2:$C$633, $J$2:$J$633, J439)</f>
        <v>44945</v>
      </c>
      <c r="AD439">
        <f>DATEDIF(AC439, C439, "m")</f>
        <v>13</v>
      </c>
      <c r="AE439" s="8">
        <f t="shared" si="76"/>
        <v>1786.2180400000002</v>
      </c>
    </row>
    <row r="440" spans="1:31" x14ac:dyDescent="0.3">
      <c r="A440" s="4" t="s">
        <v>125</v>
      </c>
      <c r="B440" s="6">
        <v>45452</v>
      </c>
      <c r="C440" s="14">
        <v>45452</v>
      </c>
      <c r="D440" s="14" t="str">
        <f t="shared" si="68"/>
        <v>Q2 -2024</v>
      </c>
      <c r="E440" s="6">
        <v>45480</v>
      </c>
      <c r="F440" s="6">
        <f t="shared" si="69"/>
        <v>45480</v>
      </c>
      <c r="G440" s="12">
        <f t="shared" si="70"/>
        <v>28</v>
      </c>
      <c r="H440" s="12">
        <f t="shared" si="71"/>
        <v>0</v>
      </c>
      <c r="I440" s="4" t="s">
        <v>647</v>
      </c>
      <c r="J440" s="4" t="s">
        <v>659</v>
      </c>
      <c r="K440" s="4" t="s">
        <v>676</v>
      </c>
      <c r="L440" t="str">
        <f t="shared" si="72"/>
        <v>Asia&gt;China&gt;Shenzhen</v>
      </c>
      <c r="M440" s="4" t="s">
        <v>701</v>
      </c>
      <c r="N440" s="4" t="s">
        <v>708</v>
      </c>
      <c r="O440" s="4" t="s">
        <v>713</v>
      </c>
      <c r="P440" s="4" t="s">
        <v>727</v>
      </c>
      <c r="Q440" s="4" t="s">
        <v>844</v>
      </c>
      <c r="R440" s="8">
        <v>550.22</v>
      </c>
      <c r="S440" s="8">
        <v>1025.05</v>
      </c>
      <c r="T440" s="8">
        <v>1025.05</v>
      </c>
      <c r="U440" s="8" t="str">
        <f>IF(T440&lt;=_xlfn.PERCENTILE.INC($T440:$T$633,0.33), "Low", IF(T440&lt;=_xlfn.PERCENTILE.INC($T440:$T$633,0.66), "Medium", "High"))</f>
        <v>Medium</v>
      </c>
      <c r="V440" s="10">
        <v>0</v>
      </c>
      <c r="W440" s="10">
        <f t="shared" si="73"/>
        <v>0</v>
      </c>
      <c r="X440" s="12">
        <v>27</v>
      </c>
      <c r="Y440" s="8">
        <f t="shared" si="66"/>
        <v>27676.35</v>
      </c>
      <c r="Z440" s="8">
        <f t="shared" si="67"/>
        <v>14855.94</v>
      </c>
      <c r="AA440" s="8">
        <f t="shared" si="74"/>
        <v>12820.409999999998</v>
      </c>
      <c r="AB440" s="10">
        <f t="shared" si="75"/>
        <v>0.46322618408858102</v>
      </c>
      <c r="AC440" s="14">
        <f>_xlfn.MINIFS($C$2:$C$633, $J$2:$J$633, J440)</f>
        <v>44938</v>
      </c>
      <c r="AD440">
        <f>DATEDIF(AC440, C440, "m")</f>
        <v>16</v>
      </c>
      <c r="AE440" s="8">
        <f t="shared" si="76"/>
        <v>1025.05</v>
      </c>
    </row>
    <row r="441" spans="1:31" x14ac:dyDescent="0.3">
      <c r="A441" s="4" t="s">
        <v>367</v>
      </c>
      <c r="B441" s="6">
        <v>45512</v>
      </c>
      <c r="C441" s="14">
        <v>45512</v>
      </c>
      <c r="D441" s="14" t="str">
        <f t="shared" si="68"/>
        <v>Q3 -2024</v>
      </c>
      <c r="E441" s="6">
        <v>45524</v>
      </c>
      <c r="F441" s="6">
        <f t="shared" si="69"/>
        <v>45524</v>
      </c>
      <c r="G441" s="12">
        <f t="shared" si="70"/>
        <v>12</v>
      </c>
      <c r="H441" s="12">
        <f t="shared" si="71"/>
        <v>0</v>
      </c>
      <c r="I441" s="4" t="s">
        <v>647</v>
      </c>
      <c r="J441" s="4" t="s">
        <v>652</v>
      </c>
      <c r="K441" s="4" t="s">
        <v>666</v>
      </c>
      <c r="L441" t="str">
        <f t="shared" si="72"/>
        <v>Asia&gt;Japan&gt;Osaka</v>
      </c>
      <c r="M441" s="4" t="s">
        <v>705</v>
      </c>
      <c r="N441" s="4" t="s">
        <v>707</v>
      </c>
      <c r="O441" s="4" t="s">
        <v>722</v>
      </c>
      <c r="P441" s="4" t="s">
        <v>729</v>
      </c>
      <c r="Q441" s="4" t="s">
        <v>1087</v>
      </c>
      <c r="R441" s="8">
        <v>1233.3599999999999</v>
      </c>
      <c r="S441" s="8">
        <v>2120.4</v>
      </c>
      <c r="T441" s="8">
        <v>2120.4</v>
      </c>
      <c r="U441" s="8" t="str">
        <f>IF(T441&lt;=_xlfn.PERCENTILE.INC($T441:$T$633,0.33), "Low", IF(T441&lt;=_xlfn.PERCENTILE.INC($T441:$T$633,0.66), "Medium", "High"))</f>
        <v>High</v>
      </c>
      <c r="V441" s="10">
        <v>0.17899999999999999</v>
      </c>
      <c r="W441" s="10">
        <f t="shared" si="73"/>
        <v>0.17899999999999999</v>
      </c>
      <c r="X441" s="12">
        <v>20</v>
      </c>
      <c r="Y441" s="8">
        <f t="shared" si="66"/>
        <v>34816.968000000001</v>
      </c>
      <c r="Z441" s="8">
        <f t="shared" si="67"/>
        <v>24667.199999999997</v>
      </c>
      <c r="AA441" s="8">
        <f t="shared" si="74"/>
        <v>10149.768000000004</v>
      </c>
      <c r="AB441" s="10">
        <f t="shared" si="75"/>
        <v>0.29151785991244278</v>
      </c>
      <c r="AC441" s="14">
        <f>_xlfn.MINIFS($C$2:$C$633, $J$2:$J$633, J441)</f>
        <v>44988</v>
      </c>
      <c r="AD441">
        <f>DATEDIF(AC441, C441, "m")</f>
        <v>17</v>
      </c>
      <c r="AE441" s="8">
        <f t="shared" si="76"/>
        <v>1740.8484000000001</v>
      </c>
    </row>
    <row r="442" spans="1:31" x14ac:dyDescent="0.3">
      <c r="A442" s="4" t="s">
        <v>127</v>
      </c>
      <c r="B442" s="6">
        <v>45472</v>
      </c>
      <c r="C442" s="14">
        <v>45472</v>
      </c>
      <c r="D442" s="14" t="str">
        <f t="shared" si="68"/>
        <v>Q2 -2024</v>
      </c>
      <c r="E442" s="6">
        <v>45499</v>
      </c>
      <c r="F442" s="6">
        <f t="shared" si="69"/>
        <v>45499</v>
      </c>
      <c r="G442" s="12">
        <f t="shared" si="70"/>
        <v>27</v>
      </c>
      <c r="H442" s="12">
        <f t="shared" si="71"/>
        <v>0</v>
      </c>
      <c r="I442" s="4" t="s">
        <v>646</v>
      </c>
      <c r="J442" s="4" t="s">
        <v>661</v>
      </c>
      <c r="K442" s="4" t="s">
        <v>687</v>
      </c>
      <c r="L442" t="str">
        <f t="shared" si="72"/>
        <v>Africa&gt;South Africa&gt;Durban</v>
      </c>
      <c r="M442" s="4" t="s">
        <v>706</v>
      </c>
      <c r="N442" s="4" t="s">
        <v>710</v>
      </c>
      <c r="O442" s="4" t="s">
        <v>717</v>
      </c>
      <c r="P442" s="4" t="s">
        <v>729</v>
      </c>
      <c r="Q442" s="4" t="s">
        <v>846</v>
      </c>
      <c r="R442" s="8">
        <v>5.36</v>
      </c>
      <c r="S442" s="8">
        <v>4.37</v>
      </c>
      <c r="T442" s="8">
        <v>4.37</v>
      </c>
      <c r="U442" s="8" t="str">
        <f>IF(T442&lt;=_xlfn.PERCENTILE.INC($T442:$T$633,0.33), "Low", IF(T442&lt;=_xlfn.PERCENTILE.INC($T442:$T$633,0.66), "Medium", "High"))</f>
        <v>Low</v>
      </c>
      <c r="V442" s="10">
        <v>0.11799999999999999</v>
      </c>
      <c r="W442" s="10">
        <f t="shared" si="73"/>
        <v>0.11799999999999999</v>
      </c>
      <c r="X442" s="12">
        <v>9</v>
      </c>
      <c r="Y442" s="8">
        <f t="shared" si="66"/>
        <v>34.689059999999998</v>
      </c>
      <c r="Z442" s="8">
        <f t="shared" si="67"/>
        <v>48.24</v>
      </c>
      <c r="AA442" s="8">
        <f t="shared" si="74"/>
        <v>-13.550940000000004</v>
      </c>
      <c r="AB442" s="10">
        <f t="shared" si="75"/>
        <v>-0.39064016148030545</v>
      </c>
      <c r="AC442" s="14">
        <f>_xlfn.MINIFS($C$2:$C$633, $J$2:$J$633, J442)</f>
        <v>44933</v>
      </c>
      <c r="AD442">
        <f>DATEDIF(AC442, C442, "m")</f>
        <v>17</v>
      </c>
      <c r="AE442" s="8">
        <f t="shared" si="76"/>
        <v>3.8543399999999997</v>
      </c>
    </row>
    <row r="443" spans="1:31" x14ac:dyDescent="0.3">
      <c r="A443" s="4" t="s">
        <v>369</v>
      </c>
      <c r="B443" s="6">
        <v>45292</v>
      </c>
      <c r="C443" s="14">
        <v>45292</v>
      </c>
      <c r="D443" s="14" t="str">
        <f t="shared" si="68"/>
        <v>Q1 -2024</v>
      </c>
      <c r="E443" s="6">
        <v>45318</v>
      </c>
      <c r="F443" s="6">
        <f t="shared" si="69"/>
        <v>45318</v>
      </c>
      <c r="G443" s="12">
        <f t="shared" si="70"/>
        <v>26</v>
      </c>
      <c r="H443" s="12">
        <f t="shared" si="71"/>
        <v>0</v>
      </c>
      <c r="I443" s="4" t="s">
        <v>649</v>
      </c>
      <c r="J443" s="4" t="s">
        <v>658</v>
      </c>
      <c r="K443" s="4" t="s">
        <v>693</v>
      </c>
      <c r="L443" t="str">
        <f t="shared" si="72"/>
        <v>Europe&gt;United Kingdom&gt;Manchester</v>
      </c>
      <c r="M443" s="4" t="s">
        <v>702</v>
      </c>
      <c r="N443" s="4" t="s">
        <v>710</v>
      </c>
      <c r="O443" s="4" t="s">
        <v>726</v>
      </c>
      <c r="P443" s="4" t="s">
        <v>733</v>
      </c>
      <c r="Q443" s="4" t="s">
        <v>1089</v>
      </c>
      <c r="R443" s="8">
        <v>657.45</v>
      </c>
      <c r="S443" s="8">
        <v>1325.96</v>
      </c>
      <c r="T443" s="8">
        <v>1325.96</v>
      </c>
      <c r="U443" s="8" t="str">
        <f>IF(T443&lt;=_xlfn.PERCENTILE.INC($T443:$T$633,0.33), "Low", IF(T443&lt;=_xlfn.PERCENTILE.INC($T443:$T$633,0.66), "Medium", "High"))</f>
        <v>Medium</v>
      </c>
      <c r="V443" s="10">
        <v>0.16700000000000001</v>
      </c>
      <c r="W443" s="10">
        <f t="shared" si="73"/>
        <v>0.16700000000000001</v>
      </c>
      <c r="X443" s="12">
        <v>21</v>
      </c>
      <c r="Y443" s="8">
        <f t="shared" si="66"/>
        <v>23195.01828</v>
      </c>
      <c r="Z443" s="8">
        <f t="shared" si="67"/>
        <v>13806.45</v>
      </c>
      <c r="AA443" s="8">
        <f t="shared" si="74"/>
        <v>9388.5682799999995</v>
      </c>
      <c r="AB443" s="10">
        <f t="shared" si="75"/>
        <v>0.40476658249048808</v>
      </c>
      <c r="AC443" s="14">
        <f>_xlfn.MINIFS($C$2:$C$633, $J$2:$J$633, J443)</f>
        <v>44945</v>
      </c>
      <c r="AD443">
        <f>DATEDIF(AC443, C443, "m")</f>
        <v>11</v>
      </c>
      <c r="AE443" s="8">
        <f t="shared" si="76"/>
        <v>1104.52468</v>
      </c>
    </row>
    <row r="444" spans="1:31" x14ac:dyDescent="0.3">
      <c r="A444" s="4" t="s">
        <v>327</v>
      </c>
      <c r="B444" s="6">
        <v>45600</v>
      </c>
      <c r="C444" s="14">
        <v>45600</v>
      </c>
      <c r="D444" s="14" t="str">
        <f t="shared" si="68"/>
        <v>Q4 -2024</v>
      </c>
      <c r="E444" s="6">
        <v>45601</v>
      </c>
      <c r="F444" s="6">
        <f t="shared" si="69"/>
        <v>45601</v>
      </c>
      <c r="G444" s="12">
        <f t="shared" si="70"/>
        <v>1</v>
      </c>
      <c r="H444" s="12">
        <f t="shared" si="71"/>
        <v>1</v>
      </c>
      <c r="I444" s="4" t="s">
        <v>649</v>
      </c>
      <c r="J444" s="4" t="s">
        <v>658</v>
      </c>
      <c r="K444" s="4" t="s">
        <v>683</v>
      </c>
      <c r="L444" t="str">
        <f t="shared" si="72"/>
        <v>Europe&gt;United Kingdom&gt;London</v>
      </c>
      <c r="M444" s="4" t="s">
        <v>701</v>
      </c>
      <c r="N444" s="4" t="s">
        <v>707</v>
      </c>
      <c r="O444" s="4" t="s">
        <v>724</v>
      </c>
      <c r="P444" s="4" t="s">
        <v>728</v>
      </c>
      <c r="Q444" s="4" t="s">
        <v>1047</v>
      </c>
      <c r="R444" s="8">
        <v>840.68</v>
      </c>
      <c r="S444" s="8">
        <v>1493.53</v>
      </c>
      <c r="T444" s="8">
        <v>1493.53</v>
      </c>
      <c r="U444" s="8" t="str">
        <f>IF(T444&lt;=_xlfn.PERCENTILE.INC($T444:$T$633,0.33), "Low", IF(T444&lt;=_xlfn.PERCENTILE.INC($T444:$T$633,0.66), "Medium", "High"))</f>
        <v>Medium</v>
      </c>
      <c r="V444" s="10">
        <v>0</v>
      </c>
      <c r="W444" s="10">
        <f t="shared" si="73"/>
        <v>0</v>
      </c>
      <c r="X444" s="12">
        <v>27</v>
      </c>
      <c r="Y444" s="8">
        <f t="shared" si="66"/>
        <v>40325.31</v>
      </c>
      <c r="Z444" s="8">
        <f t="shared" si="67"/>
        <v>22698.359999999997</v>
      </c>
      <c r="AA444" s="8">
        <f t="shared" si="74"/>
        <v>17626.95</v>
      </c>
      <c r="AB444" s="10">
        <f t="shared" si="75"/>
        <v>0.43711877230454027</v>
      </c>
      <c r="AC444" s="14">
        <f>_xlfn.MINIFS($C$2:$C$633, $J$2:$J$633, J444)</f>
        <v>44945</v>
      </c>
      <c r="AD444">
        <f>DATEDIF(AC444, C444, "m")</f>
        <v>21</v>
      </c>
      <c r="AE444" s="8">
        <f t="shared" si="76"/>
        <v>1493.53</v>
      </c>
    </row>
    <row r="445" spans="1:31" x14ac:dyDescent="0.3">
      <c r="A445" s="4" t="s">
        <v>631</v>
      </c>
      <c r="B445" s="6">
        <v>45643</v>
      </c>
      <c r="C445" s="14">
        <v>45643</v>
      </c>
      <c r="D445" s="14" t="str">
        <f t="shared" si="68"/>
        <v>Q4 -2024</v>
      </c>
      <c r="E445" s="6">
        <v>45673</v>
      </c>
      <c r="F445" s="6">
        <f t="shared" si="69"/>
        <v>45673</v>
      </c>
      <c r="G445" s="12">
        <f t="shared" si="70"/>
        <v>30</v>
      </c>
      <c r="H445" s="12">
        <f t="shared" si="71"/>
        <v>0</v>
      </c>
      <c r="I445" s="4" t="s">
        <v>649</v>
      </c>
      <c r="J445" s="4" t="s">
        <v>658</v>
      </c>
      <c r="K445" s="4" t="s">
        <v>693</v>
      </c>
      <c r="L445" t="str">
        <f t="shared" si="72"/>
        <v>Europe&gt;United Kingdom&gt;Manchester</v>
      </c>
      <c r="M445" s="4" t="s">
        <v>701</v>
      </c>
      <c r="N445" s="4" t="s">
        <v>707</v>
      </c>
      <c r="O445" s="4" t="s">
        <v>726</v>
      </c>
      <c r="P445" s="4" t="s">
        <v>732</v>
      </c>
      <c r="Q445" s="4" t="s">
        <v>1349</v>
      </c>
      <c r="R445" s="8">
        <v>722.87</v>
      </c>
      <c r="S445" s="8">
        <v>-33.659999999999997</v>
      </c>
      <c r="T445" s="8">
        <v>33.659999999999997</v>
      </c>
      <c r="U445" s="8" t="str">
        <f>IF(T445&lt;=_xlfn.PERCENTILE.INC($T445:$T$633,0.33), "Low", IF(T445&lt;=_xlfn.PERCENTILE.INC($T445:$T$633,0.66), "Medium", "High"))</f>
        <v>Low</v>
      </c>
      <c r="V445" s="10">
        <v>0.10199999999999999</v>
      </c>
      <c r="W445" s="10">
        <f t="shared" si="73"/>
        <v>0.10199999999999999</v>
      </c>
      <c r="X445" s="12">
        <v>28</v>
      </c>
      <c r="Y445" s="8">
        <f t="shared" si="66"/>
        <v>846.34703999999988</v>
      </c>
      <c r="Z445" s="8">
        <f t="shared" si="67"/>
        <v>20240.36</v>
      </c>
      <c r="AA445" s="8">
        <f t="shared" si="74"/>
        <v>-19394.01296</v>
      </c>
      <c r="AB445" s="10">
        <f t="shared" si="75"/>
        <v>-22.914965189693348</v>
      </c>
      <c r="AC445" s="14">
        <f>_xlfn.MINIFS($C$2:$C$633, $J$2:$J$633, J445)</f>
        <v>44945</v>
      </c>
      <c r="AD445">
        <f>DATEDIF(AC445, C445, "m")</f>
        <v>22</v>
      </c>
      <c r="AE445" s="8">
        <f t="shared" si="76"/>
        <v>30.226679999999995</v>
      </c>
    </row>
    <row r="446" spans="1:31" x14ac:dyDescent="0.3">
      <c r="A446" s="4" t="s">
        <v>87</v>
      </c>
      <c r="B446" s="6">
        <v>45394</v>
      </c>
      <c r="C446" s="14">
        <v>45394</v>
      </c>
      <c r="D446" s="14" t="str">
        <f t="shared" si="68"/>
        <v>Q2 -2024</v>
      </c>
      <c r="E446" s="6">
        <v>45419</v>
      </c>
      <c r="F446" s="6">
        <f t="shared" si="69"/>
        <v>45419</v>
      </c>
      <c r="G446" s="12">
        <f t="shared" si="70"/>
        <v>25</v>
      </c>
      <c r="H446" s="12">
        <f t="shared" si="71"/>
        <v>0</v>
      </c>
      <c r="I446" s="4" t="s">
        <v>646</v>
      </c>
      <c r="J446" s="4" t="s">
        <v>661</v>
      </c>
      <c r="K446" s="4" t="s">
        <v>682</v>
      </c>
      <c r="L446" t="str">
        <f t="shared" si="72"/>
        <v>Africa&gt;South Africa&gt;Johannesburg</v>
      </c>
      <c r="M446" s="4" t="s">
        <v>702</v>
      </c>
      <c r="N446" s="4" t="s">
        <v>710</v>
      </c>
      <c r="O446" s="4" t="s">
        <v>720</v>
      </c>
      <c r="P446" s="4" t="s">
        <v>731</v>
      </c>
      <c r="Q446" s="4" t="s">
        <v>806</v>
      </c>
      <c r="R446" s="8">
        <v>1376.51</v>
      </c>
      <c r="S446" s="8">
        <v>1455.91</v>
      </c>
      <c r="T446" s="8">
        <v>1455.91</v>
      </c>
      <c r="U446" s="8" t="str">
        <f>IF(T446&lt;=_xlfn.PERCENTILE.INC($T446:$T$633,0.33), "Low", IF(T446&lt;=_xlfn.PERCENTILE.INC($T446:$T$633,0.66), "Medium", "High"))</f>
        <v>Medium</v>
      </c>
      <c r="V446" s="10">
        <v>0.185</v>
      </c>
      <c r="W446" s="10">
        <f t="shared" si="73"/>
        <v>0.185</v>
      </c>
      <c r="X446" s="12">
        <v>17</v>
      </c>
      <c r="Y446" s="8">
        <f t="shared" si="66"/>
        <v>20171.63305</v>
      </c>
      <c r="Z446" s="8">
        <f t="shared" si="67"/>
        <v>23400.67</v>
      </c>
      <c r="AA446" s="8">
        <f t="shared" si="74"/>
        <v>-3229.0369499999979</v>
      </c>
      <c r="AB446" s="10">
        <f t="shared" si="75"/>
        <v>-0.1600781127634085</v>
      </c>
      <c r="AC446" s="14">
        <f>_xlfn.MINIFS($C$2:$C$633, $J$2:$J$633, J446)</f>
        <v>44933</v>
      </c>
      <c r="AD446">
        <f>DATEDIF(AC446, C446, "m")</f>
        <v>15</v>
      </c>
      <c r="AE446" s="8">
        <f t="shared" si="76"/>
        <v>1186.56665</v>
      </c>
    </row>
    <row r="447" spans="1:31" x14ac:dyDescent="0.3">
      <c r="A447" s="4" t="s">
        <v>184</v>
      </c>
      <c r="B447" s="6">
        <v>45574</v>
      </c>
      <c r="C447" s="14">
        <v>45574</v>
      </c>
      <c r="D447" s="14" t="str">
        <f t="shared" si="68"/>
        <v>Q4 -2024</v>
      </c>
      <c r="E447" s="6">
        <v>45604</v>
      </c>
      <c r="F447" s="6">
        <f t="shared" si="69"/>
        <v>45604</v>
      </c>
      <c r="G447" s="12">
        <f t="shared" si="70"/>
        <v>30</v>
      </c>
      <c r="H447" s="12">
        <f t="shared" si="71"/>
        <v>0</v>
      </c>
      <c r="I447" s="4" t="s">
        <v>649</v>
      </c>
      <c r="J447" s="4" t="s">
        <v>658</v>
      </c>
      <c r="K447" s="4" t="s">
        <v>693</v>
      </c>
      <c r="L447" t="str">
        <f t="shared" si="72"/>
        <v>Europe&gt;United Kingdom&gt;Manchester</v>
      </c>
      <c r="M447" s="4" t="s">
        <v>705</v>
      </c>
      <c r="N447" s="4" t="s">
        <v>710</v>
      </c>
      <c r="O447" s="4" t="s">
        <v>713</v>
      </c>
      <c r="P447" s="4" t="s">
        <v>727</v>
      </c>
      <c r="Q447" s="4" t="s">
        <v>903</v>
      </c>
      <c r="R447" s="8">
        <v>343.85</v>
      </c>
      <c r="S447" s="8">
        <v>538.04</v>
      </c>
      <c r="T447" s="8">
        <v>538.04</v>
      </c>
      <c r="U447" s="8" t="str">
        <f>IF(T447&lt;=_xlfn.PERCENTILE.INC($T447:$T$633,0.33), "Low", IF(T447&lt;=_xlfn.PERCENTILE.INC($T447:$T$633,0.66), "Medium", "High"))</f>
        <v>Low</v>
      </c>
      <c r="V447" s="10">
        <v>0.13900000000000001</v>
      </c>
      <c r="W447" s="10">
        <f t="shared" si="73"/>
        <v>0.13900000000000001</v>
      </c>
      <c r="X447" s="12">
        <v>5</v>
      </c>
      <c r="Y447" s="8">
        <f t="shared" si="66"/>
        <v>2316.2621999999997</v>
      </c>
      <c r="Z447" s="8">
        <f t="shared" si="67"/>
        <v>1719.25</v>
      </c>
      <c r="AA447" s="8">
        <f t="shared" si="74"/>
        <v>597.01219999999967</v>
      </c>
      <c r="AB447" s="10">
        <f t="shared" si="75"/>
        <v>0.25774810813732563</v>
      </c>
      <c r="AC447" s="14">
        <f>_xlfn.MINIFS($C$2:$C$633, $J$2:$J$633, J447)</f>
        <v>44945</v>
      </c>
      <c r="AD447">
        <f>DATEDIF(AC447, C447, "m")</f>
        <v>20</v>
      </c>
      <c r="AE447" s="8">
        <f t="shared" si="76"/>
        <v>463.25243999999992</v>
      </c>
    </row>
    <row r="448" spans="1:31" x14ac:dyDescent="0.3">
      <c r="A448" s="4" t="s">
        <v>607</v>
      </c>
      <c r="B448" s="6">
        <v>45504</v>
      </c>
      <c r="C448" s="14">
        <v>45504</v>
      </c>
      <c r="D448" s="14" t="str">
        <f t="shared" si="68"/>
        <v>Q3 -2024</v>
      </c>
      <c r="E448" s="6">
        <v>45519</v>
      </c>
      <c r="F448" s="6">
        <f t="shared" si="69"/>
        <v>45519</v>
      </c>
      <c r="G448" s="12">
        <f t="shared" si="70"/>
        <v>15</v>
      </c>
      <c r="H448" s="12">
        <f t="shared" si="71"/>
        <v>0</v>
      </c>
      <c r="I448" s="4" t="s">
        <v>647</v>
      </c>
      <c r="J448" s="4" t="s">
        <v>652</v>
      </c>
      <c r="K448" s="4" t="s">
        <v>689</v>
      </c>
      <c r="L448" t="str">
        <f t="shared" si="72"/>
        <v>Asia&gt;Japan&gt;Tokyo</v>
      </c>
      <c r="M448" s="4" t="s">
        <v>701</v>
      </c>
      <c r="N448" s="4" t="s">
        <v>709</v>
      </c>
      <c r="O448" s="4" t="s">
        <v>721</v>
      </c>
      <c r="P448" s="4" t="s">
        <v>732</v>
      </c>
      <c r="Q448" s="4" t="s">
        <v>1325</v>
      </c>
      <c r="R448" s="8">
        <v>1252.52</v>
      </c>
      <c r="S448" s="8">
        <v>1417.24</v>
      </c>
      <c r="T448" s="8">
        <v>1417.24</v>
      </c>
      <c r="U448" s="8" t="str">
        <f>IF(T448&lt;=_xlfn.PERCENTILE.INC($T448:$T$633,0.33), "Low", IF(T448&lt;=_xlfn.PERCENTILE.INC($T448:$T$633,0.66), "Medium", "High"))</f>
        <v>Medium</v>
      </c>
      <c r="V448" s="10">
        <v>0.192</v>
      </c>
      <c r="W448" s="10">
        <f t="shared" si="73"/>
        <v>0.192</v>
      </c>
      <c r="X448" s="12">
        <v>5</v>
      </c>
      <c r="Y448" s="8">
        <f t="shared" si="66"/>
        <v>5725.6496000000006</v>
      </c>
      <c r="Z448" s="8">
        <f t="shared" si="67"/>
        <v>6262.6</v>
      </c>
      <c r="AA448" s="8">
        <f t="shared" si="74"/>
        <v>-536.95039999999972</v>
      </c>
      <c r="AB448" s="10">
        <f t="shared" si="75"/>
        <v>-9.3779821943696953E-2</v>
      </c>
      <c r="AC448" s="14">
        <f>_xlfn.MINIFS($C$2:$C$633, $J$2:$J$633, J448)</f>
        <v>44988</v>
      </c>
      <c r="AD448">
        <f>DATEDIF(AC448, C448, "m")</f>
        <v>16</v>
      </c>
      <c r="AE448" s="8">
        <f t="shared" si="76"/>
        <v>1145.1299200000001</v>
      </c>
    </row>
    <row r="449" spans="1:31" x14ac:dyDescent="0.3">
      <c r="A449" s="4" t="s">
        <v>290</v>
      </c>
      <c r="B449" s="6">
        <v>45378</v>
      </c>
      <c r="C449" s="14">
        <v>45378</v>
      </c>
      <c r="D449" s="14" t="str">
        <f t="shared" si="68"/>
        <v>Q1 -2024</v>
      </c>
      <c r="E449" s="6">
        <v>45393</v>
      </c>
      <c r="F449" s="6">
        <f t="shared" si="69"/>
        <v>45393</v>
      </c>
      <c r="G449" s="12">
        <f t="shared" si="70"/>
        <v>15</v>
      </c>
      <c r="H449" s="12">
        <f t="shared" si="71"/>
        <v>0</v>
      </c>
      <c r="I449" s="4" t="s">
        <v>648</v>
      </c>
      <c r="J449" s="4" t="s">
        <v>660</v>
      </c>
      <c r="K449" s="4" t="s">
        <v>686</v>
      </c>
      <c r="L449" t="str">
        <f t="shared" si="72"/>
        <v>Americas&gt;USA&gt;San Francisco</v>
      </c>
      <c r="M449" s="4" t="s">
        <v>705</v>
      </c>
      <c r="N449" s="4" t="s">
        <v>711</v>
      </c>
      <c r="O449" s="4" t="s">
        <v>719</v>
      </c>
      <c r="P449" s="4" t="s">
        <v>729</v>
      </c>
      <c r="Q449" s="4" t="s">
        <v>1010</v>
      </c>
      <c r="R449" s="8">
        <v>1338.35</v>
      </c>
      <c r="S449" s="8">
        <v>2247.14</v>
      </c>
      <c r="T449" s="8">
        <v>2247.14</v>
      </c>
      <c r="U449" s="8" t="str">
        <f>IF(T449&lt;=_xlfn.PERCENTILE.INC($T449:$T$633,0.33), "Low", IF(T449&lt;=_xlfn.PERCENTILE.INC($T449:$T$633,0.66), "Medium", "High"))</f>
        <v>High</v>
      </c>
      <c r="V449" s="10">
        <v>0.115</v>
      </c>
      <c r="W449" s="10">
        <f t="shared" si="73"/>
        <v>0.115</v>
      </c>
      <c r="X449" s="12">
        <v>40</v>
      </c>
      <c r="Y449" s="8">
        <f t="shared" si="66"/>
        <v>79548.755999999994</v>
      </c>
      <c r="Z449" s="8">
        <f t="shared" si="67"/>
        <v>53534</v>
      </c>
      <c r="AA449" s="8">
        <f t="shared" si="74"/>
        <v>26014.755999999994</v>
      </c>
      <c r="AB449" s="10">
        <f t="shared" si="75"/>
        <v>0.32702907384246205</v>
      </c>
      <c r="AC449" s="14">
        <f>_xlfn.MINIFS($C$2:$C$633, $J$2:$J$633, J449)</f>
        <v>44939</v>
      </c>
      <c r="AD449">
        <f>DATEDIF(AC449, C449, "m")</f>
        <v>14</v>
      </c>
      <c r="AE449" s="8">
        <f t="shared" si="76"/>
        <v>1988.7188999999998</v>
      </c>
    </row>
    <row r="450" spans="1:31" x14ac:dyDescent="0.3">
      <c r="A450" s="4" t="s">
        <v>192</v>
      </c>
      <c r="B450" s="6">
        <v>45325</v>
      </c>
      <c r="C450" s="14">
        <v>45325</v>
      </c>
      <c r="D450" s="14" t="str">
        <f t="shared" si="68"/>
        <v>Q1 -2024</v>
      </c>
      <c r="E450" s="6">
        <v>45343</v>
      </c>
      <c r="F450" s="6">
        <f t="shared" si="69"/>
        <v>45343</v>
      </c>
      <c r="G450" s="12">
        <f t="shared" si="70"/>
        <v>18</v>
      </c>
      <c r="H450" s="12">
        <f t="shared" si="71"/>
        <v>0</v>
      </c>
      <c r="I450" s="4" t="s">
        <v>649</v>
      </c>
      <c r="J450" s="4" t="s">
        <v>656</v>
      </c>
      <c r="K450" s="4" t="s">
        <v>698</v>
      </c>
      <c r="L450" t="str">
        <f t="shared" si="72"/>
        <v>Europe&gt;Germany&gt;Frankfurt</v>
      </c>
      <c r="M450" s="4" t="s">
        <v>701</v>
      </c>
      <c r="N450" s="4" t="s">
        <v>707</v>
      </c>
      <c r="O450" s="4" t="s">
        <v>722</v>
      </c>
      <c r="P450" s="4" t="s">
        <v>727</v>
      </c>
      <c r="Q450" s="4" t="s">
        <v>911</v>
      </c>
      <c r="R450" s="8">
        <v>39.229999999999997</v>
      </c>
      <c r="S450" s="8">
        <v>30.09</v>
      </c>
      <c r="T450" s="8">
        <v>30.09</v>
      </c>
      <c r="U450" s="8" t="str">
        <f>IF(T450&lt;=_xlfn.PERCENTILE.INC($T450:$T$633,0.33), "Low", IF(T450&lt;=_xlfn.PERCENTILE.INC($T450:$T$633,0.66), "Medium", "High"))</f>
        <v>Low</v>
      </c>
      <c r="V450" s="10">
        <v>0.17699999999999999</v>
      </c>
      <c r="W450" s="10">
        <f t="shared" si="73"/>
        <v>0.17699999999999999</v>
      </c>
      <c r="X450" s="12">
        <v>13</v>
      </c>
      <c r="Y450" s="8">
        <f t="shared" ref="Y450:Y513" si="77">(T450*X450*(1-W450))</f>
        <v>321.93290999999999</v>
      </c>
      <c r="Z450" s="8">
        <f t="shared" ref="Z450:Z513" si="78">R450*X450</f>
        <v>509.98999999999995</v>
      </c>
      <c r="AA450" s="8">
        <f t="shared" si="74"/>
        <v>-188.05708999999996</v>
      </c>
      <c r="AB450" s="10">
        <f t="shared" si="75"/>
        <v>-0.58414993981199359</v>
      </c>
      <c r="AC450" s="14">
        <f>_xlfn.MINIFS($C$2:$C$633, $J$2:$J$633, J450)</f>
        <v>44948</v>
      </c>
      <c r="AD450">
        <f>DATEDIF(AC450, C450, "m")</f>
        <v>12</v>
      </c>
      <c r="AE450" s="8">
        <f t="shared" si="76"/>
        <v>24.76407</v>
      </c>
    </row>
    <row r="451" spans="1:31" x14ac:dyDescent="0.3">
      <c r="A451" s="4" t="s">
        <v>525</v>
      </c>
      <c r="B451" s="6">
        <v>45353</v>
      </c>
      <c r="C451" s="14">
        <v>45353</v>
      </c>
      <c r="D451" s="14" t="str">
        <f t="shared" ref="D451:D514" si="79">IF(MONTH(C451) &lt;=3, "Q1", IF(MONTH(C451)&lt;=6, "Q2", IF(MONTH(C451)&lt;=9, "Q3", "Q4")))&amp; " -" &amp; YEAR(C451)</f>
        <v>Q1 -2024</v>
      </c>
      <c r="E451" s="6">
        <v>45374</v>
      </c>
      <c r="F451" s="6">
        <f t="shared" ref="F451:F514" si="80">IF(E451&lt;B451, E451 + 7, E451)</f>
        <v>45374</v>
      </c>
      <c r="G451" s="12">
        <f t="shared" ref="G451:G514" si="81">DATEDIF(B451, F451,"D")</f>
        <v>21</v>
      </c>
      <c r="H451" s="12">
        <f t="shared" ref="H451:H514" si="82">IF(G451&lt;=7,1,0)</f>
        <v>0</v>
      </c>
      <c r="I451" s="4" t="s">
        <v>648</v>
      </c>
      <c r="J451" s="4" t="s">
        <v>660</v>
      </c>
      <c r="K451" s="4" t="s">
        <v>677</v>
      </c>
      <c r="L451" t="str">
        <f t="shared" ref="L451:L514" si="83">I451&amp;"&gt;"&amp;J451 &amp;"&gt;"&amp;K451</f>
        <v>Americas&gt;USA&gt;Chicago</v>
      </c>
      <c r="M451" s="4" t="s">
        <v>705</v>
      </c>
      <c r="N451" s="4" t="s">
        <v>708</v>
      </c>
      <c r="O451" s="4" t="s">
        <v>721</v>
      </c>
      <c r="P451" s="4" t="s">
        <v>727</v>
      </c>
      <c r="Q451" s="4" t="s">
        <v>1244</v>
      </c>
      <c r="R451" s="8">
        <v>225.01</v>
      </c>
      <c r="S451" s="8">
        <v>333.48</v>
      </c>
      <c r="T451" s="8">
        <v>333.48</v>
      </c>
      <c r="U451" s="8" t="str">
        <f>IF(T451&lt;=_xlfn.PERCENTILE.INC($T451:$T$633,0.33), "Low", IF(T451&lt;=_xlfn.PERCENTILE.INC($T451:$T$633,0.66), "Medium", "High"))</f>
        <v>Low</v>
      </c>
      <c r="V451" s="10">
        <v>0.11899999999999999</v>
      </c>
      <c r="W451" s="10">
        <f t="shared" ref="W451:W514" si="84">IF(V451&gt;0.3,0.3,V451)</f>
        <v>0.11899999999999999</v>
      </c>
      <c r="X451" s="12">
        <v>12</v>
      </c>
      <c r="Y451" s="8">
        <f t="shared" si="77"/>
        <v>3525.5505600000001</v>
      </c>
      <c r="Z451" s="8">
        <f t="shared" si="78"/>
        <v>2700.12</v>
      </c>
      <c r="AA451" s="8">
        <f t="shared" ref="AA451:AA514" si="85">Y451-Z451</f>
        <v>825.43056000000024</v>
      </c>
      <c r="AB451" s="10">
        <f t="shared" ref="AB451:AB514" si="86">IF(Y451 = 0, 0, AA451/Y451)</f>
        <v>0.23412813004729685</v>
      </c>
      <c r="AC451" s="14">
        <f>_xlfn.MINIFS($C$2:$C$633, $J$2:$J$633, J451)</f>
        <v>44939</v>
      </c>
      <c r="AD451">
        <f>DATEDIF(AC451, C451, "m")</f>
        <v>13</v>
      </c>
      <c r="AE451" s="8">
        <f t="shared" ref="AE451:AE514" si="87">(Y451/X451)</f>
        <v>293.79588000000001</v>
      </c>
    </row>
    <row r="452" spans="1:31" x14ac:dyDescent="0.3">
      <c r="A452" s="4" t="s">
        <v>372</v>
      </c>
      <c r="B452" s="6">
        <v>45621</v>
      </c>
      <c r="C452" s="14">
        <v>45621</v>
      </c>
      <c r="D452" s="14" t="str">
        <f t="shared" si="79"/>
        <v>Q4 -2024</v>
      </c>
      <c r="E452" s="6">
        <v>45633</v>
      </c>
      <c r="F452" s="6">
        <f t="shared" si="80"/>
        <v>45633</v>
      </c>
      <c r="G452" s="12">
        <f t="shared" si="81"/>
        <v>12</v>
      </c>
      <c r="H452" s="12">
        <f t="shared" si="82"/>
        <v>0</v>
      </c>
      <c r="I452" s="4" t="s">
        <v>647</v>
      </c>
      <c r="J452" s="4" t="s">
        <v>659</v>
      </c>
      <c r="K452" s="4" t="s">
        <v>685</v>
      </c>
      <c r="L452" t="str">
        <f t="shared" si="83"/>
        <v>Asia&gt;China&gt;Shanghai</v>
      </c>
      <c r="M452" s="4" t="s">
        <v>701</v>
      </c>
      <c r="N452" s="4" t="s">
        <v>710</v>
      </c>
      <c r="O452" s="4" t="s">
        <v>720</v>
      </c>
      <c r="P452" s="4" t="s">
        <v>733</v>
      </c>
      <c r="Q452" s="4" t="s">
        <v>1092</v>
      </c>
      <c r="R452" s="8">
        <v>769.9</v>
      </c>
      <c r="S452" s="8">
        <v>814.36</v>
      </c>
      <c r="T452" s="8">
        <v>814.36</v>
      </c>
      <c r="U452" s="8" t="str">
        <f>IF(T452&lt;=_xlfn.PERCENTILE.INC($T452:$T$633,0.33), "Low", IF(T452&lt;=_xlfn.PERCENTILE.INC($T452:$T$633,0.66), "Medium", "High"))</f>
        <v>Medium</v>
      </c>
      <c r="V452" s="10">
        <v>0</v>
      </c>
      <c r="W452" s="10">
        <f t="shared" si="84"/>
        <v>0</v>
      </c>
      <c r="X452" s="12">
        <v>5</v>
      </c>
      <c r="Y452" s="8">
        <f t="shared" si="77"/>
        <v>4071.8</v>
      </c>
      <c r="Z452" s="8">
        <f t="shared" si="78"/>
        <v>3849.5</v>
      </c>
      <c r="AA452" s="8">
        <f t="shared" si="85"/>
        <v>222.30000000000018</v>
      </c>
      <c r="AB452" s="10">
        <f t="shared" si="86"/>
        <v>5.4595019401738831E-2</v>
      </c>
      <c r="AC452" s="14">
        <f>_xlfn.MINIFS($C$2:$C$633, $J$2:$J$633, J452)</f>
        <v>44938</v>
      </c>
      <c r="AD452">
        <f>DATEDIF(AC452, C452, "m")</f>
        <v>22</v>
      </c>
      <c r="AE452" s="8">
        <f t="shared" si="87"/>
        <v>814.36</v>
      </c>
    </row>
    <row r="453" spans="1:31" x14ac:dyDescent="0.3">
      <c r="A453" s="4" t="s">
        <v>526</v>
      </c>
      <c r="B453" s="6">
        <v>45575</v>
      </c>
      <c r="C453" s="14">
        <v>45575</v>
      </c>
      <c r="D453" s="14" t="str">
        <f t="shared" si="79"/>
        <v>Q4 -2024</v>
      </c>
      <c r="E453" s="6">
        <v>45576</v>
      </c>
      <c r="F453" s="6">
        <f t="shared" si="80"/>
        <v>45576</v>
      </c>
      <c r="G453" s="12">
        <f t="shared" si="81"/>
        <v>1</v>
      </c>
      <c r="H453" s="12">
        <f t="shared" si="82"/>
        <v>1</v>
      </c>
      <c r="I453" s="4" t="s">
        <v>649</v>
      </c>
      <c r="J453" s="4" t="s">
        <v>658</v>
      </c>
      <c r="K453" s="4" t="s">
        <v>693</v>
      </c>
      <c r="L453" t="str">
        <f t="shared" si="83"/>
        <v>Europe&gt;United Kingdom&gt;Manchester</v>
      </c>
      <c r="M453" s="4" t="s">
        <v>703</v>
      </c>
      <c r="N453" s="4" t="s">
        <v>710</v>
      </c>
      <c r="O453" s="4" t="s">
        <v>716</v>
      </c>
      <c r="P453" s="4" t="s">
        <v>727</v>
      </c>
      <c r="Q453" s="4" t="s">
        <v>1245</v>
      </c>
      <c r="R453" s="8">
        <v>1389.46</v>
      </c>
      <c r="S453" s="8">
        <v>1784.7</v>
      </c>
      <c r="T453" s="8">
        <v>1784.7</v>
      </c>
      <c r="U453" s="8" t="str">
        <f>IF(T453&lt;=_xlfn.PERCENTILE.INC($T453:$T$633,0.33), "Low", IF(T453&lt;=_xlfn.PERCENTILE.INC($T453:$T$633,0.66), "Medium", "High"))</f>
        <v>High</v>
      </c>
      <c r="V453" s="10">
        <v>0.14599999999999999</v>
      </c>
      <c r="W453" s="10">
        <f t="shared" si="84"/>
        <v>0.14599999999999999</v>
      </c>
      <c r="X453" s="12">
        <v>33</v>
      </c>
      <c r="Y453" s="8">
        <f t="shared" si="77"/>
        <v>50296.415399999998</v>
      </c>
      <c r="Z453" s="8">
        <f t="shared" si="78"/>
        <v>45852.18</v>
      </c>
      <c r="AA453" s="8">
        <f t="shared" si="85"/>
        <v>4444.2353999999978</v>
      </c>
      <c r="AB453" s="10">
        <f t="shared" si="86"/>
        <v>8.8360877503011831E-2</v>
      </c>
      <c r="AC453" s="14">
        <f>_xlfn.MINIFS($C$2:$C$633, $J$2:$J$633, J453)</f>
        <v>44945</v>
      </c>
      <c r="AD453">
        <f>DATEDIF(AC453, C453, "m")</f>
        <v>20</v>
      </c>
      <c r="AE453" s="8">
        <f t="shared" si="87"/>
        <v>1524.1337999999998</v>
      </c>
    </row>
    <row r="454" spans="1:31" x14ac:dyDescent="0.3">
      <c r="A454" s="4" t="s">
        <v>63</v>
      </c>
      <c r="B454" s="6">
        <v>45579</v>
      </c>
      <c r="C454" s="14">
        <v>45579</v>
      </c>
      <c r="D454" s="14" t="str">
        <f t="shared" si="79"/>
        <v>Q4 -2024</v>
      </c>
      <c r="E454" s="6">
        <v>45604</v>
      </c>
      <c r="F454" s="6">
        <f t="shared" si="80"/>
        <v>45604</v>
      </c>
      <c r="G454" s="12">
        <f t="shared" si="81"/>
        <v>25</v>
      </c>
      <c r="H454" s="12">
        <f t="shared" si="82"/>
        <v>0</v>
      </c>
      <c r="I454" s="4" t="s">
        <v>646</v>
      </c>
      <c r="J454" s="4" t="s">
        <v>651</v>
      </c>
      <c r="K454" s="4" t="s">
        <v>665</v>
      </c>
      <c r="L454" t="str">
        <f t="shared" si="83"/>
        <v>Africa&gt;Nigeria&gt;Lagos</v>
      </c>
      <c r="M454" s="4" t="s">
        <v>706</v>
      </c>
      <c r="N454" s="4" t="s">
        <v>708</v>
      </c>
      <c r="O454" s="4" t="s">
        <v>719</v>
      </c>
      <c r="P454" s="4" t="s">
        <v>729</v>
      </c>
      <c r="Q454" s="4" t="s">
        <v>782</v>
      </c>
      <c r="R454" s="8">
        <v>859.35</v>
      </c>
      <c r="S454" s="8">
        <v>1825.61</v>
      </c>
      <c r="T454" s="8">
        <v>1825.61</v>
      </c>
      <c r="U454" s="8" t="str">
        <f>IF(T454&lt;=_xlfn.PERCENTILE.INC($T454:$T$633,0.33), "Low", IF(T454&lt;=_xlfn.PERCENTILE.INC($T454:$T$633,0.66), "Medium", "High"))</f>
        <v>High</v>
      </c>
      <c r="V454" s="10">
        <v>0.187</v>
      </c>
      <c r="W454" s="10">
        <f t="shared" si="84"/>
        <v>0.187</v>
      </c>
      <c r="X454" s="12">
        <v>24</v>
      </c>
      <c r="Y454" s="8">
        <f t="shared" si="77"/>
        <v>35621.302319999995</v>
      </c>
      <c r="Z454" s="8">
        <f t="shared" si="78"/>
        <v>20624.400000000001</v>
      </c>
      <c r="AA454" s="8">
        <f t="shared" si="85"/>
        <v>14996.902319999994</v>
      </c>
      <c r="AB454" s="10">
        <f t="shared" si="86"/>
        <v>0.42100937762681989</v>
      </c>
      <c r="AC454" s="14">
        <f>_xlfn.MINIFS($C$2:$C$633, $J$2:$J$633, J454)</f>
        <v>44941</v>
      </c>
      <c r="AD454">
        <f>DATEDIF(AC454, C454, "m")</f>
        <v>20</v>
      </c>
      <c r="AE454" s="8">
        <f t="shared" si="87"/>
        <v>1484.2209299999997</v>
      </c>
    </row>
    <row r="455" spans="1:31" x14ac:dyDescent="0.3">
      <c r="A455" s="4" t="s">
        <v>211</v>
      </c>
      <c r="B455" s="6">
        <v>45333</v>
      </c>
      <c r="C455" s="14">
        <v>45333</v>
      </c>
      <c r="D455" s="14" t="str">
        <f t="shared" si="79"/>
        <v>Q1 -2024</v>
      </c>
      <c r="E455" s="6">
        <v>45354</v>
      </c>
      <c r="F455" s="6">
        <f t="shared" si="80"/>
        <v>45354</v>
      </c>
      <c r="G455" s="12">
        <f t="shared" si="81"/>
        <v>21</v>
      </c>
      <c r="H455" s="12">
        <f t="shared" si="82"/>
        <v>0</v>
      </c>
      <c r="I455" s="4" t="s">
        <v>646</v>
      </c>
      <c r="J455" s="4" t="s">
        <v>650</v>
      </c>
      <c r="K455" s="4" t="s">
        <v>662</v>
      </c>
      <c r="L455" t="str">
        <f t="shared" si="83"/>
        <v>Africa&gt;Kenya&gt;Kisumu</v>
      </c>
      <c r="M455" s="4" t="s">
        <v>706</v>
      </c>
      <c r="N455" s="4" t="s">
        <v>708</v>
      </c>
      <c r="O455" s="4" t="s">
        <v>717</v>
      </c>
      <c r="P455" s="4" t="s">
        <v>730</v>
      </c>
      <c r="Q455" s="4" t="s">
        <v>931</v>
      </c>
      <c r="R455" s="8">
        <v>516.86</v>
      </c>
      <c r="S455" s="8">
        <v>852.54</v>
      </c>
      <c r="T455" s="8">
        <v>852.54</v>
      </c>
      <c r="U455" s="8" t="str">
        <f>IF(T455&lt;=_xlfn.PERCENTILE.INC($T455:$T$633,0.33), "Low", IF(T455&lt;=_xlfn.PERCENTILE.INC($T455:$T$633,0.66), "Medium", "High"))</f>
        <v>Medium</v>
      </c>
      <c r="V455" s="10">
        <v>5.0999999999999997E-2</v>
      </c>
      <c r="W455" s="10">
        <f t="shared" si="84"/>
        <v>5.0999999999999997E-2</v>
      </c>
      <c r="X455" s="12">
        <v>14</v>
      </c>
      <c r="Y455" s="8">
        <f t="shared" si="77"/>
        <v>11326.846439999999</v>
      </c>
      <c r="Z455" s="8">
        <f t="shared" si="78"/>
        <v>7236.04</v>
      </c>
      <c r="AA455" s="8">
        <f t="shared" si="85"/>
        <v>4090.8064399999994</v>
      </c>
      <c r="AB455" s="10">
        <f t="shared" si="86"/>
        <v>0.36116022775355994</v>
      </c>
      <c r="AC455" s="14">
        <f>_xlfn.MINIFS($C$2:$C$633, $J$2:$J$633, J455)</f>
        <v>44946</v>
      </c>
      <c r="AD455">
        <f>DATEDIF(AC455, C455, "m")</f>
        <v>12</v>
      </c>
      <c r="AE455" s="8">
        <f t="shared" si="87"/>
        <v>809.06045999999992</v>
      </c>
    </row>
    <row r="456" spans="1:31" x14ac:dyDescent="0.3">
      <c r="A456" s="4" t="s">
        <v>189</v>
      </c>
      <c r="B456" s="6">
        <v>45435</v>
      </c>
      <c r="C456" s="14">
        <v>45435</v>
      </c>
      <c r="D456" s="14" t="str">
        <f t="shared" si="79"/>
        <v>Q2 -2024</v>
      </c>
      <c r="E456" s="6">
        <v>45446</v>
      </c>
      <c r="F456" s="6">
        <f t="shared" si="80"/>
        <v>45446</v>
      </c>
      <c r="G456" s="12">
        <f t="shared" si="81"/>
        <v>11</v>
      </c>
      <c r="H456" s="12">
        <f t="shared" si="82"/>
        <v>0</v>
      </c>
      <c r="I456" s="4" t="s">
        <v>646</v>
      </c>
      <c r="J456" s="4" t="s">
        <v>661</v>
      </c>
      <c r="K456" s="4" t="s">
        <v>682</v>
      </c>
      <c r="L456" t="str">
        <f t="shared" si="83"/>
        <v>Africa&gt;South Africa&gt;Johannesburg</v>
      </c>
      <c r="M456" s="4" t="s">
        <v>705</v>
      </c>
      <c r="N456" s="4" t="s">
        <v>710</v>
      </c>
      <c r="O456" s="4" t="s">
        <v>721</v>
      </c>
      <c r="P456" s="4" t="s">
        <v>728</v>
      </c>
      <c r="Q456" s="4" t="s">
        <v>908</v>
      </c>
      <c r="R456" s="8">
        <v>180.89</v>
      </c>
      <c r="S456" s="8">
        <v>249.57</v>
      </c>
      <c r="T456" s="8">
        <v>249.57</v>
      </c>
      <c r="U456" s="8" t="str">
        <f>IF(T456&lt;=_xlfn.PERCENTILE.INC($T456:$T$633,0.33), "Low", IF(T456&lt;=_xlfn.PERCENTILE.INC($T456:$T$633,0.66), "Medium", "High"))</f>
        <v>Low</v>
      </c>
      <c r="V456" s="10">
        <v>2.1999999999999999E-2</v>
      </c>
      <c r="W456" s="10">
        <f t="shared" si="84"/>
        <v>2.1999999999999999E-2</v>
      </c>
      <c r="X456" s="12">
        <v>8</v>
      </c>
      <c r="Y456" s="8">
        <f t="shared" si="77"/>
        <v>1952.6356799999999</v>
      </c>
      <c r="Z456" s="8">
        <f t="shared" si="78"/>
        <v>1447.12</v>
      </c>
      <c r="AA456" s="8">
        <f t="shared" si="85"/>
        <v>505.51567999999997</v>
      </c>
      <c r="AB456" s="10">
        <f t="shared" si="86"/>
        <v>0.25888888806948362</v>
      </c>
      <c r="AC456" s="14">
        <f>_xlfn.MINIFS($C$2:$C$633, $J$2:$J$633, J456)</f>
        <v>44933</v>
      </c>
      <c r="AD456">
        <f>DATEDIF(AC456, C456, "m")</f>
        <v>16</v>
      </c>
      <c r="AE456" s="8">
        <f t="shared" si="87"/>
        <v>244.07945999999998</v>
      </c>
    </row>
    <row r="457" spans="1:31" x14ac:dyDescent="0.3">
      <c r="A457" s="4" t="s">
        <v>450</v>
      </c>
      <c r="B457" s="6">
        <v>45650</v>
      </c>
      <c r="C457" s="14">
        <v>45650</v>
      </c>
      <c r="D457" s="14" t="str">
        <f t="shared" si="79"/>
        <v>Q4 -2024</v>
      </c>
      <c r="E457" s="6">
        <v>45670</v>
      </c>
      <c r="F457" s="6">
        <f t="shared" si="80"/>
        <v>45670</v>
      </c>
      <c r="G457" s="12">
        <f t="shared" si="81"/>
        <v>20</v>
      </c>
      <c r="H457" s="12">
        <f t="shared" si="82"/>
        <v>0</v>
      </c>
      <c r="I457" s="4" t="s">
        <v>647</v>
      </c>
      <c r="J457" s="4" t="s">
        <v>654</v>
      </c>
      <c r="K457" s="4" t="s">
        <v>668</v>
      </c>
      <c r="L457" t="str">
        <f t="shared" si="83"/>
        <v>Asia&gt;India&gt;Bengaluru</v>
      </c>
      <c r="M457" s="4" t="s">
        <v>701</v>
      </c>
      <c r="N457" s="4" t="s">
        <v>709</v>
      </c>
      <c r="O457" s="4" t="s">
        <v>726</v>
      </c>
      <c r="P457" s="4" t="s">
        <v>729</v>
      </c>
      <c r="Q457" s="4" t="s">
        <v>1169</v>
      </c>
      <c r="R457" s="8">
        <v>126.15</v>
      </c>
      <c r="S457" s="8">
        <v>284.23</v>
      </c>
      <c r="T457" s="8">
        <v>284.23</v>
      </c>
      <c r="U457" s="8" t="str">
        <f>IF(T457&lt;=_xlfn.PERCENTILE.INC($T457:$T$633,0.33), "Low", IF(T457&lt;=_xlfn.PERCENTILE.INC($T457:$T$633,0.66), "Medium", "High"))</f>
        <v>Low</v>
      </c>
      <c r="V457" s="10">
        <v>0.113</v>
      </c>
      <c r="W457" s="10">
        <f t="shared" si="84"/>
        <v>0.113</v>
      </c>
      <c r="X457" s="12">
        <v>22</v>
      </c>
      <c r="Y457" s="8">
        <f t="shared" si="77"/>
        <v>5546.4642200000008</v>
      </c>
      <c r="Z457" s="8">
        <f t="shared" si="78"/>
        <v>2775.3</v>
      </c>
      <c r="AA457" s="8">
        <f t="shared" si="85"/>
        <v>2771.1642200000006</v>
      </c>
      <c r="AB457" s="10">
        <f t="shared" si="86"/>
        <v>0.49962716968541088</v>
      </c>
      <c r="AC457" s="14">
        <f>_xlfn.MINIFS($C$2:$C$633, $J$2:$J$633, J457)</f>
        <v>44955</v>
      </c>
      <c r="AD457">
        <f>DATEDIF(AC457, C457, "m")</f>
        <v>22</v>
      </c>
      <c r="AE457" s="8">
        <f t="shared" si="87"/>
        <v>252.11201000000003</v>
      </c>
    </row>
    <row r="458" spans="1:31" x14ac:dyDescent="0.3">
      <c r="A458" s="4" t="s">
        <v>413</v>
      </c>
      <c r="B458" s="6">
        <v>45541</v>
      </c>
      <c r="C458" s="14">
        <v>45541</v>
      </c>
      <c r="D458" s="14" t="str">
        <f t="shared" si="79"/>
        <v>Q3 -2024</v>
      </c>
      <c r="E458" s="6">
        <v>45569</v>
      </c>
      <c r="F458" s="6">
        <f t="shared" si="80"/>
        <v>45569</v>
      </c>
      <c r="G458" s="12">
        <f t="shared" si="81"/>
        <v>28</v>
      </c>
      <c r="H458" s="12">
        <f t="shared" si="82"/>
        <v>0</v>
      </c>
      <c r="I458" s="4" t="s">
        <v>646</v>
      </c>
      <c r="J458" s="4" t="s">
        <v>661</v>
      </c>
      <c r="K458" s="4" t="s">
        <v>695</v>
      </c>
      <c r="L458" t="str">
        <f t="shared" si="83"/>
        <v>Africa&gt;South Africa&gt;Cape Town</v>
      </c>
      <c r="M458" s="4" t="s">
        <v>701</v>
      </c>
      <c r="N458" s="4" t="s">
        <v>709</v>
      </c>
      <c r="O458" s="4" t="s">
        <v>726</v>
      </c>
      <c r="P458" s="4" t="s">
        <v>732</v>
      </c>
      <c r="Q458" s="4" t="s">
        <v>1132</v>
      </c>
      <c r="R458" s="8">
        <v>1174.17</v>
      </c>
      <c r="S458" s="8">
        <v>1641.61</v>
      </c>
      <c r="T458" s="8">
        <v>1641.61</v>
      </c>
      <c r="U458" s="8" t="str">
        <f>IF(T458&lt;=_xlfn.PERCENTILE.INC($T458:$T$633,0.33), "Low", IF(T458&lt;=_xlfn.PERCENTILE.INC($T458:$T$633,0.66), "Medium", "High"))</f>
        <v>High</v>
      </c>
      <c r="V458" s="10">
        <v>0.122</v>
      </c>
      <c r="W458" s="10">
        <f t="shared" si="84"/>
        <v>0.122</v>
      </c>
      <c r="X458" s="12">
        <v>9</v>
      </c>
      <c r="Y458" s="8">
        <f t="shared" si="77"/>
        <v>12972.00222</v>
      </c>
      <c r="Z458" s="8">
        <f t="shared" si="78"/>
        <v>10567.53</v>
      </c>
      <c r="AA458" s="8">
        <f t="shared" si="85"/>
        <v>2404.4722199999997</v>
      </c>
      <c r="AB458" s="10">
        <f t="shared" si="86"/>
        <v>0.18535860380079394</v>
      </c>
      <c r="AC458" s="14">
        <f>_xlfn.MINIFS($C$2:$C$633, $J$2:$J$633, J458)</f>
        <v>44933</v>
      </c>
      <c r="AD458">
        <f>DATEDIF(AC458, C458, "m")</f>
        <v>19</v>
      </c>
      <c r="AE458" s="8">
        <f t="shared" si="87"/>
        <v>1441.33358</v>
      </c>
    </row>
    <row r="459" spans="1:31" x14ac:dyDescent="0.3">
      <c r="A459" s="4" t="s">
        <v>502</v>
      </c>
      <c r="B459" s="6">
        <v>45424</v>
      </c>
      <c r="C459" s="14">
        <v>45424</v>
      </c>
      <c r="D459" s="14" t="str">
        <f t="shared" si="79"/>
        <v>Q2 -2024</v>
      </c>
      <c r="E459" s="6">
        <v>45436</v>
      </c>
      <c r="F459" s="6">
        <f t="shared" si="80"/>
        <v>45436</v>
      </c>
      <c r="G459" s="12">
        <f t="shared" si="81"/>
        <v>12</v>
      </c>
      <c r="H459" s="12">
        <f t="shared" si="82"/>
        <v>0</v>
      </c>
      <c r="I459" s="4" t="s">
        <v>649</v>
      </c>
      <c r="J459" s="4" t="s">
        <v>658</v>
      </c>
      <c r="K459" s="4" t="s">
        <v>693</v>
      </c>
      <c r="L459" t="str">
        <f t="shared" si="83"/>
        <v>Europe&gt;United Kingdom&gt;Manchester</v>
      </c>
      <c r="M459" s="4" t="s">
        <v>702</v>
      </c>
      <c r="N459" s="4" t="s">
        <v>709</v>
      </c>
      <c r="O459" s="4" t="s">
        <v>723</v>
      </c>
      <c r="P459" s="4" t="s">
        <v>728</v>
      </c>
      <c r="Q459" s="4" t="s">
        <v>1221</v>
      </c>
      <c r="R459" s="8">
        <v>111.02</v>
      </c>
      <c r="S459" s="8">
        <v>172.88</v>
      </c>
      <c r="T459" s="8">
        <v>172.88</v>
      </c>
      <c r="U459" s="8" t="str">
        <f>IF(T459&lt;=_xlfn.PERCENTILE.INC($T459:$T$633,0.33), "Low", IF(T459&lt;=_xlfn.PERCENTILE.INC($T459:$T$633,0.66), "Medium", "High"))</f>
        <v>Low</v>
      </c>
      <c r="V459" s="10">
        <v>0.19700000000000001</v>
      </c>
      <c r="W459" s="10">
        <f t="shared" si="84"/>
        <v>0.19700000000000001</v>
      </c>
      <c r="X459" s="12">
        <v>29</v>
      </c>
      <c r="Y459" s="8">
        <f t="shared" si="77"/>
        <v>4025.8565599999993</v>
      </c>
      <c r="Z459" s="8">
        <f t="shared" si="78"/>
        <v>3219.58</v>
      </c>
      <c r="AA459" s="8">
        <f t="shared" si="85"/>
        <v>806.27655999999934</v>
      </c>
      <c r="AB459" s="10">
        <f t="shared" si="86"/>
        <v>0.20027453735212053</v>
      </c>
      <c r="AC459" s="14">
        <f>_xlfn.MINIFS($C$2:$C$633, $J$2:$J$633, J459)</f>
        <v>44945</v>
      </c>
      <c r="AD459">
        <f>DATEDIF(AC459, C459, "m")</f>
        <v>15</v>
      </c>
      <c r="AE459" s="8">
        <f t="shared" si="87"/>
        <v>138.82263999999998</v>
      </c>
    </row>
    <row r="460" spans="1:31" x14ac:dyDescent="0.3">
      <c r="A460" s="4" t="s">
        <v>580</v>
      </c>
      <c r="B460" s="6">
        <v>45330</v>
      </c>
      <c r="C460" s="14">
        <v>45330</v>
      </c>
      <c r="D460" s="14" t="str">
        <f t="shared" si="79"/>
        <v>Q1 -2024</v>
      </c>
      <c r="E460" s="6">
        <v>45331</v>
      </c>
      <c r="F460" s="6">
        <f t="shared" si="80"/>
        <v>45331</v>
      </c>
      <c r="G460" s="12">
        <f t="shared" si="81"/>
        <v>1</v>
      </c>
      <c r="H460" s="12">
        <f t="shared" si="82"/>
        <v>1</v>
      </c>
      <c r="I460" s="4" t="s">
        <v>646</v>
      </c>
      <c r="J460" s="4" t="s">
        <v>650</v>
      </c>
      <c r="K460" s="4" t="s">
        <v>675</v>
      </c>
      <c r="L460" t="str">
        <f t="shared" si="83"/>
        <v>Africa&gt;Kenya&gt;Mombasa</v>
      </c>
      <c r="M460" s="4" t="s">
        <v>701</v>
      </c>
      <c r="N460" s="4" t="s">
        <v>711</v>
      </c>
      <c r="O460" s="4" t="s">
        <v>721</v>
      </c>
      <c r="P460" s="4" t="s">
        <v>727</v>
      </c>
      <c r="Q460" s="4" t="s">
        <v>1298</v>
      </c>
      <c r="R460" s="8">
        <v>1233.52</v>
      </c>
      <c r="S460" s="8">
        <v>1543.76</v>
      </c>
      <c r="T460" s="8">
        <v>1543.76</v>
      </c>
      <c r="U460" s="8" t="str">
        <f>IF(T460&lt;=_xlfn.PERCENTILE.INC($T460:$T$633,0.33), "Low", IF(T460&lt;=_xlfn.PERCENTILE.INC($T460:$T$633,0.66), "Medium", "High"))</f>
        <v>Medium</v>
      </c>
      <c r="V460" s="10">
        <v>0.126</v>
      </c>
      <c r="W460" s="10">
        <f t="shared" si="84"/>
        <v>0.126</v>
      </c>
      <c r="X460" s="12">
        <v>13</v>
      </c>
      <c r="Y460" s="8">
        <f t="shared" si="77"/>
        <v>17540.201120000002</v>
      </c>
      <c r="Z460" s="8">
        <f t="shared" si="78"/>
        <v>16035.76</v>
      </c>
      <c r="AA460" s="8">
        <f t="shared" si="85"/>
        <v>1504.4411200000013</v>
      </c>
      <c r="AB460" s="10">
        <f t="shared" si="86"/>
        <v>8.5771030201277493E-2</v>
      </c>
      <c r="AC460" s="14">
        <f>_xlfn.MINIFS($C$2:$C$633, $J$2:$J$633, J460)</f>
        <v>44946</v>
      </c>
      <c r="AD460">
        <f>DATEDIF(AC460, C460, "m")</f>
        <v>12</v>
      </c>
      <c r="AE460" s="8">
        <f t="shared" si="87"/>
        <v>1349.2462400000002</v>
      </c>
    </row>
    <row r="461" spans="1:31" x14ac:dyDescent="0.3">
      <c r="A461" s="4" t="s">
        <v>226</v>
      </c>
      <c r="B461" s="6">
        <v>45544</v>
      </c>
      <c r="C461" s="14">
        <v>45544</v>
      </c>
      <c r="D461" s="14" t="str">
        <f t="shared" si="79"/>
        <v>Q3 -2024</v>
      </c>
      <c r="E461" s="6">
        <v>45566</v>
      </c>
      <c r="F461" s="6">
        <f t="shared" si="80"/>
        <v>45566</v>
      </c>
      <c r="G461" s="12">
        <f t="shared" si="81"/>
        <v>22</v>
      </c>
      <c r="H461" s="12">
        <f t="shared" si="82"/>
        <v>0</v>
      </c>
      <c r="I461" s="4" t="s">
        <v>647</v>
      </c>
      <c r="J461" s="4" t="s">
        <v>659</v>
      </c>
      <c r="K461" s="4" t="s">
        <v>676</v>
      </c>
      <c r="L461" t="str">
        <f t="shared" si="83"/>
        <v>Asia&gt;China&gt;Shenzhen</v>
      </c>
      <c r="M461" s="4" t="s">
        <v>704</v>
      </c>
      <c r="N461" s="4" t="s">
        <v>711</v>
      </c>
      <c r="O461" s="4" t="s">
        <v>716</v>
      </c>
      <c r="P461" s="4" t="s">
        <v>728</v>
      </c>
      <c r="Q461" s="4" t="s">
        <v>946</v>
      </c>
      <c r="R461" s="8">
        <v>1166.18</v>
      </c>
      <c r="S461" s="8">
        <v>1335.02</v>
      </c>
      <c r="T461" s="8">
        <v>1335.02</v>
      </c>
      <c r="U461" s="8" t="str">
        <f>IF(T461&lt;=_xlfn.PERCENTILE.INC($T461:$T$633,0.33), "Low", IF(T461&lt;=_xlfn.PERCENTILE.INC($T461:$T$633,0.66), "Medium", "High"))</f>
        <v>Medium</v>
      </c>
      <c r="V461" s="10">
        <v>0.128</v>
      </c>
      <c r="W461" s="10">
        <f t="shared" si="84"/>
        <v>0.128</v>
      </c>
      <c r="X461" s="12">
        <v>6</v>
      </c>
      <c r="Y461" s="8">
        <f t="shared" si="77"/>
        <v>6984.8246399999998</v>
      </c>
      <c r="Z461" s="8">
        <f t="shared" si="78"/>
        <v>6997.08</v>
      </c>
      <c r="AA461" s="8">
        <f t="shared" si="85"/>
        <v>-12.25536000000011</v>
      </c>
      <c r="AB461" s="10">
        <f t="shared" si="86"/>
        <v>-1.7545694604582242E-3</v>
      </c>
      <c r="AC461" s="14">
        <f>_xlfn.MINIFS($C$2:$C$633, $J$2:$J$633, J461)</f>
        <v>44938</v>
      </c>
      <c r="AD461">
        <f>DATEDIF(AC461, C461, "m")</f>
        <v>19</v>
      </c>
      <c r="AE461" s="8">
        <f t="shared" si="87"/>
        <v>1164.13744</v>
      </c>
    </row>
    <row r="462" spans="1:31" x14ac:dyDescent="0.3">
      <c r="A462" s="4" t="s">
        <v>441</v>
      </c>
      <c r="B462" s="6">
        <v>45522</v>
      </c>
      <c r="C462" s="14">
        <v>45522</v>
      </c>
      <c r="D462" s="14" t="str">
        <f t="shared" si="79"/>
        <v>Q3 -2024</v>
      </c>
      <c r="E462" s="6">
        <v>45547</v>
      </c>
      <c r="F462" s="6">
        <f t="shared" si="80"/>
        <v>45547</v>
      </c>
      <c r="G462" s="12">
        <f t="shared" si="81"/>
        <v>25</v>
      </c>
      <c r="H462" s="12">
        <f t="shared" si="82"/>
        <v>0</v>
      </c>
      <c r="I462" s="4" t="s">
        <v>647</v>
      </c>
      <c r="J462" s="4" t="s">
        <v>654</v>
      </c>
      <c r="K462" s="4" t="s">
        <v>691</v>
      </c>
      <c r="L462" t="str">
        <f t="shared" si="83"/>
        <v>Asia&gt;India&gt;Mumbai</v>
      </c>
      <c r="M462" s="4" t="s">
        <v>704</v>
      </c>
      <c r="N462" s="4" t="s">
        <v>709</v>
      </c>
      <c r="O462" s="4" t="s">
        <v>712</v>
      </c>
      <c r="P462" s="4" t="s">
        <v>730</v>
      </c>
      <c r="Q462" s="4" t="s">
        <v>1160</v>
      </c>
      <c r="R462" s="8">
        <v>1154.03</v>
      </c>
      <c r="S462" s="8">
        <v>1590.36</v>
      </c>
      <c r="T462" s="8">
        <v>1590.36</v>
      </c>
      <c r="U462" s="8" t="str">
        <f>IF(T462&lt;=_xlfn.PERCENTILE.INC($T462:$T$633,0.33), "Low", IF(T462&lt;=_xlfn.PERCENTILE.INC($T462:$T$633,0.66), "Medium", "High"))</f>
        <v>High</v>
      </c>
      <c r="V462" s="10">
        <v>0.314</v>
      </c>
      <c r="W462" s="10">
        <f t="shared" si="84"/>
        <v>0.3</v>
      </c>
      <c r="X462" s="12">
        <v>18</v>
      </c>
      <c r="Y462" s="8">
        <f t="shared" si="77"/>
        <v>20038.536</v>
      </c>
      <c r="Z462" s="8">
        <f t="shared" si="78"/>
        <v>20772.54</v>
      </c>
      <c r="AA462" s="8">
        <f t="shared" si="85"/>
        <v>-734.00400000000081</v>
      </c>
      <c r="AB462" s="10">
        <f t="shared" si="86"/>
        <v>-3.6629622044245191E-2</v>
      </c>
      <c r="AC462" s="14">
        <f>_xlfn.MINIFS($C$2:$C$633, $J$2:$J$633, J462)</f>
        <v>44955</v>
      </c>
      <c r="AD462">
        <f>DATEDIF(AC462, C462, "m")</f>
        <v>18</v>
      </c>
      <c r="AE462" s="8">
        <f t="shared" si="87"/>
        <v>1113.252</v>
      </c>
    </row>
    <row r="463" spans="1:31" x14ac:dyDescent="0.3">
      <c r="A463" s="4" t="s">
        <v>108</v>
      </c>
      <c r="B463" s="6">
        <v>45569</v>
      </c>
      <c r="C463" s="14">
        <v>45569</v>
      </c>
      <c r="D463" s="14" t="str">
        <f t="shared" si="79"/>
        <v>Q4 -2024</v>
      </c>
      <c r="E463" s="6">
        <v>45598</v>
      </c>
      <c r="F463" s="6">
        <f t="shared" si="80"/>
        <v>45598</v>
      </c>
      <c r="G463" s="12">
        <f t="shared" si="81"/>
        <v>29</v>
      </c>
      <c r="H463" s="12">
        <f t="shared" si="82"/>
        <v>0</v>
      </c>
      <c r="I463" s="4" t="s">
        <v>646</v>
      </c>
      <c r="J463" s="4" t="s">
        <v>651</v>
      </c>
      <c r="K463" s="4" t="s">
        <v>669</v>
      </c>
      <c r="L463" t="str">
        <f t="shared" si="83"/>
        <v>Africa&gt;Nigeria&gt;Abuja</v>
      </c>
      <c r="M463" s="4" t="s">
        <v>701</v>
      </c>
      <c r="N463" s="4" t="s">
        <v>710</v>
      </c>
      <c r="O463" s="4" t="s">
        <v>721</v>
      </c>
      <c r="P463" s="4" t="s">
        <v>733</v>
      </c>
      <c r="Q463" s="4" t="s">
        <v>827</v>
      </c>
      <c r="R463" s="8">
        <v>412.09</v>
      </c>
      <c r="S463" s="8">
        <v>968.94</v>
      </c>
      <c r="T463" s="8">
        <v>968.94</v>
      </c>
      <c r="U463" s="8" t="str">
        <f>IF(T463&lt;=_xlfn.PERCENTILE.INC($T463:$T$633,0.33), "Low", IF(T463&lt;=_xlfn.PERCENTILE.INC($T463:$T$633,0.66), "Medium", "High"))</f>
        <v>Medium</v>
      </c>
      <c r="V463" s="10">
        <v>9.9000000000000005E-2</v>
      </c>
      <c r="W463" s="10">
        <f t="shared" si="84"/>
        <v>9.9000000000000005E-2</v>
      </c>
      <c r="X463" s="12">
        <v>23</v>
      </c>
      <c r="Y463" s="8">
        <f t="shared" si="77"/>
        <v>20079.343620000003</v>
      </c>
      <c r="Z463" s="8">
        <f t="shared" si="78"/>
        <v>9478.07</v>
      </c>
      <c r="AA463" s="8">
        <f t="shared" si="85"/>
        <v>10601.273620000004</v>
      </c>
      <c r="AB463" s="10">
        <f t="shared" si="86"/>
        <v>0.52796913189137418</v>
      </c>
      <c r="AC463" s="14">
        <f>_xlfn.MINIFS($C$2:$C$633, $J$2:$J$633, J463)</f>
        <v>44941</v>
      </c>
      <c r="AD463">
        <f>DATEDIF(AC463, C463, "m")</f>
        <v>20</v>
      </c>
      <c r="AE463" s="8">
        <f t="shared" si="87"/>
        <v>873.01494000000014</v>
      </c>
    </row>
    <row r="464" spans="1:31" x14ac:dyDescent="0.3">
      <c r="A464" s="4" t="s">
        <v>57</v>
      </c>
      <c r="B464" s="6">
        <v>45590</v>
      </c>
      <c r="C464" s="14">
        <v>45590</v>
      </c>
      <c r="D464" s="14" t="str">
        <f t="shared" si="79"/>
        <v>Q4 -2024</v>
      </c>
      <c r="E464" s="6">
        <v>45610</v>
      </c>
      <c r="F464" s="6">
        <f t="shared" si="80"/>
        <v>45610</v>
      </c>
      <c r="G464" s="12">
        <f t="shared" si="81"/>
        <v>20</v>
      </c>
      <c r="H464" s="12">
        <f t="shared" si="82"/>
        <v>0</v>
      </c>
      <c r="I464" s="4" t="s">
        <v>646</v>
      </c>
      <c r="J464" s="4" t="s">
        <v>650</v>
      </c>
      <c r="K464" s="4" t="s">
        <v>675</v>
      </c>
      <c r="L464" t="str">
        <f t="shared" si="83"/>
        <v>Africa&gt;Kenya&gt;Mombasa</v>
      </c>
      <c r="M464" s="4" t="s">
        <v>701</v>
      </c>
      <c r="N464" s="4" t="s">
        <v>711</v>
      </c>
      <c r="O464" s="4" t="s">
        <v>722</v>
      </c>
      <c r="P464" s="4" t="s">
        <v>728</v>
      </c>
      <c r="Q464" s="4" t="s">
        <v>776</v>
      </c>
      <c r="R464" s="8">
        <v>1396.48</v>
      </c>
      <c r="S464" s="8">
        <v>3204.5</v>
      </c>
      <c r="T464" s="8">
        <v>3204.5</v>
      </c>
      <c r="U464" s="8" t="str">
        <f>IF(T464&lt;=_xlfn.PERCENTILE.INC($T464:$T$633,0.33), "Low", IF(T464&lt;=_xlfn.PERCENTILE.INC($T464:$T$633,0.66), "Medium", "High"))</f>
        <v>High</v>
      </c>
      <c r="V464" s="10">
        <v>0.318</v>
      </c>
      <c r="W464" s="10">
        <f t="shared" si="84"/>
        <v>0.3</v>
      </c>
      <c r="X464" s="12">
        <v>14</v>
      </c>
      <c r="Y464" s="8">
        <f t="shared" si="77"/>
        <v>31404.1</v>
      </c>
      <c r="Z464" s="8">
        <f t="shared" si="78"/>
        <v>19550.72</v>
      </c>
      <c r="AA464" s="8">
        <f t="shared" si="85"/>
        <v>11853.379999999997</v>
      </c>
      <c r="AB464" s="10">
        <f t="shared" si="86"/>
        <v>0.3774468938769141</v>
      </c>
      <c r="AC464" s="14">
        <f>_xlfn.MINIFS($C$2:$C$633, $J$2:$J$633, J464)</f>
        <v>44946</v>
      </c>
      <c r="AD464">
        <f>DATEDIF(AC464, C464, "m")</f>
        <v>21</v>
      </c>
      <c r="AE464" s="8">
        <f t="shared" si="87"/>
        <v>2243.15</v>
      </c>
    </row>
    <row r="465" spans="1:31" x14ac:dyDescent="0.3">
      <c r="A465" s="4" t="s">
        <v>215</v>
      </c>
      <c r="B465" s="6">
        <v>45303</v>
      </c>
      <c r="C465" s="14">
        <v>45303</v>
      </c>
      <c r="D465" s="14" t="str">
        <f t="shared" si="79"/>
        <v>Q1 -2024</v>
      </c>
      <c r="E465" s="6">
        <v>45320</v>
      </c>
      <c r="F465" s="6">
        <f t="shared" si="80"/>
        <v>45320</v>
      </c>
      <c r="G465" s="12">
        <f t="shared" si="81"/>
        <v>17</v>
      </c>
      <c r="H465" s="12">
        <f t="shared" si="82"/>
        <v>0</v>
      </c>
      <c r="I465" s="4" t="s">
        <v>648</v>
      </c>
      <c r="J465" s="4" t="s">
        <v>660</v>
      </c>
      <c r="K465" s="4" t="s">
        <v>677</v>
      </c>
      <c r="L465" t="str">
        <f t="shared" si="83"/>
        <v>Americas&gt;USA&gt;Chicago</v>
      </c>
      <c r="M465" s="4" t="s">
        <v>702</v>
      </c>
      <c r="N465" s="4" t="s">
        <v>710</v>
      </c>
      <c r="O465" s="4" t="s">
        <v>720</v>
      </c>
      <c r="P465" s="4" t="s">
        <v>728</v>
      </c>
      <c r="Q465" s="4" t="s">
        <v>935</v>
      </c>
      <c r="R465" s="8">
        <v>493.76</v>
      </c>
      <c r="S465" s="8">
        <v>625.04</v>
      </c>
      <c r="T465" s="8">
        <v>625.04</v>
      </c>
      <c r="U465" s="8" t="str">
        <f>IF(T465&lt;=_xlfn.PERCENTILE.INC($T465:$T$633,0.33), "Low", IF(T465&lt;=_xlfn.PERCENTILE.INC($T465:$T$633,0.66), "Medium", "High"))</f>
        <v>Low</v>
      </c>
      <c r="V465" s="10">
        <v>0.25800000000000001</v>
      </c>
      <c r="W465" s="10">
        <f t="shared" si="84"/>
        <v>0.25800000000000001</v>
      </c>
      <c r="X465" s="12">
        <v>10</v>
      </c>
      <c r="Y465" s="8">
        <f t="shared" si="77"/>
        <v>4637.7968000000001</v>
      </c>
      <c r="Z465" s="8">
        <f t="shared" si="78"/>
        <v>4937.6000000000004</v>
      </c>
      <c r="AA465" s="8">
        <f t="shared" si="85"/>
        <v>-299.80320000000029</v>
      </c>
      <c r="AB465" s="10">
        <f t="shared" si="86"/>
        <v>-6.464345311549663E-2</v>
      </c>
      <c r="AC465" s="14">
        <f>_xlfn.MINIFS($C$2:$C$633, $J$2:$J$633, J465)</f>
        <v>44939</v>
      </c>
      <c r="AD465">
        <f>DATEDIF(AC465, C465, "m")</f>
        <v>11</v>
      </c>
      <c r="AE465" s="8">
        <f t="shared" si="87"/>
        <v>463.77967999999998</v>
      </c>
    </row>
    <row r="466" spans="1:31" x14ac:dyDescent="0.3">
      <c r="A466" s="4" t="s">
        <v>97</v>
      </c>
      <c r="B466" s="6">
        <v>45791</v>
      </c>
      <c r="C466" s="14">
        <v>45791</v>
      </c>
      <c r="D466" s="14" t="str">
        <f t="shared" si="79"/>
        <v>Q2 -2025</v>
      </c>
      <c r="E466" s="6">
        <v>45801</v>
      </c>
      <c r="F466" s="6">
        <f t="shared" si="80"/>
        <v>45801</v>
      </c>
      <c r="G466" s="12">
        <f t="shared" si="81"/>
        <v>10</v>
      </c>
      <c r="H466" s="12">
        <f t="shared" si="82"/>
        <v>0</v>
      </c>
      <c r="I466" s="4" t="s">
        <v>649</v>
      </c>
      <c r="J466" s="4" t="s">
        <v>657</v>
      </c>
      <c r="K466" s="4" t="s">
        <v>690</v>
      </c>
      <c r="L466" t="str">
        <f t="shared" si="83"/>
        <v>Europe&gt;France&gt;Paris</v>
      </c>
      <c r="M466" s="4" t="s">
        <v>705</v>
      </c>
      <c r="N466" s="4" t="s">
        <v>709</v>
      </c>
      <c r="O466" s="4" t="s">
        <v>723</v>
      </c>
      <c r="P466" s="4" t="s">
        <v>727</v>
      </c>
      <c r="Q466" s="4" t="s">
        <v>816</v>
      </c>
      <c r="R466" s="8">
        <v>170.39</v>
      </c>
      <c r="S466" s="8">
        <v>388.04</v>
      </c>
      <c r="T466" s="8">
        <v>388.04</v>
      </c>
      <c r="U466" s="8" t="str">
        <f>IF(T466&lt;=_xlfn.PERCENTILE.INC($T466:$T$633,0.33), "Low", IF(T466&lt;=_xlfn.PERCENTILE.INC($T466:$T$633,0.66), "Medium", "High"))</f>
        <v>Low</v>
      </c>
      <c r="V466" s="10">
        <v>8.4000000000000005E-2</v>
      </c>
      <c r="W466" s="10">
        <f t="shared" si="84"/>
        <v>8.4000000000000005E-2</v>
      </c>
      <c r="X466" s="12">
        <v>15</v>
      </c>
      <c r="Y466" s="8">
        <f t="shared" si="77"/>
        <v>5331.6696000000002</v>
      </c>
      <c r="Z466" s="8">
        <f t="shared" si="78"/>
        <v>2555.85</v>
      </c>
      <c r="AA466" s="8">
        <f t="shared" si="85"/>
        <v>2775.8196000000003</v>
      </c>
      <c r="AB466" s="10">
        <f t="shared" si="86"/>
        <v>0.52062858508711796</v>
      </c>
      <c r="AC466" s="14">
        <f>_xlfn.MINIFS($C$2:$C$633, $J$2:$J$633, J466)</f>
        <v>44936</v>
      </c>
      <c r="AD466">
        <f>DATEDIF(AC466, C466, "m")</f>
        <v>28</v>
      </c>
      <c r="AE466" s="8">
        <f t="shared" si="87"/>
        <v>355.44463999999999</v>
      </c>
    </row>
    <row r="467" spans="1:31" x14ac:dyDescent="0.3">
      <c r="A467" s="4" t="s">
        <v>379</v>
      </c>
      <c r="B467" s="6">
        <v>45737</v>
      </c>
      <c r="C467" s="14">
        <v>45737</v>
      </c>
      <c r="D467" s="14" t="str">
        <f t="shared" si="79"/>
        <v>Q1 -2025</v>
      </c>
      <c r="E467" s="6">
        <v>45756</v>
      </c>
      <c r="F467" s="6">
        <f t="shared" si="80"/>
        <v>45756</v>
      </c>
      <c r="G467" s="12">
        <f t="shared" si="81"/>
        <v>19</v>
      </c>
      <c r="H467" s="12">
        <f t="shared" si="82"/>
        <v>0</v>
      </c>
      <c r="I467" s="4" t="s">
        <v>647</v>
      </c>
      <c r="J467" s="4" t="s">
        <v>652</v>
      </c>
      <c r="K467" s="4" t="s">
        <v>689</v>
      </c>
      <c r="L467" t="str">
        <f t="shared" si="83"/>
        <v>Asia&gt;Japan&gt;Tokyo</v>
      </c>
      <c r="M467" s="4" t="s">
        <v>705</v>
      </c>
      <c r="N467" s="4" t="s">
        <v>710</v>
      </c>
      <c r="O467" s="4" t="s">
        <v>718</v>
      </c>
      <c r="P467" s="4" t="s">
        <v>727</v>
      </c>
      <c r="Q467" s="4" t="s">
        <v>1099</v>
      </c>
      <c r="R467" s="8">
        <v>1055.45</v>
      </c>
      <c r="S467" s="8">
        <v>1210.04</v>
      </c>
      <c r="T467" s="8">
        <v>1210.04</v>
      </c>
      <c r="U467" s="8" t="str">
        <f>IF(T467&lt;=_xlfn.PERCENTILE.INC($T467:$T$633,0.33), "Low", IF(T467&lt;=_xlfn.PERCENTILE.INC($T467:$T$633,0.66), "Medium", "High"))</f>
        <v>Medium</v>
      </c>
      <c r="V467" s="10">
        <v>8.9999999999999993E-3</v>
      </c>
      <c r="W467" s="10">
        <f t="shared" si="84"/>
        <v>8.9999999999999993E-3</v>
      </c>
      <c r="X467" s="12">
        <v>18</v>
      </c>
      <c r="Y467" s="8">
        <f t="shared" si="77"/>
        <v>21584.693520000001</v>
      </c>
      <c r="Z467" s="8">
        <f t="shared" si="78"/>
        <v>18998.100000000002</v>
      </c>
      <c r="AA467" s="8">
        <f t="shared" si="85"/>
        <v>2586.5935199999985</v>
      </c>
      <c r="AB467" s="10">
        <f t="shared" si="86"/>
        <v>0.1198346188053727</v>
      </c>
      <c r="AC467" s="14">
        <f>_xlfn.MINIFS($C$2:$C$633, $J$2:$J$633, J467)</f>
        <v>44988</v>
      </c>
      <c r="AD467">
        <f>DATEDIF(AC467, C467, "m")</f>
        <v>24</v>
      </c>
      <c r="AE467" s="8">
        <f t="shared" si="87"/>
        <v>1199.1496400000001</v>
      </c>
    </row>
    <row r="468" spans="1:31" x14ac:dyDescent="0.3">
      <c r="A468" s="4" t="s">
        <v>251</v>
      </c>
      <c r="B468" s="6">
        <v>45855</v>
      </c>
      <c r="C468" s="14">
        <v>45855</v>
      </c>
      <c r="D468" s="14" t="str">
        <f t="shared" si="79"/>
        <v>Q3 -2025</v>
      </c>
      <c r="E468" s="6">
        <v>45861</v>
      </c>
      <c r="F468" s="6">
        <f t="shared" si="80"/>
        <v>45861</v>
      </c>
      <c r="G468" s="12">
        <f t="shared" si="81"/>
        <v>6</v>
      </c>
      <c r="H468" s="12">
        <f t="shared" si="82"/>
        <v>1</v>
      </c>
      <c r="I468" s="4" t="s">
        <v>648</v>
      </c>
      <c r="J468" s="4" t="s">
        <v>653</v>
      </c>
      <c r="K468" s="4" t="s">
        <v>688</v>
      </c>
      <c r="L468" t="str">
        <f t="shared" si="83"/>
        <v>Americas&gt;Canada&gt;Vancouver</v>
      </c>
      <c r="M468" s="4" t="s">
        <v>704</v>
      </c>
      <c r="N468" s="4" t="s">
        <v>708</v>
      </c>
      <c r="O468" s="4" t="s">
        <v>722</v>
      </c>
      <c r="P468" s="4" t="s">
        <v>727</v>
      </c>
      <c r="Q468" s="4" t="s">
        <v>971</v>
      </c>
      <c r="R468" s="8">
        <v>1364.89</v>
      </c>
      <c r="S468" s="8">
        <v>2757.54</v>
      </c>
      <c r="T468" s="8">
        <v>2757.54</v>
      </c>
      <c r="U468" s="8" t="str">
        <f>IF(T468&lt;=_xlfn.PERCENTILE.INC($T468:$T$633,0.33), "Low", IF(T468&lt;=_xlfn.PERCENTILE.INC($T468:$T$633,0.66), "Medium", "High"))</f>
        <v>High</v>
      </c>
      <c r="V468" s="10">
        <v>0.17199999999999999</v>
      </c>
      <c r="W468" s="10">
        <f t="shared" si="84"/>
        <v>0.17199999999999999</v>
      </c>
      <c r="X468" s="12">
        <v>61</v>
      </c>
      <c r="Y468" s="8">
        <f t="shared" si="77"/>
        <v>139277.83032000001</v>
      </c>
      <c r="Z468" s="8">
        <f t="shared" si="78"/>
        <v>83258.290000000008</v>
      </c>
      <c r="AA468" s="8">
        <f t="shared" si="85"/>
        <v>56019.54032</v>
      </c>
      <c r="AB468" s="10">
        <f t="shared" si="86"/>
        <v>0.4022143379983118</v>
      </c>
      <c r="AC468" s="14">
        <f>_xlfn.MINIFS($C$2:$C$633, $J$2:$J$633, J468)</f>
        <v>44928</v>
      </c>
      <c r="AD468">
        <f>DATEDIF(AC468, C468, "m")</f>
        <v>30</v>
      </c>
      <c r="AE468" s="8">
        <f t="shared" si="87"/>
        <v>2283.2431200000001</v>
      </c>
    </row>
    <row r="469" spans="1:31" x14ac:dyDescent="0.3">
      <c r="A469" s="4" t="s">
        <v>528</v>
      </c>
      <c r="B469" s="6">
        <v>45661</v>
      </c>
      <c r="C469" s="14">
        <v>45661</v>
      </c>
      <c r="D469" s="14" t="str">
        <f t="shared" si="79"/>
        <v>Q1 -2025</v>
      </c>
      <c r="E469" s="6">
        <v>45662</v>
      </c>
      <c r="F469" s="6">
        <f t="shared" si="80"/>
        <v>45662</v>
      </c>
      <c r="G469" s="12">
        <f t="shared" si="81"/>
        <v>1</v>
      </c>
      <c r="H469" s="12">
        <f t="shared" si="82"/>
        <v>1</v>
      </c>
      <c r="I469" s="4" t="s">
        <v>647</v>
      </c>
      <c r="J469" s="4" t="s">
        <v>654</v>
      </c>
      <c r="K469" s="4" t="s">
        <v>680</v>
      </c>
      <c r="L469" t="str">
        <f t="shared" si="83"/>
        <v>Asia&gt;India&gt;Delhi</v>
      </c>
      <c r="M469" s="4" t="s">
        <v>702</v>
      </c>
      <c r="N469" s="4" t="s">
        <v>707</v>
      </c>
      <c r="O469" s="4" t="s">
        <v>714</v>
      </c>
      <c r="P469" s="4" t="s">
        <v>727</v>
      </c>
      <c r="Q469" s="4" t="s">
        <v>1247</v>
      </c>
      <c r="R469" s="8">
        <v>1428.33</v>
      </c>
      <c r="S469" s="8">
        <v>3028.05</v>
      </c>
      <c r="T469" s="8">
        <v>3028.05</v>
      </c>
      <c r="U469" s="8" t="str">
        <f>IF(T469&lt;=_xlfn.PERCENTILE.INC($T469:$T$633,0.33), "Low", IF(T469&lt;=_xlfn.PERCENTILE.INC($T469:$T$633,0.66), "Medium", "High"))</f>
        <v>High</v>
      </c>
      <c r="V469" s="10">
        <v>0</v>
      </c>
      <c r="W469" s="10">
        <f t="shared" si="84"/>
        <v>0</v>
      </c>
      <c r="X469" s="12">
        <v>11</v>
      </c>
      <c r="Y469" s="8">
        <f t="shared" si="77"/>
        <v>33308.550000000003</v>
      </c>
      <c r="Z469" s="8">
        <f t="shared" si="78"/>
        <v>15711.63</v>
      </c>
      <c r="AA469" s="8">
        <f t="shared" si="85"/>
        <v>17596.920000000006</v>
      </c>
      <c r="AB469" s="10">
        <f t="shared" si="86"/>
        <v>0.52830039134096207</v>
      </c>
      <c r="AC469" s="14">
        <f>_xlfn.MINIFS($C$2:$C$633, $J$2:$J$633, J469)</f>
        <v>44955</v>
      </c>
      <c r="AD469">
        <f>DATEDIF(AC469, C469, "m")</f>
        <v>23</v>
      </c>
      <c r="AE469" s="8">
        <f t="shared" si="87"/>
        <v>3028.05</v>
      </c>
    </row>
    <row r="470" spans="1:31" x14ac:dyDescent="0.3">
      <c r="A470" s="4" t="s">
        <v>319</v>
      </c>
      <c r="B470" s="6">
        <v>45756</v>
      </c>
      <c r="C470" s="14">
        <v>45756</v>
      </c>
      <c r="D470" s="14" t="str">
        <f t="shared" si="79"/>
        <v>Q2 -2025</v>
      </c>
      <c r="E470" s="6">
        <v>45759</v>
      </c>
      <c r="F470" s="6">
        <f t="shared" si="80"/>
        <v>45759</v>
      </c>
      <c r="G470" s="12">
        <f t="shared" si="81"/>
        <v>3</v>
      </c>
      <c r="H470" s="12">
        <f t="shared" si="82"/>
        <v>1</v>
      </c>
      <c r="I470" s="4" t="s">
        <v>649</v>
      </c>
      <c r="J470" s="4" t="s">
        <v>657</v>
      </c>
      <c r="K470" s="4" t="s">
        <v>679</v>
      </c>
      <c r="L470" t="str">
        <f t="shared" si="83"/>
        <v>Europe&gt;France&gt;Lyon</v>
      </c>
      <c r="M470" s="4" t="s">
        <v>705</v>
      </c>
      <c r="N470" s="4" t="s">
        <v>710</v>
      </c>
      <c r="O470" s="4" t="s">
        <v>722</v>
      </c>
      <c r="P470" s="4" t="s">
        <v>732</v>
      </c>
      <c r="Q470" s="4" t="s">
        <v>1039</v>
      </c>
      <c r="R470" s="8">
        <v>86.68</v>
      </c>
      <c r="S470" s="8">
        <v>213.32</v>
      </c>
      <c r="T470" s="8">
        <v>213.32</v>
      </c>
      <c r="U470" s="8" t="str">
        <f>IF(T470&lt;=_xlfn.PERCENTILE.INC($T470:$T$633,0.33), "Low", IF(T470&lt;=_xlfn.PERCENTILE.INC($T470:$T$633,0.66), "Medium", "High"))</f>
        <v>Low</v>
      </c>
      <c r="V470" s="10">
        <v>3.7999999999999999E-2</v>
      </c>
      <c r="W470" s="10">
        <f t="shared" si="84"/>
        <v>3.7999999999999999E-2</v>
      </c>
      <c r="X470" s="12">
        <v>8</v>
      </c>
      <c r="Y470" s="8">
        <f t="shared" si="77"/>
        <v>1641.7107199999998</v>
      </c>
      <c r="Z470" s="8">
        <f t="shared" si="78"/>
        <v>693.44</v>
      </c>
      <c r="AA470" s="8">
        <f t="shared" si="85"/>
        <v>948.27071999999976</v>
      </c>
      <c r="AB470" s="10">
        <f t="shared" si="86"/>
        <v>0.57761133459614611</v>
      </c>
      <c r="AC470" s="14">
        <f>_xlfn.MINIFS($C$2:$C$633, $J$2:$J$633, J470)</f>
        <v>44936</v>
      </c>
      <c r="AD470">
        <f>DATEDIF(AC470, C470, "m")</f>
        <v>26</v>
      </c>
      <c r="AE470" s="8">
        <f t="shared" si="87"/>
        <v>205.21383999999998</v>
      </c>
    </row>
    <row r="471" spans="1:31" x14ac:dyDescent="0.3">
      <c r="A471" s="4" t="s">
        <v>221</v>
      </c>
      <c r="B471" s="6">
        <v>45678</v>
      </c>
      <c r="C471" s="14">
        <v>45678</v>
      </c>
      <c r="D471" s="14" t="str">
        <f t="shared" si="79"/>
        <v>Q1 -2025</v>
      </c>
      <c r="E471" s="6">
        <v>45702</v>
      </c>
      <c r="F471" s="6">
        <f t="shared" si="80"/>
        <v>45702</v>
      </c>
      <c r="G471" s="12">
        <f t="shared" si="81"/>
        <v>24</v>
      </c>
      <c r="H471" s="12">
        <f t="shared" si="82"/>
        <v>0</v>
      </c>
      <c r="I471" s="4" t="s">
        <v>646</v>
      </c>
      <c r="J471" s="4" t="s">
        <v>650</v>
      </c>
      <c r="K471" s="4" t="s">
        <v>664</v>
      </c>
      <c r="L471" t="str">
        <f t="shared" si="83"/>
        <v>Africa&gt;Kenya&gt;Nairobi</v>
      </c>
      <c r="M471" s="4" t="s">
        <v>705</v>
      </c>
      <c r="N471" s="4" t="s">
        <v>707</v>
      </c>
      <c r="O471" s="4" t="s">
        <v>713</v>
      </c>
      <c r="P471" s="4" t="s">
        <v>733</v>
      </c>
      <c r="Q471" s="4" t="s">
        <v>941</v>
      </c>
      <c r="R471" s="8">
        <v>1030.44</v>
      </c>
      <c r="S471" s="8">
        <v>2562.84</v>
      </c>
      <c r="T471" s="8">
        <v>2562.84</v>
      </c>
      <c r="U471" s="8" t="str">
        <f>IF(T471&lt;=_xlfn.PERCENTILE.INC($T471:$T$633,0.33), "Low", IF(T471&lt;=_xlfn.PERCENTILE.INC($T471:$T$633,0.66), "Medium", "High"))</f>
        <v>High</v>
      </c>
      <c r="V471" s="10">
        <v>0.14799999999999999</v>
      </c>
      <c r="W471" s="10">
        <f t="shared" si="84"/>
        <v>0.14799999999999999</v>
      </c>
      <c r="X471" s="12">
        <v>13</v>
      </c>
      <c r="Y471" s="8">
        <f t="shared" si="77"/>
        <v>28386.015839999996</v>
      </c>
      <c r="Z471" s="8">
        <f t="shared" si="78"/>
        <v>13395.720000000001</v>
      </c>
      <c r="AA471" s="8">
        <f t="shared" si="85"/>
        <v>14990.295839999995</v>
      </c>
      <c r="AB471" s="10">
        <f t="shared" si="86"/>
        <v>0.52808734852027039</v>
      </c>
      <c r="AC471" s="14">
        <f>_xlfn.MINIFS($C$2:$C$633, $J$2:$J$633, J471)</f>
        <v>44946</v>
      </c>
      <c r="AD471">
        <f>DATEDIF(AC471, C471, "m")</f>
        <v>24</v>
      </c>
      <c r="AE471" s="8">
        <f t="shared" si="87"/>
        <v>2183.5396799999999</v>
      </c>
    </row>
    <row r="472" spans="1:31" x14ac:dyDescent="0.3">
      <c r="A472" s="4" t="s">
        <v>549</v>
      </c>
      <c r="B472" s="6">
        <v>45667</v>
      </c>
      <c r="C472" s="14">
        <v>45667</v>
      </c>
      <c r="D472" s="14" t="str">
        <f t="shared" si="79"/>
        <v>Q1 -2025</v>
      </c>
      <c r="E472" s="6">
        <v>45694</v>
      </c>
      <c r="F472" s="6">
        <f t="shared" si="80"/>
        <v>45694</v>
      </c>
      <c r="G472" s="12">
        <f t="shared" si="81"/>
        <v>27</v>
      </c>
      <c r="H472" s="12">
        <f t="shared" si="82"/>
        <v>0</v>
      </c>
      <c r="I472" s="4" t="s">
        <v>648</v>
      </c>
      <c r="J472" s="4" t="s">
        <v>655</v>
      </c>
      <c r="K472" s="4" t="s">
        <v>672</v>
      </c>
      <c r="L472" t="str">
        <f t="shared" si="83"/>
        <v>Americas&gt;Brazil&gt;Brasília</v>
      </c>
      <c r="M472" s="4" t="s">
        <v>703</v>
      </c>
      <c r="N472" s="4" t="s">
        <v>707</v>
      </c>
      <c r="O472" s="4" t="s">
        <v>717</v>
      </c>
      <c r="P472" s="4" t="s">
        <v>731</v>
      </c>
      <c r="Q472" s="4" t="s">
        <v>1268</v>
      </c>
      <c r="R472" s="8">
        <v>725.62</v>
      </c>
      <c r="S472" s="8">
        <v>1559.19</v>
      </c>
      <c r="T472" s="8">
        <v>1559.19</v>
      </c>
      <c r="U472" s="8" t="str">
        <f>IF(T472&lt;=_xlfn.PERCENTILE.INC($T472:$T$633,0.33), "Low", IF(T472&lt;=_xlfn.PERCENTILE.INC($T472:$T$633,0.66), "Medium", "High"))</f>
        <v>High</v>
      </c>
      <c r="V472" s="10">
        <v>0.19</v>
      </c>
      <c r="W472" s="10">
        <f t="shared" si="84"/>
        <v>0.19</v>
      </c>
      <c r="X472" s="12">
        <v>12</v>
      </c>
      <c r="Y472" s="8">
        <f t="shared" si="77"/>
        <v>15155.326800000001</v>
      </c>
      <c r="Z472" s="8">
        <f t="shared" si="78"/>
        <v>8707.44</v>
      </c>
      <c r="AA472" s="8">
        <f t="shared" si="85"/>
        <v>6447.8868000000002</v>
      </c>
      <c r="AB472" s="10">
        <f t="shared" si="86"/>
        <v>0.42545349797405885</v>
      </c>
      <c r="AC472" s="14">
        <f>_xlfn.MINIFS($C$2:$C$633, $J$2:$J$633, J472)</f>
        <v>44955</v>
      </c>
      <c r="AD472">
        <f>DATEDIF(AC472, C472, "m")</f>
        <v>23</v>
      </c>
      <c r="AE472" s="8">
        <f t="shared" si="87"/>
        <v>1262.9439</v>
      </c>
    </row>
    <row r="473" spans="1:31" x14ac:dyDescent="0.3">
      <c r="A473" s="4" t="s">
        <v>632</v>
      </c>
      <c r="B473" s="6">
        <v>45849</v>
      </c>
      <c r="C473" s="14">
        <v>45849</v>
      </c>
      <c r="D473" s="14" t="str">
        <f t="shared" si="79"/>
        <v>Q3 -2025</v>
      </c>
      <c r="E473" s="6">
        <v>45854</v>
      </c>
      <c r="F473" s="6">
        <f t="shared" si="80"/>
        <v>45854</v>
      </c>
      <c r="G473" s="12">
        <f t="shared" si="81"/>
        <v>5</v>
      </c>
      <c r="H473" s="12">
        <f t="shared" si="82"/>
        <v>1</v>
      </c>
      <c r="I473" s="4" t="s">
        <v>649</v>
      </c>
      <c r="J473" s="4" t="s">
        <v>658</v>
      </c>
      <c r="K473" s="4" t="s">
        <v>683</v>
      </c>
      <c r="L473" t="str">
        <f t="shared" si="83"/>
        <v>Europe&gt;United Kingdom&gt;London</v>
      </c>
      <c r="M473" s="4" t="s">
        <v>706</v>
      </c>
      <c r="N473" s="4" t="s">
        <v>708</v>
      </c>
      <c r="O473" s="4" t="s">
        <v>723</v>
      </c>
      <c r="P473" s="4" t="s">
        <v>728</v>
      </c>
      <c r="Q473" s="4" t="s">
        <v>1350</v>
      </c>
      <c r="R473" s="8">
        <v>930.03</v>
      </c>
      <c r="S473" s="8">
        <v>1086.68</v>
      </c>
      <c r="T473" s="8">
        <v>1086.68</v>
      </c>
      <c r="U473" s="8" t="str">
        <f>IF(T473&lt;=_xlfn.PERCENTILE.INC($T473:$T$633,0.33), "Low", IF(T473&lt;=_xlfn.PERCENTILE.INC($T473:$T$633,0.66), "Medium", "High"))</f>
        <v>Medium</v>
      </c>
      <c r="V473" s="10">
        <v>0.109</v>
      </c>
      <c r="W473" s="10">
        <f t="shared" si="84"/>
        <v>0.109</v>
      </c>
      <c r="X473" s="12">
        <v>26</v>
      </c>
      <c r="Y473" s="8">
        <f t="shared" si="77"/>
        <v>25174.028880000002</v>
      </c>
      <c r="Z473" s="8">
        <f t="shared" si="78"/>
        <v>24180.78</v>
      </c>
      <c r="AA473" s="8">
        <f t="shared" si="85"/>
        <v>993.24888000000283</v>
      </c>
      <c r="AB473" s="10">
        <f t="shared" si="86"/>
        <v>3.9455300728168656E-2</v>
      </c>
      <c r="AC473" s="14">
        <f>_xlfn.MINIFS($C$2:$C$633, $J$2:$J$633, J473)</f>
        <v>44945</v>
      </c>
      <c r="AD473">
        <f>DATEDIF(AC473, C473, "m")</f>
        <v>29</v>
      </c>
      <c r="AE473" s="8">
        <f t="shared" si="87"/>
        <v>968.23188000000005</v>
      </c>
    </row>
    <row r="474" spans="1:31" x14ac:dyDescent="0.3">
      <c r="A474" s="4" t="s">
        <v>594</v>
      </c>
      <c r="B474" s="6">
        <v>45849</v>
      </c>
      <c r="C474" s="14">
        <v>45849</v>
      </c>
      <c r="D474" s="14" t="str">
        <f t="shared" si="79"/>
        <v>Q3 -2025</v>
      </c>
      <c r="E474" s="6">
        <v>45872</v>
      </c>
      <c r="F474" s="6">
        <f t="shared" si="80"/>
        <v>45872</v>
      </c>
      <c r="G474" s="12">
        <f t="shared" si="81"/>
        <v>23</v>
      </c>
      <c r="H474" s="12">
        <f t="shared" si="82"/>
        <v>0</v>
      </c>
      <c r="I474" s="4" t="s">
        <v>646</v>
      </c>
      <c r="J474" s="4" t="s">
        <v>650</v>
      </c>
      <c r="K474" s="4" t="s">
        <v>678</v>
      </c>
      <c r="L474" t="str">
        <f t="shared" si="83"/>
        <v>Africa&gt;Kenya&gt;Nakuru</v>
      </c>
      <c r="M474" s="4" t="s">
        <v>705</v>
      </c>
      <c r="N474" s="4" t="s">
        <v>707</v>
      </c>
      <c r="O474" s="4" t="s">
        <v>712</v>
      </c>
      <c r="P474" s="4" t="s">
        <v>730</v>
      </c>
      <c r="Q474" s="4" t="s">
        <v>1312</v>
      </c>
      <c r="R474" s="8">
        <v>389.93</v>
      </c>
      <c r="S474" s="8">
        <v>486.13</v>
      </c>
      <c r="T474" s="8">
        <v>486.13</v>
      </c>
      <c r="U474" s="8" t="str">
        <f>IF(T474&lt;=_xlfn.PERCENTILE.INC($T474:$T$633,0.33), "Low", IF(T474&lt;=_xlfn.PERCENTILE.INC($T474:$T$633,0.66), "Medium", "High"))</f>
        <v>Low</v>
      </c>
      <c r="V474" s="10">
        <v>0.13200000000000001</v>
      </c>
      <c r="W474" s="10">
        <f t="shared" si="84"/>
        <v>0.13200000000000001</v>
      </c>
      <c r="X474" s="12">
        <v>17</v>
      </c>
      <c r="Y474" s="8">
        <f t="shared" si="77"/>
        <v>7173.3342799999991</v>
      </c>
      <c r="Z474" s="8">
        <f t="shared" si="78"/>
        <v>6628.81</v>
      </c>
      <c r="AA474" s="8">
        <f t="shared" si="85"/>
        <v>544.52427999999873</v>
      </c>
      <c r="AB474" s="10">
        <f t="shared" si="86"/>
        <v>7.5909508569562828E-2</v>
      </c>
      <c r="AC474" s="14">
        <f>_xlfn.MINIFS($C$2:$C$633, $J$2:$J$633, J474)</f>
        <v>44946</v>
      </c>
      <c r="AD474">
        <f>DATEDIF(AC474, C474, "m")</f>
        <v>29</v>
      </c>
      <c r="AE474" s="8">
        <f t="shared" si="87"/>
        <v>421.96083999999996</v>
      </c>
    </row>
    <row r="475" spans="1:31" x14ac:dyDescent="0.3">
      <c r="A475" s="4" t="s">
        <v>18</v>
      </c>
      <c r="B475" s="6">
        <v>45745</v>
      </c>
      <c r="C475" s="14">
        <v>45745</v>
      </c>
      <c r="D475" s="14" t="str">
        <f t="shared" si="79"/>
        <v>Q1 -2025</v>
      </c>
      <c r="E475" s="6">
        <v>45749</v>
      </c>
      <c r="F475" s="6">
        <f t="shared" si="80"/>
        <v>45749</v>
      </c>
      <c r="G475" s="12">
        <f t="shared" si="81"/>
        <v>4</v>
      </c>
      <c r="H475" s="12">
        <f t="shared" si="82"/>
        <v>1</v>
      </c>
      <c r="I475" s="4" t="s">
        <v>646</v>
      </c>
      <c r="J475" s="4" t="s">
        <v>651</v>
      </c>
      <c r="K475" s="4" t="s">
        <v>665</v>
      </c>
      <c r="L475" t="str">
        <f t="shared" si="83"/>
        <v>Africa&gt;Nigeria&gt;Lagos</v>
      </c>
      <c r="M475" s="4" t="s">
        <v>703</v>
      </c>
      <c r="N475" s="4" t="s">
        <v>709</v>
      </c>
      <c r="O475" s="4" t="s">
        <v>715</v>
      </c>
      <c r="P475" s="4" t="s">
        <v>730</v>
      </c>
      <c r="Q475" s="4" t="s">
        <v>737</v>
      </c>
      <c r="R475" s="8">
        <v>259.93</v>
      </c>
      <c r="S475" s="8">
        <v>255.94</v>
      </c>
      <c r="T475" s="8">
        <v>255.94</v>
      </c>
      <c r="U475" s="8" t="str">
        <f>IF(T475&lt;=_xlfn.PERCENTILE.INC($T475:$T$633,0.33), "Low", IF(T475&lt;=_xlfn.PERCENTILE.INC($T475:$T$633,0.66), "Medium", "High"))</f>
        <v>Low</v>
      </c>
      <c r="V475" s="10">
        <v>7.1999999999999995E-2</v>
      </c>
      <c r="W475" s="10">
        <f t="shared" si="84"/>
        <v>7.1999999999999995E-2</v>
      </c>
      <c r="X475" s="12">
        <v>22</v>
      </c>
      <c r="Y475" s="8">
        <f t="shared" si="77"/>
        <v>5225.2710400000005</v>
      </c>
      <c r="Z475" s="8">
        <f t="shared" si="78"/>
        <v>5718.46</v>
      </c>
      <c r="AA475" s="8">
        <f t="shared" si="85"/>
        <v>-493.1889599999995</v>
      </c>
      <c r="AB475" s="10">
        <f t="shared" si="86"/>
        <v>-9.4385335463861311E-2</v>
      </c>
      <c r="AC475" s="14">
        <f>_xlfn.MINIFS($C$2:$C$633, $J$2:$J$633, J475)</f>
        <v>44941</v>
      </c>
      <c r="AD475">
        <f>DATEDIF(AC475, C475, "m")</f>
        <v>26</v>
      </c>
      <c r="AE475" s="8">
        <f t="shared" si="87"/>
        <v>237.51232000000002</v>
      </c>
    </row>
    <row r="476" spans="1:31" x14ac:dyDescent="0.3">
      <c r="A476" s="4" t="s">
        <v>584</v>
      </c>
      <c r="B476" s="6">
        <v>45760</v>
      </c>
      <c r="C476" s="14">
        <v>45760</v>
      </c>
      <c r="D476" s="14" t="str">
        <f t="shared" si="79"/>
        <v>Q2 -2025</v>
      </c>
      <c r="E476" s="6">
        <v>45761</v>
      </c>
      <c r="F476" s="6">
        <f t="shared" si="80"/>
        <v>45761</v>
      </c>
      <c r="G476" s="12">
        <f t="shared" si="81"/>
        <v>1</v>
      </c>
      <c r="H476" s="12">
        <f t="shared" si="82"/>
        <v>1</v>
      </c>
      <c r="I476" s="4" t="s">
        <v>647</v>
      </c>
      <c r="J476" s="4" t="s">
        <v>652</v>
      </c>
      <c r="K476" s="4" t="s">
        <v>666</v>
      </c>
      <c r="L476" t="str">
        <f t="shared" si="83"/>
        <v>Asia&gt;Japan&gt;Osaka</v>
      </c>
      <c r="M476" s="4" t="s">
        <v>706</v>
      </c>
      <c r="N476" s="4" t="s">
        <v>708</v>
      </c>
      <c r="O476" s="4" t="s">
        <v>715</v>
      </c>
      <c r="P476" s="4" t="s">
        <v>727</v>
      </c>
      <c r="Q476" s="4" t="s">
        <v>1302</v>
      </c>
      <c r="R476" s="8">
        <v>138.9</v>
      </c>
      <c r="S476" s="8">
        <v>289.92</v>
      </c>
      <c r="T476" s="8">
        <v>289.92</v>
      </c>
      <c r="U476" s="8" t="str">
        <f>IF(T476&lt;=_xlfn.PERCENTILE.INC($T476:$T$633,0.33), "Low", IF(T476&lt;=_xlfn.PERCENTILE.INC($T476:$T$633,0.66), "Medium", "High"))</f>
        <v>Low</v>
      </c>
      <c r="V476" s="10">
        <v>2.9000000000000001E-2</v>
      </c>
      <c r="W476" s="10">
        <f t="shared" si="84"/>
        <v>2.9000000000000001E-2</v>
      </c>
      <c r="X476" s="12">
        <v>12</v>
      </c>
      <c r="Y476" s="8">
        <f t="shared" si="77"/>
        <v>3378.1478400000001</v>
      </c>
      <c r="Z476" s="8">
        <f t="shared" si="78"/>
        <v>1666.8000000000002</v>
      </c>
      <c r="AA476" s="8">
        <f t="shared" si="85"/>
        <v>1711.3478399999999</v>
      </c>
      <c r="AB476" s="10">
        <f t="shared" si="86"/>
        <v>0.50659353025828491</v>
      </c>
      <c r="AC476" s="14">
        <f>_xlfn.MINIFS($C$2:$C$633, $J$2:$J$633, J476)</f>
        <v>44988</v>
      </c>
      <c r="AD476">
        <f>DATEDIF(AC476, C476, "m")</f>
        <v>25</v>
      </c>
      <c r="AE476" s="8">
        <f t="shared" si="87"/>
        <v>281.51231999999999</v>
      </c>
    </row>
    <row r="477" spans="1:31" x14ac:dyDescent="0.3">
      <c r="A477" s="4" t="s">
        <v>586</v>
      </c>
      <c r="B477" s="6">
        <v>45740</v>
      </c>
      <c r="C477" s="14">
        <v>45740</v>
      </c>
      <c r="D477" s="14" t="str">
        <f t="shared" si="79"/>
        <v>Q1 -2025</v>
      </c>
      <c r="E477" s="6">
        <v>45751</v>
      </c>
      <c r="F477" s="6">
        <f t="shared" si="80"/>
        <v>45751</v>
      </c>
      <c r="G477" s="12">
        <f t="shared" si="81"/>
        <v>11</v>
      </c>
      <c r="H477" s="12">
        <f t="shared" si="82"/>
        <v>0</v>
      </c>
      <c r="I477" s="4" t="s">
        <v>647</v>
      </c>
      <c r="J477" s="4" t="s">
        <v>654</v>
      </c>
      <c r="K477" s="4" t="s">
        <v>691</v>
      </c>
      <c r="L477" t="str">
        <f t="shared" si="83"/>
        <v>Asia&gt;India&gt;Mumbai</v>
      </c>
      <c r="M477" s="4" t="s">
        <v>702</v>
      </c>
      <c r="N477" s="4" t="s">
        <v>709</v>
      </c>
      <c r="O477" s="4" t="s">
        <v>713</v>
      </c>
      <c r="P477" s="4" t="s">
        <v>730</v>
      </c>
      <c r="Q477" s="4" t="s">
        <v>1304</v>
      </c>
      <c r="R477" s="8">
        <v>23.83</v>
      </c>
      <c r="S477" s="8">
        <v>47.29</v>
      </c>
      <c r="T477" s="8">
        <v>47.29</v>
      </c>
      <c r="U477" s="8" t="str">
        <f>IF(T477&lt;=_xlfn.PERCENTILE.INC($T477:$T$633,0.33), "Low", IF(T477&lt;=_xlfn.PERCENTILE.INC($T477:$T$633,0.66), "Medium", "High"))</f>
        <v>Low</v>
      </c>
      <c r="V477" s="10">
        <v>6.4000000000000001E-2</v>
      </c>
      <c r="W477" s="10">
        <f t="shared" si="84"/>
        <v>6.4000000000000001E-2</v>
      </c>
      <c r="X477" s="12">
        <v>19</v>
      </c>
      <c r="Y477" s="8">
        <f t="shared" si="77"/>
        <v>841.00536</v>
      </c>
      <c r="Z477" s="8">
        <f t="shared" si="78"/>
        <v>452.77</v>
      </c>
      <c r="AA477" s="8">
        <f t="shared" si="85"/>
        <v>388.23536000000001</v>
      </c>
      <c r="AB477" s="10">
        <f t="shared" si="86"/>
        <v>0.46163244429262618</v>
      </c>
      <c r="AC477" s="14">
        <f>_xlfn.MINIFS($C$2:$C$633, $J$2:$J$633, J477)</f>
        <v>44955</v>
      </c>
      <c r="AD477">
        <f>DATEDIF(AC477, C477, "m")</f>
        <v>25</v>
      </c>
      <c r="AE477" s="8">
        <f t="shared" si="87"/>
        <v>44.263440000000003</v>
      </c>
    </row>
    <row r="478" spans="1:31" x14ac:dyDescent="0.3">
      <c r="A478" s="4" t="s">
        <v>135</v>
      </c>
      <c r="B478" s="6">
        <v>45827</v>
      </c>
      <c r="C478" s="14">
        <v>45827</v>
      </c>
      <c r="D478" s="14" t="str">
        <f t="shared" si="79"/>
        <v>Q2 -2025</v>
      </c>
      <c r="E478" s="6">
        <v>45850</v>
      </c>
      <c r="F478" s="6">
        <f t="shared" si="80"/>
        <v>45850</v>
      </c>
      <c r="G478" s="12">
        <f t="shared" si="81"/>
        <v>23</v>
      </c>
      <c r="H478" s="12">
        <f t="shared" si="82"/>
        <v>0</v>
      </c>
      <c r="I478" s="4" t="s">
        <v>649</v>
      </c>
      <c r="J478" s="4" t="s">
        <v>658</v>
      </c>
      <c r="K478" s="4" t="s">
        <v>1422</v>
      </c>
      <c r="L478" t="str">
        <f t="shared" si="83"/>
        <v>Europe&gt;United Kingdom&gt;Unknown</v>
      </c>
      <c r="M478" s="4" t="s">
        <v>703</v>
      </c>
      <c r="N478" s="4" t="s">
        <v>711</v>
      </c>
      <c r="O478" s="4" t="s">
        <v>1424</v>
      </c>
      <c r="P478" s="4" t="s">
        <v>729</v>
      </c>
      <c r="Q478" s="4" t="s">
        <v>854</v>
      </c>
      <c r="R478" s="8">
        <v>801.24</v>
      </c>
      <c r="S478" s="8">
        <v>1959.09</v>
      </c>
      <c r="T478" s="8">
        <v>1959.09</v>
      </c>
      <c r="U478" s="8" t="str">
        <f>IF(T478&lt;=_xlfn.PERCENTILE.INC($T478:$T$633,0.33), "Low", IF(T478&lt;=_xlfn.PERCENTILE.INC($T478:$T$633,0.66), "Medium", "High"))</f>
        <v>High</v>
      </c>
      <c r="V478" s="10">
        <v>0.123</v>
      </c>
      <c r="W478" s="10">
        <f t="shared" si="84"/>
        <v>0.123</v>
      </c>
      <c r="X478" s="12">
        <v>23</v>
      </c>
      <c r="Y478" s="8">
        <f t="shared" si="77"/>
        <v>39516.804389999998</v>
      </c>
      <c r="Z478" s="8">
        <f t="shared" si="78"/>
        <v>18428.52</v>
      </c>
      <c r="AA478" s="8">
        <f t="shared" si="85"/>
        <v>21088.284389999997</v>
      </c>
      <c r="AB478" s="10">
        <f t="shared" si="86"/>
        <v>0.53365358650651762</v>
      </c>
      <c r="AC478" s="14">
        <f>_xlfn.MINIFS($C$2:$C$633, $J$2:$J$633, J478)</f>
        <v>44945</v>
      </c>
      <c r="AD478">
        <f>DATEDIF(AC478, C478, "m")</f>
        <v>29</v>
      </c>
      <c r="AE478" s="8">
        <f t="shared" si="87"/>
        <v>1718.1219299999998</v>
      </c>
    </row>
    <row r="479" spans="1:31" x14ac:dyDescent="0.3">
      <c r="A479" s="4" t="s">
        <v>272</v>
      </c>
      <c r="B479" s="6">
        <v>45835</v>
      </c>
      <c r="C479" s="14">
        <v>45835</v>
      </c>
      <c r="D479" s="14" t="str">
        <f t="shared" si="79"/>
        <v>Q2 -2025</v>
      </c>
      <c r="E479" s="6">
        <v>45843</v>
      </c>
      <c r="F479" s="6">
        <f t="shared" si="80"/>
        <v>45843</v>
      </c>
      <c r="G479" s="12">
        <f t="shared" si="81"/>
        <v>8</v>
      </c>
      <c r="H479" s="12">
        <f t="shared" si="82"/>
        <v>0</v>
      </c>
      <c r="I479" s="4" t="s">
        <v>649</v>
      </c>
      <c r="J479" s="4" t="s">
        <v>656</v>
      </c>
      <c r="K479" s="4" t="s">
        <v>684</v>
      </c>
      <c r="L479" t="str">
        <f t="shared" si="83"/>
        <v>Europe&gt;Germany&gt;Munich</v>
      </c>
      <c r="M479" s="4" t="s">
        <v>705</v>
      </c>
      <c r="N479" s="4" t="s">
        <v>711</v>
      </c>
      <c r="O479" s="4" t="s">
        <v>715</v>
      </c>
      <c r="P479" s="4" t="s">
        <v>732</v>
      </c>
      <c r="Q479" s="4" t="s">
        <v>992</v>
      </c>
      <c r="R479" s="8">
        <v>314.93</v>
      </c>
      <c r="S479" s="8">
        <v>687.95</v>
      </c>
      <c r="T479" s="8">
        <v>687.95</v>
      </c>
      <c r="U479" s="8" t="str">
        <f>IF(T479&lt;=_xlfn.PERCENTILE.INC($T479:$T$633,0.33), "Low", IF(T479&lt;=_xlfn.PERCENTILE.INC($T479:$T$633,0.66), "Medium", "High"))</f>
        <v>Low</v>
      </c>
      <c r="V479" s="10">
        <v>0.20499999999999999</v>
      </c>
      <c r="W479" s="10">
        <f t="shared" si="84"/>
        <v>0.20499999999999999</v>
      </c>
      <c r="X479" s="12">
        <v>8</v>
      </c>
      <c r="Y479" s="8">
        <f t="shared" si="77"/>
        <v>4375.3620000000001</v>
      </c>
      <c r="Z479" s="8">
        <f t="shared" si="78"/>
        <v>2519.44</v>
      </c>
      <c r="AA479" s="8">
        <f t="shared" si="85"/>
        <v>1855.922</v>
      </c>
      <c r="AB479" s="10">
        <f t="shared" si="86"/>
        <v>0.424175645352316</v>
      </c>
      <c r="AC479" s="14">
        <f>_xlfn.MINIFS($C$2:$C$633, $J$2:$J$633, J479)</f>
        <v>44948</v>
      </c>
      <c r="AD479">
        <f>DATEDIF(AC479, C479, "m")</f>
        <v>29</v>
      </c>
      <c r="AE479" s="8">
        <f t="shared" si="87"/>
        <v>546.92025000000001</v>
      </c>
    </row>
    <row r="480" spans="1:31" x14ac:dyDescent="0.3">
      <c r="A480" s="4" t="s">
        <v>390</v>
      </c>
      <c r="B480" s="6">
        <v>45835</v>
      </c>
      <c r="C480" s="14">
        <v>45835</v>
      </c>
      <c r="D480" s="14" t="str">
        <f t="shared" si="79"/>
        <v>Q2 -2025</v>
      </c>
      <c r="E480" s="6">
        <v>45849</v>
      </c>
      <c r="F480" s="6">
        <f t="shared" si="80"/>
        <v>45849</v>
      </c>
      <c r="G480" s="12">
        <f t="shared" si="81"/>
        <v>14</v>
      </c>
      <c r="H480" s="12">
        <f t="shared" si="82"/>
        <v>0</v>
      </c>
      <c r="I480" s="4" t="s">
        <v>647</v>
      </c>
      <c r="J480" s="4" t="s">
        <v>659</v>
      </c>
      <c r="K480" s="4" t="s">
        <v>685</v>
      </c>
      <c r="L480" t="str">
        <f t="shared" si="83"/>
        <v>Asia&gt;China&gt;Shanghai</v>
      </c>
      <c r="M480" s="4" t="s">
        <v>705</v>
      </c>
      <c r="N480" s="4" t="s">
        <v>709</v>
      </c>
      <c r="O480" s="4" t="s">
        <v>716</v>
      </c>
      <c r="P480" s="4" t="s">
        <v>729</v>
      </c>
      <c r="Q480" s="4" t="s">
        <v>1110</v>
      </c>
      <c r="R480" s="8">
        <v>1227.7</v>
      </c>
      <c r="S480" s="8">
        <v>2197.23</v>
      </c>
      <c r="T480" s="8">
        <v>2197.23</v>
      </c>
      <c r="U480" s="8" t="str">
        <f>IF(T480&lt;=_xlfn.PERCENTILE.INC($T480:$T$633,0.33), "Low", IF(T480&lt;=_xlfn.PERCENTILE.INC($T480:$T$633,0.66), "Medium", "High"))</f>
        <v>High</v>
      </c>
      <c r="V480" s="10">
        <v>9.9000000000000005E-2</v>
      </c>
      <c r="W480" s="10">
        <f t="shared" si="84"/>
        <v>9.9000000000000005E-2</v>
      </c>
      <c r="X480" s="12">
        <v>22</v>
      </c>
      <c r="Y480" s="8">
        <f t="shared" si="77"/>
        <v>43553.493060000001</v>
      </c>
      <c r="Z480" s="8">
        <f t="shared" si="78"/>
        <v>27009.4</v>
      </c>
      <c r="AA480" s="8">
        <f t="shared" si="85"/>
        <v>16544.093059999999</v>
      </c>
      <c r="AB480" s="10">
        <f t="shared" si="86"/>
        <v>0.37985685871873898</v>
      </c>
      <c r="AC480" s="14">
        <f>_xlfn.MINIFS($C$2:$C$633, $J$2:$J$633, J480)</f>
        <v>44938</v>
      </c>
      <c r="AD480">
        <f>DATEDIF(AC480, C480, "m")</f>
        <v>29</v>
      </c>
      <c r="AE480" s="8">
        <f t="shared" si="87"/>
        <v>1979.7042300000001</v>
      </c>
    </row>
    <row r="481" spans="1:31" x14ac:dyDescent="0.3">
      <c r="A481" s="4" t="s">
        <v>616</v>
      </c>
      <c r="B481" s="6">
        <v>45880</v>
      </c>
      <c r="C481" s="14">
        <v>45880</v>
      </c>
      <c r="D481" s="14" t="str">
        <f t="shared" si="79"/>
        <v>Q3 -2025</v>
      </c>
      <c r="E481" s="6">
        <v>45897</v>
      </c>
      <c r="F481" s="6">
        <f t="shared" si="80"/>
        <v>45897</v>
      </c>
      <c r="G481" s="12">
        <f t="shared" si="81"/>
        <v>17</v>
      </c>
      <c r="H481" s="12">
        <f t="shared" si="82"/>
        <v>0</v>
      </c>
      <c r="I481" s="4" t="s">
        <v>649</v>
      </c>
      <c r="J481" s="4" t="s">
        <v>657</v>
      </c>
      <c r="K481" s="4" t="s">
        <v>690</v>
      </c>
      <c r="L481" t="str">
        <f t="shared" si="83"/>
        <v>Europe&gt;France&gt;Paris</v>
      </c>
      <c r="M481" s="4" t="s">
        <v>702</v>
      </c>
      <c r="N481" s="4" t="s">
        <v>708</v>
      </c>
      <c r="O481" s="4" t="s">
        <v>721</v>
      </c>
      <c r="P481" s="4" t="s">
        <v>729</v>
      </c>
      <c r="Q481" s="4" t="s">
        <v>1334</v>
      </c>
      <c r="R481" s="8">
        <v>416.16</v>
      </c>
      <c r="S481" s="8">
        <v>571.9</v>
      </c>
      <c r="T481" s="8">
        <v>571.9</v>
      </c>
      <c r="U481" s="8" t="str">
        <f>IF(T481&lt;=_xlfn.PERCENTILE.INC($T481:$T$633,0.33), "Low", IF(T481&lt;=_xlfn.PERCENTILE.INC($T481:$T$633,0.66), "Medium", "High"))</f>
        <v>Low</v>
      </c>
      <c r="V481" s="10">
        <v>7.0999999999999994E-2</v>
      </c>
      <c r="W481" s="10">
        <f t="shared" si="84"/>
        <v>7.0999999999999994E-2</v>
      </c>
      <c r="X481" s="12">
        <v>2</v>
      </c>
      <c r="Y481" s="8">
        <f t="shared" si="77"/>
        <v>1062.5902000000001</v>
      </c>
      <c r="Z481" s="8">
        <f t="shared" si="78"/>
        <v>832.32</v>
      </c>
      <c r="AA481" s="8">
        <f t="shared" si="85"/>
        <v>230.27020000000005</v>
      </c>
      <c r="AB481" s="10">
        <f t="shared" si="86"/>
        <v>0.21670649701079497</v>
      </c>
      <c r="AC481" s="14">
        <f>_xlfn.MINIFS($C$2:$C$633, $J$2:$J$633, J481)</f>
        <v>44936</v>
      </c>
      <c r="AD481">
        <f>DATEDIF(AC481, C481, "m")</f>
        <v>31</v>
      </c>
      <c r="AE481" s="8">
        <f t="shared" si="87"/>
        <v>531.29510000000005</v>
      </c>
    </row>
    <row r="482" spans="1:31" x14ac:dyDescent="0.3">
      <c r="A482" s="4" t="s">
        <v>314</v>
      </c>
      <c r="B482" s="6">
        <v>45787</v>
      </c>
      <c r="C482" s="14">
        <v>45787</v>
      </c>
      <c r="D482" s="14" t="str">
        <f t="shared" si="79"/>
        <v>Q2 -2025</v>
      </c>
      <c r="E482" s="6">
        <v>45804</v>
      </c>
      <c r="F482" s="6">
        <f t="shared" si="80"/>
        <v>45804</v>
      </c>
      <c r="G482" s="12">
        <f t="shared" si="81"/>
        <v>17</v>
      </c>
      <c r="H482" s="12">
        <f t="shared" si="82"/>
        <v>0</v>
      </c>
      <c r="I482" s="4" t="s">
        <v>648</v>
      </c>
      <c r="J482" s="4" t="s">
        <v>653</v>
      </c>
      <c r="K482" s="4" t="s">
        <v>688</v>
      </c>
      <c r="L482" t="str">
        <f t="shared" si="83"/>
        <v>Americas&gt;Canada&gt;Vancouver</v>
      </c>
      <c r="M482" s="4" t="s">
        <v>702</v>
      </c>
      <c r="N482" s="4" t="s">
        <v>711</v>
      </c>
      <c r="O482" s="4" t="s">
        <v>712</v>
      </c>
      <c r="P482" s="4" t="s">
        <v>727</v>
      </c>
      <c r="Q482" s="4" t="s">
        <v>1034</v>
      </c>
      <c r="R482" s="8">
        <v>862.89</v>
      </c>
      <c r="S482" s="8">
        <v>1426.03</v>
      </c>
      <c r="T482" s="8">
        <v>1426.03</v>
      </c>
      <c r="U482" s="8" t="str">
        <f>IF(T482&lt;=_xlfn.PERCENTILE.INC($T482:$T$633,0.33), "Low", IF(T482&lt;=_xlfn.PERCENTILE.INC($T482:$T$633,0.66), "Medium", "High"))</f>
        <v>Medium</v>
      </c>
      <c r="V482" s="10">
        <v>5.6000000000000001E-2</v>
      </c>
      <c r="W482" s="10">
        <f t="shared" si="84"/>
        <v>5.6000000000000001E-2</v>
      </c>
      <c r="X482" s="12">
        <v>19</v>
      </c>
      <c r="Y482" s="8">
        <f t="shared" si="77"/>
        <v>25577.274079999999</v>
      </c>
      <c r="Z482" s="8">
        <f t="shared" si="78"/>
        <v>16394.91</v>
      </c>
      <c r="AA482" s="8">
        <f t="shared" si="85"/>
        <v>9182.3640799999994</v>
      </c>
      <c r="AB482" s="10">
        <f t="shared" si="86"/>
        <v>0.35900479665188778</v>
      </c>
      <c r="AC482" s="14">
        <f>_xlfn.MINIFS($C$2:$C$633, $J$2:$J$633, J482)</f>
        <v>44928</v>
      </c>
      <c r="AD482">
        <f>DATEDIF(AC482, C482, "m")</f>
        <v>28</v>
      </c>
      <c r="AE482" s="8">
        <f t="shared" si="87"/>
        <v>1346.1723199999999</v>
      </c>
    </row>
    <row r="483" spans="1:31" x14ac:dyDescent="0.3">
      <c r="A483" s="4" t="s">
        <v>394</v>
      </c>
      <c r="B483" s="6">
        <v>45688</v>
      </c>
      <c r="C483" s="14">
        <v>45688</v>
      </c>
      <c r="D483" s="14" t="str">
        <f t="shared" si="79"/>
        <v>Q1 -2025</v>
      </c>
      <c r="E483" s="6">
        <v>45705</v>
      </c>
      <c r="F483" s="6">
        <f t="shared" si="80"/>
        <v>45705</v>
      </c>
      <c r="G483" s="12">
        <f t="shared" si="81"/>
        <v>17</v>
      </c>
      <c r="H483" s="12">
        <f t="shared" si="82"/>
        <v>0</v>
      </c>
      <c r="I483" s="4" t="s">
        <v>649</v>
      </c>
      <c r="J483" s="4" t="s">
        <v>658</v>
      </c>
      <c r="K483" s="4" t="s">
        <v>683</v>
      </c>
      <c r="L483" t="str">
        <f t="shared" si="83"/>
        <v>Europe&gt;United Kingdom&gt;London</v>
      </c>
      <c r="M483" s="4" t="s">
        <v>706</v>
      </c>
      <c r="N483" s="4" t="s">
        <v>707</v>
      </c>
      <c r="O483" s="4" t="s">
        <v>722</v>
      </c>
      <c r="P483" s="4" t="s">
        <v>727</v>
      </c>
      <c r="Q483" s="4" t="s">
        <v>812</v>
      </c>
      <c r="R483" s="8">
        <v>378.26</v>
      </c>
      <c r="S483" s="8">
        <v>541.55999999999995</v>
      </c>
      <c r="T483" s="8">
        <v>541.55999999999995</v>
      </c>
      <c r="U483" s="8" t="str">
        <f>IF(T483&lt;=_xlfn.PERCENTILE.INC($T483:$T$633,0.33), "Low", IF(T483&lt;=_xlfn.PERCENTILE.INC($T483:$T$633,0.66), "Medium", "High"))</f>
        <v>Low</v>
      </c>
      <c r="V483" s="10">
        <v>0.16300000000000001</v>
      </c>
      <c r="W483" s="10">
        <f t="shared" si="84"/>
        <v>0.16300000000000001</v>
      </c>
      <c r="X483" s="12">
        <v>25</v>
      </c>
      <c r="Y483" s="8">
        <f t="shared" si="77"/>
        <v>11332.142999999998</v>
      </c>
      <c r="Z483" s="8">
        <f t="shared" si="78"/>
        <v>9456.5</v>
      </c>
      <c r="AA483" s="8">
        <f t="shared" si="85"/>
        <v>1875.6429999999982</v>
      </c>
      <c r="AB483" s="10">
        <f t="shared" si="86"/>
        <v>0.16551529573885526</v>
      </c>
      <c r="AC483" s="14">
        <f>_xlfn.MINIFS($C$2:$C$633, $J$2:$J$633, J483)</f>
        <v>44945</v>
      </c>
      <c r="AD483">
        <f>DATEDIF(AC483, C483, "m")</f>
        <v>24</v>
      </c>
      <c r="AE483" s="8">
        <f t="shared" si="87"/>
        <v>453.28571999999991</v>
      </c>
    </row>
    <row r="484" spans="1:31" x14ac:dyDescent="0.3">
      <c r="A484" s="4" t="s">
        <v>432</v>
      </c>
      <c r="B484" s="6">
        <v>45730</v>
      </c>
      <c r="C484" s="14">
        <v>45730</v>
      </c>
      <c r="D484" s="14" t="str">
        <f t="shared" si="79"/>
        <v>Q1 -2025</v>
      </c>
      <c r="E484" s="6">
        <v>45755</v>
      </c>
      <c r="F484" s="6">
        <f t="shared" si="80"/>
        <v>45755</v>
      </c>
      <c r="G484" s="12">
        <f t="shared" si="81"/>
        <v>25</v>
      </c>
      <c r="H484" s="12">
        <f t="shared" si="82"/>
        <v>0</v>
      </c>
      <c r="I484" s="4" t="s">
        <v>647</v>
      </c>
      <c r="J484" s="4" t="s">
        <v>659</v>
      </c>
      <c r="K484" s="4" t="s">
        <v>1422</v>
      </c>
      <c r="L484" t="str">
        <f t="shared" si="83"/>
        <v>Asia&gt;China&gt;Unknown</v>
      </c>
      <c r="M484" s="4" t="s">
        <v>701</v>
      </c>
      <c r="N484" s="4" t="s">
        <v>710</v>
      </c>
      <c r="O484" s="4" t="s">
        <v>726</v>
      </c>
      <c r="P484" s="4" t="s">
        <v>728</v>
      </c>
      <c r="Q484" s="4" t="s">
        <v>1151</v>
      </c>
      <c r="R484" s="8">
        <v>80.59</v>
      </c>
      <c r="S484" s="8">
        <v>157.82</v>
      </c>
      <c r="T484" s="8">
        <v>157.82</v>
      </c>
      <c r="U484" s="8" t="str">
        <f>IF(T484&lt;=_xlfn.PERCENTILE.INC($T484:$T$633,0.33), "Low", IF(T484&lt;=_xlfn.PERCENTILE.INC($T484:$T$633,0.66), "Medium", "High"))</f>
        <v>Low</v>
      </c>
      <c r="V484" s="10">
        <v>0.217</v>
      </c>
      <c r="W484" s="10">
        <f t="shared" si="84"/>
        <v>0.217</v>
      </c>
      <c r="X484" s="12">
        <v>6</v>
      </c>
      <c r="Y484" s="8">
        <f t="shared" si="77"/>
        <v>741.43835999999999</v>
      </c>
      <c r="Z484" s="8">
        <f t="shared" si="78"/>
        <v>483.54</v>
      </c>
      <c r="AA484" s="8">
        <f t="shared" si="85"/>
        <v>257.89835999999997</v>
      </c>
      <c r="AB484" s="10">
        <f t="shared" si="86"/>
        <v>0.34783519967863541</v>
      </c>
      <c r="AC484" s="14">
        <f>_xlfn.MINIFS($C$2:$C$633, $J$2:$J$633, J484)</f>
        <v>44938</v>
      </c>
      <c r="AD484">
        <f>DATEDIF(AC484, C484, "m")</f>
        <v>26</v>
      </c>
      <c r="AE484" s="8">
        <f t="shared" si="87"/>
        <v>123.57306</v>
      </c>
    </row>
    <row r="485" spans="1:31" x14ac:dyDescent="0.3">
      <c r="A485" s="4" t="s">
        <v>329</v>
      </c>
      <c r="B485" s="6">
        <v>45809</v>
      </c>
      <c r="C485" s="14">
        <v>45809</v>
      </c>
      <c r="D485" s="14" t="str">
        <f t="shared" si="79"/>
        <v>Q2 -2025</v>
      </c>
      <c r="E485" s="6">
        <v>45814</v>
      </c>
      <c r="F485" s="6">
        <f t="shared" si="80"/>
        <v>45814</v>
      </c>
      <c r="G485" s="12">
        <f t="shared" si="81"/>
        <v>5</v>
      </c>
      <c r="H485" s="12">
        <f t="shared" si="82"/>
        <v>1</v>
      </c>
      <c r="I485" s="4" t="s">
        <v>649</v>
      </c>
      <c r="J485" s="4" t="s">
        <v>657</v>
      </c>
      <c r="K485" s="4" t="s">
        <v>690</v>
      </c>
      <c r="L485" t="str">
        <f t="shared" si="83"/>
        <v>Europe&gt;France&gt;Paris</v>
      </c>
      <c r="M485" s="4" t="s">
        <v>704</v>
      </c>
      <c r="N485" s="4" t="s">
        <v>710</v>
      </c>
      <c r="O485" s="4" t="s">
        <v>715</v>
      </c>
      <c r="P485" s="4" t="s">
        <v>727</v>
      </c>
      <c r="Q485" s="4" t="s">
        <v>1049</v>
      </c>
      <c r="R485" s="8">
        <v>379.45</v>
      </c>
      <c r="S485" s="8">
        <v>742.23</v>
      </c>
      <c r="T485" s="8">
        <v>742.23</v>
      </c>
      <c r="U485" s="8" t="str">
        <f>IF(T485&lt;=_xlfn.PERCENTILE.INC($T485:$T$633,0.33), "Low", IF(T485&lt;=_xlfn.PERCENTILE.INC($T485:$T$633,0.66), "Medium", "High"))</f>
        <v>Medium</v>
      </c>
      <c r="V485" s="10">
        <v>0.09</v>
      </c>
      <c r="W485" s="10">
        <f t="shared" si="84"/>
        <v>0.09</v>
      </c>
      <c r="X485" s="12">
        <v>13</v>
      </c>
      <c r="Y485" s="8">
        <f t="shared" si="77"/>
        <v>8780.5809000000008</v>
      </c>
      <c r="Z485" s="8">
        <f t="shared" si="78"/>
        <v>4932.8499999999995</v>
      </c>
      <c r="AA485" s="8">
        <f t="shared" si="85"/>
        <v>3847.7309000000014</v>
      </c>
      <c r="AB485" s="10">
        <f t="shared" si="86"/>
        <v>0.43820915083192286</v>
      </c>
      <c r="AC485" s="14">
        <f>_xlfn.MINIFS($C$2:$C$633, $J$2:$J$633, J485)</f>
        <v>44936</v>
      </c>
      <c r="AD485">
        <f>DATEDIF(AC485, C485, "m")</f>
        <v>28</v>
      </c>
      <c r="AE485" s="8">
        <f t="shared" si="87"/>
        <v>675.42930000000001</v>
      </c>
    </row>
    <row r="486" spans="1:31" x14ac:dyDescent="0.3">
      <c r="A486" s="4" t="s">
        <v>32</v>
      </c>
      <c r="B486" s="6">
        <v>45908</v>
      </c>
      <c r="C486" s="14">
        <v>45908</v>
      </c>
      <c r="D486" s="14" t="str">
        <f t="shared" si="79"/>
        <v>Q3 -2025</v>
      </c>
      <c r="E486" s="6">
        <v>45916</v>
      </c>
      <c r="F486" s="6">
        <f t="shared" si="80"/>
        <v>45916</v>
      </c>
      <c r="G486" s="12">
        <f t="shared" si="81"/>
        <v>8</v>
      </c>
      <c r="H486" s="12">
        <f t="shared" si="82"/>
        <v>0</v>
      </c>
      <c r="I486" s="4" t="s">
        <v>647</v>
      </c>
      <c r="J486" s="4" t="s">
        <v>652</v>
      </c>
      <c r="K486" s="4" t="s">
        <v>666</v>
      </c>
      <c r="L486" t="str">
        <f t="shared" si="83"/>
        <v>Asia&gt;Japan&gt;Osaka</v>
      </c>
      <c r="M486" s="4" t="s">
        <v>701</v>
      </c>
      <c r="N486" s="4" t="s">
        <v>710</v>
      </c>
      <c r="O486" s="4" t="s">
        <v>712</v>
      </c>
      <c r="P486" s="4" t="s">
        <v>730</v>
      </c>
      <c r="Q486" s="4" t="s">
        <v>751</v>
      </c>
      <c r="R486" s="8">
        <v>1225.57</v>
      </c>
      <c r="S486" s="8">
        <v>2705.57</v>
      </c>
      <c r="T486" s="8">
        <v>2705.57</v>
      </c>
      <c r="U486" s="8" t="str">
        <f>IF(T486&lt;=_xlfn.PERCENTILE.INC($T486:$T$633,0.33), "Low", IF(T486&lt;=_xlfn.PERCENTILE.INC($T486:$T$633,0.66), "Medium", "High"))</f>
        <v>High</v>
      </c>
      <c r="V486" s="10">
        <v>0.183</v>
      </c>
      <c r="W486" s="10">
        <f t="shared" si="84"/>
        <v>0.183</v>
      </c>
      <c r="X486" s="12">
        <v>16</v>
      </c>
      <c r="Y486" s="8">
        <f t="shared" si="77"/>
        <v>35367.211040000002</v>
      </c>
      <c r="Z486" s="8">
        <f t="shared" si="78"/>
        <v>19609.12</v>
      </c>
      <c r="AA486" s="8">
        <f t="shared" si="85"/>
        <v>15758.091040000003</v>
      </c>
      <c r="AB486" s="10">
        <f t="shared" si="86"/>
        <v>0.44555650775453404</v>
      </c>
      <c r="AC486" s="14">
        <f>_xlfn.MINIFS($C$2:$C$633, $J$2:$J$633, J486)</f>
        <v>44988</v>
      </c>
      <c r="AD486">
        <f>DATEDIF(AC486, C486, "m")</f>
        <v>30</v>
      </c>
      <c r="AE486" s="8">
        <f t="shared" si="87"/>
        <v>2210.4506900000001</v>
      </c>
    </row>
    <row r="487" spans="1:31" x14ac:dyDescent="0.3">
      <c r="A487" s="4" t="s">
        <v>161</v>
      </c>
      <c r="B487" s="6">
        <v>45911</v>
      </c>
      <c r="C487" s="14">
        <v>45911</v>
      </c>
      <c r="D487" s="14" t="str">
        <f t="shared" si="79"/>
        <v>Q3 -2025</v>
      </c>
      <c r="E487" s="6">
        <v>45928</v>
      </c>
      <c r="F487" s="6">
        <f t="shared" si="80"/>
        <v>45928</v>
      </c>
      <c r="G487" s="12">
        <f t="shared" si="81"/>
        <v>17</v>
      </c>
      <c r="H487" s="12">
        <f t="shared" si="82"/>
        <v>0</v>
      </c>
      <c r="I487" s="4" t="s">
        <v>646</v>
      </c>
      <c r="J487" s="4" t="s">
        <v>650</v>
      </c>
      <c r="K487" s="4" t="s">
        <v>664</v>
      </c>
      <c r="L487" t="str">
        <f t="shared" si="83"/>
        <v>Africa&gt;Kenya&gt;Nairobi</v>
      </c>
      <c r="M487" s="4" t="s">
        <v>703</v>
      </c>
      <c r="N487" s="4" t="s">
        <v>710</v>
      </c>
      <c r="O487" s="4" t="s">
        <v>713</v>
      </c>
      <c r="P487" s="4" t="s">
        <v>731</v>
      </c>
      <c r="Q487" s="4" t="s">
        <v>880</v>
      </c>
      <c r="R487" s="8">
        <v>891.46</v>
      </c>
      <c r="S487" s="8">
        <v>728.61</v>
      </c>
      <c r="T487" s="8">
        <v>728.61</v>
      </c>
      <c r="U487" s="8" t="str">
        <f>IF(T487&lt;=_xlfn.PERCENTILE.INC($T487:$T$633,0.33), "Low", IF(T487&lt;=_xlfn.PERCENTILE.INC($T487:$T$633,0.66), "Medium", "High"))</f>
        <v>Medium</v>
      </c>
      <c r="V487" s="10">
        <v>0.185</v>
      </c>
      <c r="W487" s="10">
        <f t="shared" si="84"/>
        <v>0.185</v>
      </c>
      <c r="X487" s="12">
        <v>6</v>
      </c>
      <c r="Y487" s="8">
        <f t="shared" si="77"/>
        <v>3562.9028999999996</v>
      </c>
      <c r="Z487" s="8">
        <f t="shared" si="78"/>
        <v>5348.76</v>
      </c>
      <c r="AA487" s="8">
        <f t="shared" si="85"/>
        <v>-1785.8571000000006</v>
      </c>
      <c r="AB487" s="10">
        <f t="shared" si="86"/>
        <v>-0.50123653383874167</v>
      </c>
      <c r="AC487" s="14">
        <f>_xlfn.MINIFS($C$2:$C$633, $J$2:$J$633, J487)</f>
        <v>44946</v>
      </c>
      <c r="AD487">
        <f>DATEDIF(AC487, C487, "m")</f>
        <v>31</v>
      </c>
      <c r="AE487" s="8">
        <f t="shared" si="87"/>
        <v>593.81714999999997</v>
      </c>
    </row>
    <row r="488" spans="1:31" x14ac:dyDescent="0.3">
      <c r="A488" s="4" t="s">
        <v>165</v>
      </c>
      <c r="B488" s="6">
        <v>45763</v>
      </c>
      <c r="C488" s="14">
        <v>45763</v>
      </c>
      <c r="D488" s="14" t="str">
        <f t="shared" si="79"/>
        <v>Q2 -2025</v>
      </c>
      <c r="E488" s="6">
        <v>45793</v>
      </c>
      <c r="F488" s="6">
        <f t="shared" si="80"/>
        <v>45793</v>
      </c>
      <c r="G488" s="12">
        <f t="shared" si="81"/>
        <v>30</v>
      </c>
      <c r="H488" s="12">
        <f t="shared" si="82"/>
        <v>0</v>
      </c>
      <c r="I488" s="4" t="s">
        <v>648</v>
      </c>
      <c r="J488" s="4" t="s">
        <v>653</v>
      </c>
      <c r="K488" s="4" t="s">
        <v>681</v>
      </c>
      <c r="L488" t="str">
        <f t="shared" si="83"/>
        <v>Americas&gt;Canada&gt;Montreal</v>
      </c>
      <c r="M488" s="4" t="s">
        <v>706</v>
      </c>
      <c r="N488" s="4" t="s">
        <v>710</v>
      </c>
      <c r="O488" s="4" t="s">
        <v>723</v>
      </c>
      <c r="P488" s="4" t="s">
        <v>728</v>
      </c>
      <c r="Q488" s="4" t="s">
        <v>884</v>
      </c>
      <c r="R488" s="8">
        <v>763.32</v>
      </c>
      <c r="S488" s="8">
        <v>568.29</v>
      </c>
      <c r="T488" s="8">
        <v>568.29</v>
      </c>
      <c r="U488" s="8" t="str">
        <f>IF(T488&lt;=_xlfn.PERCENTILE.INC($T488:$T$633,0.33), "Low", IF(T488&lt;=_xlfn.PERCENTILE.INC($T488:$T$633,0.66), "Medium", "High"))</f>
        <v>Low</v>
      </c>
      <c r="V488" s="10">
        <v>0.13100000000000001</v>
      </c>
      <c r="W488" s="10">
        <f t="shared" si="84"/>
        <v>0.13100000000000001</v>
      </c>
      <c r="X488" s="12">
        <v>16</v>
      </c>
      <c r="Y488" s="8">
        <f t="shared" si="77"/>
        <v>7901.5041599999995</v>
      </c>
      <c r="Z488" s="8">
        <f t="shared" si="78"/>
        <v>12213.12</v>
      </c>
      <c r="AA488" s="8">
        <f t="shared" si="85"/>
        <v>-4311.6158400000013</v>
      </c>
      <c r="AB488" s="10">
        <f t="shared" si="86"/>
        <v>-0.54567026134426555</v>
      </c>
      <c r="AC488" s="14">
        <f>_xlfn.MINIFS($C$2:$C$633, $J$2:$J$633, J488)</f>
        <v>44928</v>
      </c>
      <c r="AD488">
        <f>DATEDIF(AC488, C488, "m")</f>
        <v>27</v>
      </c>
      <c r="AE488" s="8">
        <f t="shared" si="87"/>
        <v>493.84400999999997</v>
      </c>
    </row>
    <row r="489" spans="1:31" x14ac:dyDescent="0.3">
      <c r="A489" s="4" t="s">
        <v>599</v>
      </c>
      <c r="B489" s="6">
        <v>45764</v>
      </c>
      <c r="C489" s="14">
        <v>45764</v>
      </c>
      <c r="D489" s="14" t="str">
        <f t="shared" si="79"/>
        <v>Q2 -2025</v>
      </c>
      <c r="E489" s="6">
        <v>45764</v>
      </c>
      <c r="F489" s="6">
        <f t="shared" si="80"/>
        <v>45764</v>
      </c>
      <c r="G489" s="12">
        <f t="shared" si="81"/>
        <v>0</v>
      </c>
      <c r="H489" s="12">
        <f t="shared" si="82"/>
        <v>1</v>
      </c>
      <c r="I489" s="4" t="s">
        <v>648</v>
      </c>
      <c r="J489" s="4" t="s">
        <v>655</v>
      </c>
      <c r="K489" s="4" t="s">
        <v>670</v>
      </c>
      <c r="L489" t="str">
        <f t="shared" si="83"/>
        <v>Americas&gt;Brazil&gt;São Paulo</v>
      </c>
      <c r="M489" s="4" t="s">
        <v>701</v>
      </c>
      <c r="N489" s="4" t="s">
        <v>710</v>
      </c>
      <c r="O489" s="4" t="s">
        <v>716</v>
      </c>
      <c r="P489" s="4" t="s">
        <v>730</v>
      </c>
      <c r="Q489" s="4" t="s">
        <v>1317</v>
      </c>
      <c r="R489" s="8">
        <v>719.41</v>
      </c>
      <c r="S489" s="8">
        <v>1125.99</v>
      </c>
      <c r="T489" s="8">
        <v>1125.99</v>
      </c>
      <c r="U489" s="8" t="str">
        <f>IF(T489&lt;=_xlfn.PERCENTILE.INC($T489:$T$633,0.33), "Low", IF(T489&lt;=_xlfn.PERCENTILE.INC($T489:$T$633,0.66), "Medium", "High"))</f>
        <v>Medium</v>
      </c>
      <c r="V489" s="10">
        <v>4.1000000000000002E-2</v>
      </c>
      <c r="W489" s="10">
        <f t="shared" si="84"/>
        <v>4.1000000000000002E-2</v>
      </c>
      <c r="X489" s="12">
        <v>21</v>
      </c>
      <c r="Y489" s="8">
        <f t="shared" si="77"/>
        <v>22676.312610000001</v>
      </c>
      <c r="Z489" s="8">
        <f t="shared" si="78"/>
        <v>15107.609999999999</v>
      </c>
      <c r="AA489" s="8">
        <f t="shared" si="85"/>
        <v>7568.7026100000021</v>
      </c>
      <c r="AB489" s="10">
        <f t="shared" si="86"/>
        <v>0.33377131194876403</v>
      </c>
      <c r="AC489" s="14">
        <f>_xlfn.MINIFS($C$2:$C$633, $J$2:$J$633, J489)</f>
        <v>44955</v>
      </c>
      <c r="AD489">
        <f>DATEDIF(AC489, C489, "m")</f>
        <v>26</v>
      </c>
      <c r="AE489" s="8">
        <f t="shared" si="87"/>
        <v>1079.8244099999999</v>
      </c>
    </row>
    <row r="490" spans="1:31" x14ac:dyDescent="0.3">
      <c r="A490" s="4" t="s">
        <v>263</v>
      </c>
      <c r="B490" s="6">
        <v>45912</v>
      </c>
      <c r="C490" s="14">
        <v>45912</v>
      </c>
      <c r="D490" s="14" t="str">
        <f t="shared" si="79"/>
        <v>Q3 -2025</v>
      </c>
      <c r="E490" s="6">
        <v>45930</v>
      </c>
      <c r="F490" s="6">
        <f t="shared" si="80"/>
        <v>45930</v>
      </c>
      <c r="G490" s="12">
        <f t="shared" si="81"/>
        <v>18</v>
      </c>
      <c r="H490" s="12">
        <f t="shared" si="82"/>
        <v>0</v>
      </c>
      <c r="I490" s="4" t="s">
        <v>647</v>
      </c>
      <c r="J490" s="4" t="s">
        <v>652</v>
      </c>
      <c r="K490" s="4" t="s">
        <v>694</v>
      </c>
      <c r="L490" t="str">
        <f t="shared" si="83"/>
        <v>Asia&gt;Japan&gt;Nagoya</v>
      </c>
      <c r="M490" s="4" t="s">
        <v>703</v>
      </c>
      <c r="N490" s="4" t="s">
        <v>709</v>
      </c>
      <c r="O490" s="4" t="s">
        <v>721</v>
      </c>
      <c r="P490" s="4" t="s">
        <v>732</v>
      </c>
      <c r="Q490" s="4" t="s">
        <v>983</v>
      </c>
      <c r="R490" s="8">
        <v>1212.99</v>
      </c>
      <c r="S490" s="8">
        <v>1653.64</v>
      </c>
      <c r="T490" s="8">
        <v>1653.64</v>
      </c>
      <c r="U490" s="8" t="str">
        <f>IF(T490&lt;=_xlfn.PERCENTILE.INC($T490:$T$633,0.33), "Low", IF(T490&lt;=_xlfn.PERCENTILE.INC($T490:$T$633,0.66), "Medium", "High"))</f>
        <v>High</v>
      </c>
      <c r="V490" s="10">
        <v>0.107</v>
      </c>
      <c r="W490" s="10">
        <f t="shared" si="84"/>
        <v>0.107</v>
      </c>
      <c r="X490" s="12">
        <v>8</v>
      </c>
      <c r="Y490" s="8">
        <f t="shared" si="77"/>
        <v>11813.604160000001</v>
      </c>
      <c r="Z490" s="8">
        <f t="shared" si="78"/>
        <v>9703.92</v>
      </c>
      <c r="AA490" s="8">
        <f t="shared" si="85"/>
        <v>2109.6841600000007</v>
      </c>
      <c r="AB490" s="10">
        <f t="shared" si="86"/>
        <v>0.17858090819931455</v>
      </c>
      <c r="AC490" s="14">
        <f>_xlfn.MINIFS($C$2:$C$633, $J$2:$J$633, J490)</f>
        <v>44988</v>
      </c>
      <c r="AD490">
        <f>DATEDIF(AC490, C490, "m")</f>
        <v>30</v>
      </c>
      <c r="AE490" s="8">
        <f t="shared" si="87"/>
        <v>1476.7005200000001</v>
      </c>
    </row>
    <row r="491" spans="1:31" x14ac:dyDescent="0.3">
      <c r="A491" s="4" t="s">
        <v>497</v>
      </c>
      <c r="B491" s="6">
        <v>45775</v>
      </c>
      <c r="C491" s="14">
        <v>45775</v>
      </c>
      <c r="D491" s="14" t="str">
        <f t="shared" si="79"/>
        <v>Q2 -2025</v>
      </c>
      <c r="E491" s="6">
        <v>45796</v>
      </c>
      <c r="F491" s="6">
        <f t="shared" si="80"/>
        <v>45796</v>
      </c>
      <c r="G491" s="12">
        <f t="shared" si="81"/>
        <v>21</v>
      </c>
      <c r="H491" s="12">
        <f t="shared" si="82"/>
        <v>0</v>
      </c>
      <c r="I491" s="4" t="s">
        <v>649</v>
      </c>
      <c r="J491" s="4" t="s">
        <v>656</v>
      </c>
      <c r="K491" s="4" t="s">
        <v>671</v>
      </c>
      <c r="L491" t="str">
        <f t="shared" si="83"/>
        <v>Europe&gt;Germany&gt;Berlin</v>
      </c>
      <c r="M491" s="4" t="s">
        <v>701</v>
      </c>
      <c r="N491" s="4" t="s">
        <v>710</v>
      </c>
      <c r="O491" s="4" t="s">
        <v>717</v>
      </c>
      <c r="P491" s="4" t="s">
        <v>730</v>
      </c>
      <c r="Q491" s="4" t="s">
        <v>1216</v>
      </c>
      <c r="R491" s="8">
        <v>350.76</v>
      </c>
      <c r="S491" s="8">
        <v>492.18</v>
      </c>
      <c r="T491" s="8">
        <v>492.18</v>
      </c>
      <c r="U491" s="8" t="str">
        <f>IF(T491&lt;=_xlfn.PERCENTILE.INC($T491:$T$633,0.33), "Low", IF(T491&lt;=_xlfn.PERCENTILE.INC($T491:$T$633,0.66), "Medium", "High"))</f>
        <v>Low</v>
      </c>
      <c r="V491" s="10">
        <v>5.2999999999999999E-2</v>
      </c>
      <c r="W491" s="10">
        <f t="shared" si="84"/>
        <v>5.2999999999999999E-2</v>
      </c>
      <c r="X491" s="12">
        <v>11</v>
      </c>
      <c r="Y491" s="8">
        <f t="shared" si="77"/>
        <v>5127.0390600000001</v>
      </c>
      <c r="Z491" s="8">
        <f t="shared" si="78"/>
        <v>3858.3599999999997</v>
      </c>
      <c r="AA491" s="8">
        <f t="shared" si="85"/>
        <v>1268.6790600000004</v>
      </c>
      <c r="AB491" s="10">
        <f t="shared" si="86"/>
        <v>0.24744868239798437</v>
      </c>
      <c r="AC491" s="14">
        <f>_xlfn.MINIFS($C$2:$C$633, $J$2:$J$633, J491)</f>
        <v>44948</v>
      </c>
      <c r="AD491">
        <f>DATEDIF(AC491, C491, "m")</f>
        <v>27</v>
      </c>
      <c r="AE491" s="8">
        <f t="shared" si="87"/>
        <v>466.09446000000003</v>
      </c>
    </row>
    <row r="492" spans="1:31" x14ac:dyDescent="0.3">
      <c r="A492" s="4" t="s">
        <v>503</v>
      </c>
      <c r="B492" s="6">
        <v>45792</v>
      </c>
      <c r="C492" s="14">
        <v>45792</v>
      </c>
      <c r="D492" s="14" t="str">
        <f t="shared" si="79"/>
        <v>Q2 -2025</v>
      </c>
      <c r="E492" s="6">
        <v>45813</v>
      </c>
      <c r="F492" s="6">
        <f t="shared" si="80"/>
        <v>45813</v>
      </c>
      <c r="G492" s="12">
        <f t="shared" si="81"/>
        <v>21</v>
      </c>
      <c r="H492" s="12">
        <f t="shared" si="82"/>
        <v>0</v>
      </c>
      <c r="I492" s="4" t="s">
        <v>647</v>
      </c>
      <c r="J492" s="4" t="s">
        <v>652</v>
      </c>
      <c r="K492" s="4" t="s">
        <v>666</v>
      </c>
      <c r="L492" t="str">
        <f t="shared" si="83"/>
        <v>Asia&gt;Japan&gt;Osaka</v>
      </c>
      <c r="M492" s="4" t="s">
        <v>706</v>
      </c>
      <c r="N492" s="4" t="s">
        <v>711</v>
      </c>
      <c r="O492" s="4" t="s">
        <v>722</v>
      </c>
      <c r="P492" s="4" t="s">
        <v>730</v>
      </c>
      <c r="Q492" s="4" t="s">
        <v>1222</v>
      </c>
      <c r="R492" s="8">
        <v>1466.5</v>
      </c>
      <c r="S492" s="8">
        <v>2778.74</v>
      </c>
      <c r="T492" s="8">
        <v>2778.74</v>
      </c>
      <c r="U492" s="8" t="str">
        <f>IF(T492&lt;=_xlfn.PERCENTILE.INC($T492:$T$633,0.33), "Low", IF(T492&lt;=_xlfn.PERCENTILE.INC($T492:$T$633,0.66), "Medium", "High"))</f>
        <v>High</v>
      </c>
      <c r="V492" s="10">
        <v>0.13500000000000001</v>
      </c>
      <c r="W492" s="10">
        <f t="shared" si="84"/>
        <v>0.13500000000000001</v>
      </c>
      <c r="X492" s="12">
        <v>4</v>
      </c>
      <c r="Y492" s="8">
        <f t="shared" si="77"/>
        <v>9614.4403999999995</v>
      </c>
      <c r="Z492" s="8">
        <f t="shared" si="78"/>
        <v>5866</v>
      </c>
      <c r="AA492" s="8">
        <f t="shared" si="85"/>
        <v>3748.4403999999995</v>
      </c>
      <c r="AB492" s="10">
        <f t="shared" si="86"/>
        <v>0.38987608680792279</v>
      </c>
      <c r="AC492" s="14">
        <f>_xlfn.MINIFS($C$2:$C$633, $J$2:$J$633, J492)</f>
        <v>44988</v>
      </c>
      <c r="AD492">
        <f>DATEDIF(AC492, C492, "m")</f>
        <v>26</v>
      </c>
      <c r="AE492" s="8">
        <f t="shared" si="87"/>
        <v>2403.6100999999999</v>
      </c>
    </row>
    <row r="493" spans="1:31" x14ac:dyDescent="0.3">
      <c r="A493" s="4" t="s">
        <v>621</v>
      </c>
      <c r="B493" s="6">
        <v>45827</v>
      </c>
      <c r="C493" s="14">
        <v>45827</v>
      </c>
      <c r="D493" s="14" t="str">
        <f t="shared" si="79"/>
        <v>Q2 -2025</v>
      </c>
      <c r="E493" s="6">
        <v>45829</v>
      </c>
      <c r="F493" s="6">
        <f t="shared" si="80"/>
        <v>45829</v>
      </c>
      <c r="G493" s="12">
        <f t="shared" si="81"/>
        <v>2</v>
      </c>
      <c r="H493" s="12">
        <f t="shared" si="82"/>
        <v>1</v>
      </c>
      <c r="I493" s="4" t="s">
        <v>646</v>
      </c>
      <c r="J493" s="4" t="s">
        <v>661</v>
      </c>
      <c r="K493" s="4" t="s">
        <v>682</v>
      </c>
      <c r="L493" t="str">
        <f t="shared" si="83"/>
        <v>Africa&gt;South Africa&gt;Johannesburg</v>
      </c>
      <c r="M493" s="4" t="s">
        <v>705</v>
      </c>
      <c r="N493" s="4" t="s">
        <v>1423</v>
      </c>
      <c r="O493" s="4" t="s">
        <v>722</v>
      </c>
      <c r="P493" s="4" t="s">
        <v>730</v>
      </c>
      <c r="Q493" s="4" t="s">
        <v>1339</v>
      </c>
      <c r="R493" s="8">
        <v>1466.27</v>
      </c>
      <c r="S493" s="8">
        <v>3589.89</v>
      </c>
      <c r="T493" s="8">
        <v>3589.89</v>
      </c>
      <c r="U493" s="8" t="str">
        <f>IF(T493&lt;=_xlfn.PERCENTILE.INC($T493:$T$633,0.33), "Low", IF(T493&lt;=_xlfn.PERCENTILE.INC($T493:$T$633,0.66), "Medium", "High"))</f>
        <v>High</v>
      </c>
      <c r="V493" s="10">
        <v>9.7000000000000003E-2</v>
      </c>
      <c r="W493" s="10">
        <f t="shared" si="84"/>
        <v>9.7000000000000003E-2</v>
      </c>
      <c r="X493" s="12">
        <v>9</v>
      </c>
      <c r="Y493" s="8">
        <f t="shared" si="77"/>
        <v>29175.036029999999</v>
      </c>
      <c r="Z493" s="8">
        <f t="shared" si="78"/>
        <v>13196.43</v>
      </c>
      <c r="AA493" s="8">
        <f t="shared" si="85"/>
        <v>15978.606029999999</v>
      </c>
      <c r="AB493" s="10">
        <f t="shared" si="86"/>
        <v>0.54768076425234147</v>
      </c>
      <c r="AC493" s="14">
        <f>_xlfn.MINIFS($C$2:$C$633, $J$2:$J$633, J493)</f>
        <v>44933</v>
      </c>
      <c r="AD493">
        <f>DATEDIF(AC493, C493, "m")</f>
        <v>29</v>
      </c>
      <c r="AE493" s="8">
        <f t="shared" si="87"/>
        <v>3241.67067</v>
      </c>
    </row>
    <row r="494" spans="1:31" x14ac:dyDescent="0.3">
      <c r="A494" s="4" t="s">
        <v>111</v>
      </c>
      <c r="B494" s="6">
        <v>45870</v>
      </c>
      <c r="C494" s="14">
        <v>45870</v>
      </c>
      <c r="D494" s="14" t="str">
        <f t="shared" si="79"/>
        <v>Q3 -2025</v>
      </c>
      <c r="E494" s="6">
        <v>45885</v>
      </c>
      <c r="F494" s="6">
        <f t="shared" si="80"/>
        <v>45885</v>
      </c>
      <c r="G494" s="12">
        <f t="shared" si="81"/>
        <v>15</v>
      </c>
      <c r="H494" s="12">
        <f t="shared" si="82"/>
        <v>0</v>
      </c>
      <c r="I494" s="4" t="s">
        <v>647</v>
      </c>
      <c r="J494" s="4" t="s">
        <v>654</v>
      </c>
      <c r="K494" s="4" t="s">
        <v>1422</v>
      </c>
      <c r="L494" t="str">
        <f t="shared" si="83"/>
        <v>Asia&gt;India&gt;Unknown</v>
      </c>
      <c r="M494" s="4" t="s">
        <v>706</v>
      </c>
      <c r="N494" s="4" t="s">
        <v>711</v>
      </c>
      <c r="O494" s="4" t="s">
        <v>719</v>
      </c>
      <c r="P494" s="4" t="s">
        <v>732</v>
      </c>
      <c r="Q494" s="4" t="s">
        <v>830</v>
      </c>
      <c r="R494" s="8">
        <v>24.44</v>
      </c>
      <c r="S494" s="8">
        <v>28.69</v>
      </c>
      <c r="T494" s="8">
        <v>28.69</v>
      </c>
      <c r="U494" s="8" t="str">
        <f>IF(T494&lt;=_xlfn.PERCENTILE.INC($T494:$T$633,0.33), "Low", IF(T494&lt;=_xlfn.PERCENTILE.INC($T494:$T$633,0.66), "Medium", "High"))</f>
        <v>Low</v>
      </c>
      <c r="V494" s="10">
        <v>0.14599999999999999</v>
      </c>
      <c r="W494" s="10">
        <f t="shared" si="84"/>
        <v>0.14599999999999999</v>
      </c>
      <c r="X494" s="12">
        <v>6</v>
      </c>
      <c r="Y494" s="8">
        <f t="shared" si="77"/>
        <v>147.00756000000001</v>
      </c>
      <c r="Z494" s="8">
        <f t="shared" si="78"/>
        <v>146.64000000000001</v>
      </c>
      <c r="AA494" s="8">
        <f t="shared" si="85"/>
        <v>0.36755999999999744</v>
      </c>
      <c r="AB494" s="10">
        <f t="shared" si="86"/>
        <v>2.5002795774584476E-3</v>
      </c>
      <c r="AC494" s="14">
        <f>_xlfn.MINIFS($C$2:$C$633, $J$2:$J$633, J494)</f>
        <v>44955</v>
      </c>
      <c r="AD494">
        <f>DATEDIF(AC494, C494, "m")</f>
        <v>30</v>
      </c>
      <c r="AE494" s="8">
        <f t="shared" si="87"/>
        <v>24.501260000000002</v>
      </c>
    </row>
    <row r="495" spans="1:31" x14ac:dyDescent="0.3">
      <c r="A495" s="4" t="s">
        <v>387</v>
      </c>
      <c r="B495" s="6">
        <v>45751</v>
      </c>
      <c r="C495" s="14">
        <v>45751</v>
      </c>
      <c r="D495" s="14" t="str">
        <f t="shared" si="79"/>
        <v>Q2 -2025</v>
      </c>
      <c r="E495" s="6">
        <v>45757</v>
      </c>
      <c r="F495" s="6">
        <f t="shared" si="80"/>
        <v>45757</v>
      </c>
      <c r="G495" s="12">
        <f t="shared" si="81"/>
        <v>6</v>
      </c>
      <c r="H495" s="12">
        <f t="shared" si="82"/>
        <v>1</v>
      </c>
      <c r="I495" s="4" t="s">
        <v>649</v>
      </c>
      <c r="J495" s="4" t="s">
        <v>658</v>
      </c>
      <c r="K495" s="4" t="s">
        <v>674</v>
      </c>
      <c r="L495" t="str">
        <f t="shared" si="83"/>
        <v>Europe&gt;United Kingdom&gt;Birmingham</v>
      </c>
      <c r="M495" s="4" t="s">
        <v>703</v>
      </c>
      <c r="N495" s="4" t="s">
        <v>711</v>
      </c>
      <c r="O495" s="4" t="s">
        <v>725</v>
      </c>
      <c r="P495" s="4" t="s">
        <v>728</v>
      </c>
      <c r="Q495" s="4" t="s">
        <v>1107</v>
      </c>
      <c r="R495" s="8">
        <v>290.14</v>
      </c>
      <c r="S495" s="8">
        <v>250.73</v>
      </c>
      <c r="T495" s="8">
        <v>250.73</v>
      </c>
      <c r="U495" s="8" t="str">
        <f>IF(T495&lt;=_xlfn.PERCENTILE.INC($T495:$T$633,0.33), "Low", IF(T495&lt;=_xlfn.PERCENTILE.INC($T495:$T$633,0.66), "Medium", "High"))</f>
        <v>Low</v>
      </c>
      <c r="V495" s="10">
        <v>3.4000000000000002E-2</v>
      </c>
      <c r="W495" s="10">
        <f t="shared" si="84"/>
        <v>3.4000000000000002E-2</v>
      </c>
      <c r="X495" s="12">
        <v>17</v>
      </c>
      <c r="Y495" s="8">
        <f t="shared" si="77"/>
        <v>4117.4880599999997</v>
      </c>
      <c r="Z495" s="8">
        <f t="shared" si="78"/>
        <v>4932.38</v>
      </c>
      <c r="AA495" s="8">
        <f t="shared" si="85"/>
        <v>-814.89194000000043</v>
      </c>
      <c r="AB495" s="10">
        <f t="shared" si="86"/>
        <v>-0.19790997038131072</v>
      </c>
      <c r="AC495" s="14">
        <f>_xlfn.MINIFS($C$2:$C$633, $J$2:$J$633, J495)</f>
        <v>44945</v>
      </c>
      <c r="AD495">
        <f>DATEDIF(AC495, C495, "m")</f>
        <v>26</v>
      </c>
      <c r="AE495" s="8">
        <f t="shared" si="87"/>
        <v>242.20517999999998</v>
      </c>
    </row>
    <row r="496" spans="1:31" x14ac:dyDescent="0.3">
      <c r="A496" s="4" t="s">
        <v>435</v>
      </c>
      <c r="B496" s="6">
        <v>45713</v>
      </c>
      <c r="C496" s="14">
        <v>45713</v>
      </c>
      <c r="D496" s="14" t="str">
        <f t="shared" si="79"/>
        <v>Q1 -2025</v>
      </c>
      <c r="E496" s="6">
        <v>45733</v>
      </c>
      <c r="F496" s="6">
        <f t="shared" si="80"/>
        <v>45733</v>
      </c>
      <c r="G496" s="12">
        <f t="shared" si="81"/>
        <v>20</v>
      </c>
      <c r="H496" s="12">
        <f t="shared" si="82"/>
        <v>0</v>
      </c>
      <c r="I496" s="4" t="s">
        <v>648</v>
      </c>
      <c r="J496" s="4" t="s">
        <v>660</v>
      </c>
      <c r="K496" s="4" t="s">
        <v>686</v>
      </c>
      <c r="L496" t="str">
        <f t="shared" si="83"/>
        <v>Americas&gt;USA&gt;San Francisco</v>
      </c>
      <c r="M496" s="4" t="s">
        <v>703</v>
      </c>
      <c r="N496" s="4" t="s">
        <v>709</v>
      </c>
      <c r="O496" s="4" t="s">
        <v>722</v>
      </c>
      <c r="P496" s="4" t="s">
        <v>730</v>
      </c>
      <c r="Q496" s="4" t="s">
        <v>1154</v>
      </c>
      <c r="R496" s="8">
        <v>1205.26</v>
      </c>
      <c r="S496" s="8">
        <v>1696.35</v>
      </c>
      <c r="T496" s="8">
        <v>1696.35</v>
      </c>
      <c r="U496" s="8" t="str">
        <f>IF(T496&lt;=_xlfn.PERCENTILE.INC($T496:$T$633,0.33), "Low", IF(T496&lt;=_xlfn.PERCENTILE.INC($T496:$T$633,0.66), "Medium", "High"))</f>
        <v>High</v>
      </c>
      <c r="V496" s="10">
        <v>1.9E-2</v>
      </c>
      <c r="W496" s="10">
        <f t="shared" si="84"/>
        <v>1.9E-2</v>
      </c>
      <c r="X496" s="12">
        <v>6</v>
      </c>
      <c r="Y496" s="8">
        <f t="shared" si="77"/>
        <v>9984.7160999999978</v>
      </c>
      <c r="Z496" s="8">
        <f t="shared" si="78"/>
        <v>7231.5599999999995</v>
      </c>
      <c r="AA496" s="8">
        <f t="shared" si="85"/>
        <v>2753.1560999999983</v>
      </c>
      <c r="AB496" s="10">
        <f t="shared" si="86"/>
        <v>0.27573704374028213</v>
      </c>
      <c r="AC496" s="14">
        <f>_xlfn.MINIFS($C$2:$C$633, $J$2:$J$633, J496)</f>
        <v>44939</v>
      </c>
      <c r="AD496">
        <f>DATEDIF(AC496, C496, "m")</f>
        <v>25</v>
      </c>
      <c r="AE496" s="8">
        <f t="shared" si="87"/>
        <v>1664.1193499999997</v>
      </c>
    </row>
    <row r="497" spans="1:31" x14ac:dyDescent="0.3">
      <c r="A497" s="4" t="s">
        <v>317</v>
      </c>
      <c r="B497" s="6">
        <v>45830</v>
      </c>
      <c r="C497" s="14">
        <v>45830</v>
      </c>
      <c r="D497" s="14" t="str">
        <f t="shared" si="79"/>
        <v>Q2 -2025</v>
      </c>
      <c r="E497" s="6">
        <v>45846</v>
      </c>
      <c r="F497" s="6">
        <f t="shared" si="80"/>
        <v>45846</v>
      </c>
      <c r="G497" s="12">
        <f t="shared" si="81"/>
        <v>16</v>
      </c>
      <c r="H497" s="12">
        <f t="shared" si="82"/>
        <v>0</v>
      </c>
      <c r="I497" s="4" t="s">
        <v>649</v>
      </c>
      <c r="J497" s="4" t="s">
        <v>658</v>
      </c>
      <c r="K497" s="4" t="s">
        <v>683</v>
      </c>
      <c r="L497" t="str">
        <f t="shared" si="83"/>
        <v>Europe&gt;United Kingdom&gt;London</v>
      </c>
      <c r="M497" s="4" t="s">
        <v>702</v>
      </c>
      <c r="N497" s="4" t="s">
        <v>711</v>
      </c>
      <c r="O497" s="4" t="s">
        <v>720</v>
      </c>
      <c r="P497" s="4" t="s">
        <v>730</v>
      </c>
      <c r="Q497" s="4" t="s">
        <v>1037</v>
      </c>
      <c r="R497" s="8">
        <v>892.73</v>
      </c>
      <c r="S497" s="8">
        <v>979.84</v>
      </c>
      <c r="T497" s="8">
        <v>979.84</v>
      </c>
      <c r="U497" s="8" t="str">
        <f>IF(T497&lt;=_xlfn.PERCENTILE.INC($T497:$T$633,0.33), "Low", IF(T497&lt;=_xlfn.PERCENTILE.INC($T497:$T$633,0.66), "Medium", "High"))</f>
        <v>Medium</v>
      </c>
      <c r="V497" s="10">
        <v>0.17399999999999999</v>
      </c>
      <c r="W497" s="10">
        <f t="shared" si="84"/>
        <v>0.17399999999999999</v>
      </c>
      <c r="X497" s="12">
        <v>10</v>
      </c>
      <c r="Y497" s="8">
        <f t="shared" si="77"/>
        <v>8093.4784</v>
      </c>
      <c r="Z497" s="8">
        <f t="shared" si="78"/>
        <v>8927.2999999999993</v>
      </c>
      <c r="AA497" s="8">
        <f t="shared" si="85"/>
        <v>-833.82159999999931</v>
      </c>
      <c r="AB497" s="10">
        <f t="shared" si="86"/>
        <v>-0.10302388649112838</v>
      </c>
      <c r="AC497" s="14">
        <f>_xlfn.MINIFS($C$2:$C$633, $J$2:$J$633, J497)</f>
        <v>44945</v>
      </c>
      <c r="AD497">
        <f>DATEDIF(AC497, C497, "m")</f>
        <v>29</v>
      </c>
      <c r="AE497" s="8">
        <f t="shared" si="87"/>
        <v>809.34784000000002</v>
      </c>
    </row>
    <row r="498" spans="1:31" x14ac:dyDescent="0.3">
      <c r="A498" s="4" t="s">
        <v>603</v>
      </c>
      <c r="B498" s="6">
        <v>45703</v>
      </c>
      <c r="C498" s="14">
        <v>45703</v>
      </c>
      <c r="D498" s="14" t="str">
        <f t="shared" si="79"/>
        <v>Q1 -2025</v>
      </c>
      <c r="E498" s="6">
        <v>45715</v>
      </c>
      <c r="F498" s="6">
        <f t="shared" si="80"/>
        <v>45715</v>
      </c>
      <c r="G498" s="12">
        <f t="shared" si="81"/>
        <v>12</v>
      </c>
      <c r="H498" s="12">
        <f t="shared" si="82"/>
        <v>0</v>
      </c>
      <c r="I498" s="4" t="s">
        <v>649</v>
      </c>
      <c r="J498" s="4" t="s">
        <v>657</v>
      </c>
      <c r="K498" s="4" t="s">
        <v>679</v>
      </c>
      <c r="L498" t="str">
        <f t="shared" si="83"/>
        <v>Europe&gt;France&gt;Lyon</v>
      </c>
      <c r="M498" s="4" t="s">
        <v>703</v>
      </c>
      <c r="N498" s="4" t="s">
        <v>711</v>
      </c>
      <c r="O498" s="4" t="s">
        <v>723</v>
      </c>
      <c r="P498" s="4" t="s">
        <v>733</v>
      </c>
      <c r="Q498" s="4" t="s">
        <v>1321</v>
      </c>
      <c r="R498" s="8">
        <v>1027.26</v>
      </c>
      <c r="S498" s="8">
        <v>2200.41</v>
      </c>
      <c r="T498" s="8">
        <v>2200.41</v>
      </c>
      <c r="U498" s="8" t="str">
        <f>IF(T498&lt;=_xlfn.PERCENTILE.INC($T498:$T$633,0.33), "Low", IF(T498&lt;=_xlfn.PERCENTILE.INC($T498:$T$633,0.66), "Medium", "High"))</f>
        <v>High</v>
      </c>
      <c r="V498" s="10">
        <v>8.7999999999999995E-2</v>
      </c>
      <c r="W498" s="10">
        <f t="shared" si="84"/>
        <v>8.7999999999999995E-2</v>
      </c>
      <c r="X498" s="12">
        <v>6</v>
      </c>
      <c r="Y498" s="8">
        <f t="shared" si="77"/>
        <v>12040.64352</v>
      </c>
      <c r="Z498" s="8">
        <f t="shared" si="78"/>
        <v>6163.5599999999995</v>
      </c>
      <c r="AA498" s="8">
        <f t="shared" si="85"/>
        <v>5877.0835200000001</v>
      </c>
      <c r="AB498" s="10">
        <f t="shared" si="86"/>
        <v>0.48810377204822358</v>
      </c>
      <c r="AC498" s="14">
        <f>_xlfn.MINIFS($C$2:$C$633, $J$2:$J$633, J498)</f>
        <v>44936</v>
      </c>
      <c r="AD498">
        <f>DATEDIF(AC498, C498, "m")</f>
        <v>25</v>
      </c>
      <c r="AE498" s="8">
        <f t="shared" si="87"/>
        <v>2006.7739199999999</v>
      </c>
    </row>
    <row r="499" spans="1:31" x14ac:dyDescent="0.3">
      <c r="A499" s="4" t="s">
        <v>590</v>
      </c>
      <c r="B499" s="6">
        <v>45872</v>
      </c>
      <c r="C499" s="14">
        <v>45872</v>
      </c>
      <c r="D499" s="14" t="str">
        <f t="shared" si="79"/>
        <v>Q3 -2025</v>
      </c>
      <c r="E499" s="6">
        <v>45885</v>
      </c>
      <c r="F499" s="6">
        <f t="shared" si="80"/>
        <v>45885</v>
      </c>
      <c r="G499" s="12">
        <f t="shared" si="81"/>
        <v>13</v>
      </c>
      <c r="H499" s="12">
        <f t="shared" si="82"/>
        <v>0</v>
      </c>
      <c r="I499" s="4" t="s">
        <v>648</v>
      </c>
      <c r="J499" s="4" t="s">
        <v>653</v>
      </c>
      <c r="K499" s="4" t="s">
        <v>681</v>
      </c>
      <c r="L499" t="str">
        <f t="shared" si="83"/>
        <v>Americas&gt;Canada&gt;Montreal</v>
      </c>
      <c r="M499" s="4" t="s">
        <v>706</v>
      </c>
      <c r="N499" s="4" t="s">
        <v>710</v>
      </c>
      <c r="O499" s="4" t="s">
        <v>719</v>
      </c>
      <c r="P499" s="4" t="s">
        <v>729</v>
      </c>
      <c r="Q499" s="4" t="s">
        <v>1308</v>
      </c>
      <c r="R499" s="8">
        <v>698.66</v>
      </c>
      <c r="S499" s="8">
        <v>868.62</v>
      </c>
      <c r="T499" s="8">
        <v>868.62</v>
      </c>
      <c r="U499" s="8" t="str">
        <f>IF(T499&lt;=_xlfn.PERCENTILE.INC($T499:$T$633,0.33), "Low", IF(T499&lt;=_xlfn.PERCENTILE.INC($T499:$T$633,0.66), "Medium", "High"))</f>
        <v>Medium</v>
      </c>
      <c r="V499" s="10">
        <v>7.1999999999999995E-2</v>
      </c>
      <c r="W499" s="10">
        <f t="shared" si="84"/>
        <v>7.1999999999999995E-2</v>
      </c>
      <c r="X499" s="12">
        <v>15</v>
      </c>
      <c r="Y499" s="8">
        <f t="shared" si="77"/>
        <v>12091.190399999999</v>
      </c>
      <c r="Z499" s="8">
        <f t="shared" si="78"/>
        <v>10479.9</v>
      </c>
      <c r="AA499" s="8">
        <f t="shared" si="85"/>
        <v>1611.2903999999999</v>
      </c>
      <c r="AB499" s="10">
        <f t="shared" si="86"/>
        <v>0.13326151906432637</v>
      </c>
      <c r="AC499" s="14">
        <f>_xlfn.MINIFS($C$2:$C$633, $J$2:$J$633, J499)</f>
        <v>44928</v>
      </c>
      <c r="AD499">
        <f>DATEDIF(AC499, C499, "m")</f>
        <v>31</v>
      </c>
      <c r="AE499" s="8">
        <f t="shared" si="87"/>
        <v>806.07935999999995</v>
      </c>
    </row>
    <row r="500" spans="1:31" x14ac:dyDescent="0.3">
      <c r="A500" s="4" t="s">
        <v>242</v>
      </c>
      <c r="B500" s="6">
        <v>45879</v>
      </c>
      <c r="C500" s="14">
        <v>45879</v>
      </c>
      <c r="D500" s="14" t="str">
        <f t="shared" si="79"/>
        <v>Q3 -2025</v>
      </c>
      <c r="E500" s="6">
        <v>45899</v>
      </c>
      <c r="F500" s="6">
        <f t="shared" si="80"/>
        <v>45899</v>
      </c>
      <c r="G500" s="12">
        <f t="shared" si="81"/>
        <v>20</v>
      </c>
      <c r="H500" s="12">
        <f t="shared" si="82"/>
        <v>0</v>
      </c>
      <c r="I500" s="4" t="s">
        <v>648</v>
      </c>
      <c r="J500" s="4" t="s">
        <v>660</v>
      </c>
      <c r="K500" s="4" t="s">
        <v>686</v>
      </c>
      <c r="L500" t="str">
        <f t="shared" si="83"/>
        <v>Americas&gt;USA&gt;San Francisco</v>
      </c>
      <c r="M500" s="4" t="s">
        <v>701</v>
      </c>
      <c r="N500" s="4" t="s">
        <v>709</v>
      </c>
      <c r="O500" s="4" t="s">
        <v>723</v>
      </c>
      <c r="P500" s="4" t="s">
        <v>728</v>
      </c>
      <c r="Q500" s="4" t="s">
        <v>962</v>
      </c>
      <c r="R500" s="8">
        <v>933.29</v>
      </c>
      <c r="S500" s="8">
        <v>1456.81</v>
      </c>
      <c r="T500" s="8">
        <v>1456.81</v>
      </c>
      <c r="U500" s="8" t="str">
        <f>IF(T500&lt;=_xlfn.PERCENTILE.INC($T500:$T$633,0.33), "Low", IF(T500&lt;=_xlfn.PERCENTILE.INC($T500:$T$633,0.66), "Medium", "High"))</f>
        <v>Medium</v>
      </c>
      <c r="V500" s="10">
        <v>0.123</v>
      </c>
      <c r="W500" s="10">
        <f t="shared" si="84"/>
        <v>0.123</v>
      </c>
      <c r="X500" s="12">
        <v>13</v>
      </c>
      <c r="Y500" s="8">
        <f t="shared" si="77"/>
        <v>16609.090809999998</v>
      </c>
      <c r="Z500" s="8">
        <f t="shared" si="78"/>
        <v>12132.77</v>
      </c>
      <c r="AA500" s="8">
        <f t="shared" si="85"/>
        <v>4476.3208099999974</v>
      </c>
      <c r="AB500" s="10">
        <f t="shared" si="86"/>
        <v>0.26951028573489977</v>
      </c>
      <c r="AC500" s="14">
        <f>_xlfn.MINIFS($C$2:$C$633, $J$2:$J$633, J500)</f>
        <v>44939</v>
      </c>
      <c r="AD500">
        <f>DATEDIF(AC500, C500, "m")</f>
        <v>30</v>
      </c>
      <c r="AE500" s="8">
        <f t="shared" si="87"/>
        <v>1277.6223699999998</v>
      </c>
    </row>
    <row r="501" spans="1:31" x14ac:dyDescent="0.3">
      <c r="A501" s="4" t="s">
        <v>477</v>
      </c>
      <c r="B501" s="6">
        <v>45757</v>
      </c>
      <c r="C501" s="14">
        <v>45757</v>
      </c>
      <c r="D501" s="14" t="str">
        <f t="shared" si="79"/>
        <v>Q2 -2025</v>
      </c>
      <c r="E501" s="6">
        <v>45766</v>
      </c>
      <c r="F501" s="6">
        <f t="shared" si="80"/>
        <v>45766</v>
      </c>
      <c r="G501" s="12">
        <f t="shared" si="81"/>
        <v>9</v>
      </c>
      <c r="H501" s="12">
        <f t="shared" si="82"/>
        <v>0</v>
      </c>
      <c r="I501" s="4" t="s">
        <v>646</v>
      </c>
      <c r="J501" s="4" t="s">
        <v>661</v>
      </c>
      <c r="K501" s="4" t="s">
        <v>687</v>
      </c>
      <c r="L501" t="str">
        <f t="shared" si="83"/>
        <v>Africa&gt;South Africa&gt;Durban</v>
      </c>
      <c r="M501" s="4" t="s">
        <v>706</v>
      </c>
      <c r="N501" s="4" t="s">
        <v>1423</v>
      </c>
      <c r="O501" s="4" t="s">
        <v>715</v>
      </c>
      <c r="P501" s="4" t="s">
        <v>729</v>
      </c>
      <c r="Q501" s="4" t="s">
        <v>1196</v>
      </c>
      <c r="R501" s="8">
        <v>113.74</v>
      </c>
      <c r="S501" s="8">
        <v>165.7</v>
      </c>
      <c r="T501" s="8">
        <v>165.7</v>
      </c>
      <c r="U501" s="8" t="str">
        <f>IF(T501&lt;=_xlfn.PERCENTILE.INC($T501:$T$633,0.33), "Low", IF(T501&lt;=_xlfn.PERCENTILE.INC($T501:$T$633,0.66), "Medium", "High"))</f>
        <v>Low</v>
      </c>
      <c r="V501" s="10">
        <v>0.124</v>
      </c>
      <c r="W501" s="10">
        <f t="shared" si="84"/>
        <v>0.124</v>
      </c>
      <c r="X501" s="12">
        <v>13</v>
      </c>
      <c r="Y501" s="8">
        <f t="shared" si="77"/>
        <v>1886.9915999999998</v>
      </c>
      <c r="Z501" s="8">
        <f t="shared" si="78"/>
        <v>1478.62</v>
      </c>
      <c r="AA501" s="8">
        <f t="shared" si="85"/>
        <v>408.37159999999994</v>
      </c>
      <c r="AB501" s="10">
        <f t="shared" si="86"/>
        <v>0.21641410592394794</v>
      </c>
      <c r="AC501" s="14">
        <f>_xlfn.MINIFS($C$2:$C$633, $J$2:$J$633, J501)</f>
        <v>44933</v>
      </c>
      <c r="AD501">
        <f>DATEDIF(AC501, C501, "m")</f>
        <v>27</v>
      </c>
      <c r="AE501" s="8">
        <f t="shared" si="87"/>
        <v>145.1532</v>
      </c>
    </row>
    <row r="502" spans="1:31" x14ac:dyDescent="0.3">
      <c r="A502" s="4" t="s">
        <v>383</v>
      </c>
      <c r="B502" s="6">
        <v>45832</v>
      </c>
      <c r="C502" s="14">
        <v>45832</v>
      </c>
      <c r="D502" s="14" t="str">
        <f t="shared" si="79"/>
        <v>Q2 -2025</v>
      </c>
      <c r="E502" s="6">
        <v>45861</v>
      </c>
      <c r="F502" s="6">
        <f t="shared" si="80"/>
        <v>45861</v>
      </c>
      <c r="G502" s="12">
        <f t="shared" si="81"/>
        <v>29</v>
      </c>
      <c r="H502" s="12">
        <f t="shared" si="82"/>
        <v>0</v>
      </c>
      <c r="I502" s="4" t="s">
        <v>648</v>
      </c>
      <c r="J502" s="4" t="s">
        <v>653</v>
      </c>
      <c r="K502" s="4" t="s">
        <v>688</v>
      </c>
      <c r="L502" t="str">
        <f t="shared" si="83"/>
        <v>Americas&gt;Canada&gt;Vancouver</v>
      </c>
      <c r="M502" s="4" t="s">
        <v>703</v>
      </c>
      <c r="N502" s="4" t="s">
        <v>709</v>
      </c>
      <c r="O502" s="4" t="s">
        <v>714</v>
      </c>
      <c r="P502" s="4" t="s">
        <v>728</v>
      </c>
      <c r="Q502" s="4" t="s">
        <v>1103</v>
      </c>
      <c r="R502" s="8">
        <v>255.4</v>
      </c>
      <c r="S502" s="8">
        <v>322.70999999999998</v>
      </c>
      <c r="T502" s="8">
        <v>322.70999999999998</v>
      </c>
      <c r="U502" s="8" t="str">
        <f>IF(T502&lt;=_xlfn.PERCENTILE.INC($T502:$T$633,0.33), "Low", IF(T502&lt;=_xlfn.PERCENTILE.INC($T502:$T$633,0.66), "Medium", "High"))</f>
        <v>Low</v>
      </c>
      <c r="V502" s="10">
        <v>0.115</v>
      </c>
      <c r="W502" s="10">
        <f t="shared" si="84"/>
        <v>0.115</v>
      </c>
      <c r="X502" s="12">
        <v>16</v>
      </c>
      <c r="Y502" s="8">
        <f t="shared" si="77"/>
        <v>4569.5735999999997</v>
      </c>
      <c r="Z502" s="8">
        <f t="shared" si="78"/>
        <v>4086.4</v>
      </c>
      <c r="AA502" s="8">
        <f t="shared" si="85"/>
        <v>483.17359999999962</v>
      </c>
      <c r="AB502" s="10">
        <f t="shared" si="86"/>
        <v>0.10573713048412212</v>
      </c>
      <c r="AC502" s="14">
        <f>_xlfn.MINIFS($C$2:$C$633, $J$2:$J$633, J502)</f>
        <v>44928</v>
      </c>
      <c r="AD502">
        <f>DATEDIF(AC502, C502, "m")</f>
        <v>29</v>
      </c>
      <c r="AE502" s="8">
        <f t="shared" si="87"/>
        <v>285.59834999999998</v>
      </c>
    </row>
    <row r="503" spans="1:31" x14ac:dyDescent="0.3">
      <c r="A503" s="4" t="s">
        <v>548</v>
      </c>
      <c r="B503" s="6">
        <v>45832</v>
      </c>
      <c r="C503" s="14">
        <v>45832</v>
      </c>
      <c r="D503" s="14" t="str">
        <f t="shared" si="79"/>
        <v>Q2 -2025</v>
      </c>
      <c r="E503" s="6">
        <v>45852</v>
      </c>
      <c r="F503" s="6">
        <f t="shared" si="80"/>
        <v>45852</v>
      </c>
      <c r="G503" s="12">
        <f t="shared" si="81"/>
        <v>20</v>
      </c>
      <c r="H503" s="12">
        <f t="shared" si="82"/>
        <v>0</v>
      </c>
      <c r="I503" s="4" t="s">
        <v>646</v>
      </c>
      <c r="J503" s="4" t="s">
        <v>661</v>
      </c>
      <c r="K503" s="4" t="s">
        <v>682</v>
      </c>
      <c r="L503" t="str">
        <f t="shared" si="83"/>
        <v>Africa&gt;South Africa&gt;Johannesburg</v>
      </c>
      <c r="M503" s="4" t="s">
        <v>706</v>
      </c>
      <c r="N503" s="4" t="s">
        <v>709</v>
      </c>
      <c r="O503" s="4" t="s">
        <v>713</v>
      </c>
      <c r="P503" s="4" t="s">
        <v>731</v>
      </c>
      <c r="Q503" s="4" t="s">
        <v>1267</v>
      </c>
      <c r="R503" s="8">
        <v>1151.06</v>
      </c>
      <c r="S503" s="8">
        <v>2821.36</v>
      </c>
      <c r="T503" s="8">
        <v>2821.36</v>
      </c>
      <c r="U503" s="8" t="str">
        <f>IF(T503&lt;=_xlfn.PERCENTILE.INC($T503:$T$633,0.33), "Low", IF(T503&lt;=_xlfn.PERCENTILE.INC($T503:$T$633,0.66), "Medium", "High"))</f>
        <v>High</v>
      </c>
      <c r="V503" s="10">
        <v>0.248</v>
      </c>
      <c r="W503" s="10">
        <f t="shared" si="84"/>
        <v>0.248</v>
      </c>
      <c r="X503" s="12">
        <v>20</v>
      </c>
      <c r="Y503" s="8">
        <f t="shared" si="77"/>
        <v>42433.254400000005</v>
      </c>
      <c r="Z503" s="8">
        <f t="shared" si="78"/>
        <v>23021.199999999997</v>
      </c>
      <c r="AA503" s="8">
        <f t="shared" si="85"/>
        <v>19412.054400000008</v>
      </c>
      <c r="AB503" s="10">
        <f t="shared" si="86"/>
        <v>0.45747267501594235</v>
      </c>
      <c r="AC503" s="14">
        <f>_xlfn.MINIFS($C$2:$C$633, $J$2:$J$633, J503)</f>
        <v>44933</v>
      </c>
      <c r="AD503">
        <f>DATEDIF(AC503, C503, "m")</f>
        <v>29</v>
      </c>
      <c r="AE503" s="8">
        <f t="shared" si="87"/>
        <v>2121.6627200000003</v>
      </c>
    </row>
    <row r="504" spans="1:31" x14ac:dyDescent="0.3">
      <c r="A504" s="4" t="s">
        <v>348</v>
      </c>
      <c r="B504" s="6">
        <v>45774</v>
      </c>
      <c r="C504" s="14">
        <v>45774</v>
      </c>
      <c r="D504" s="14" t="str">
        <f t="shared" si="79"/>
        <v>Q2 -2025</v>
      </c>
      <c r="E504" s="6">
        <v>45804</v>
      </c>
      <c r="F504" s="6">
        <f t="shared" si="80"/>
        <v>45804</v>
      </c>
      <c r="G504" s="12">
        <f t="shared" si="81"/>
        <v>30</v>
      </c>
      <c r="H504" s="12">
        <f t="shared" si="82"/>
        <v>0</v>
      </c>
      <c r="I504" s="4" t="s">
        <v>647</v>
      </c>
      <c r="J504" s="4" t="s">
        <v>654</v>
      </c>
      <c r="K504" s="4" t="s">
        <v>1422</v>
      </c>
      <c r="L504" t="str">
        <f t="shared" si="83"/>
        <v>Asia&gt;India&gt;Unknown</v>
      </c>
      <c r="M504" s="4" t="s">
        <v>706</v>
      </c>
      <c r="N504" s="4" t="s">
        <v>709</v>
      </c>
      <c r="O504" s="4" t="s">
        <v>722</v>
      </c>
      <c r="P504" s="4" t="s">
        <v>730</v>
      </c>
      <c r="Q504" s="4" t="s">
        <v>1068</v>
      </c>
      <c r="R504" s="8">
        <v>481.32</v>
      </c>
      <c r="S504" s="8">
        <v>1135.99</v>
      </c>
      <c r="T504" s="8">
        <v>1135.99</v>
      </c>
      <c r="U504" s="8" t="str">
        <f>IF(T504&lt;=_xlfn.PERCENTILE.INC($T504:$T$633,0.33), "Low", IF(T504&lt;=_xlfn.PERCENTILE.INC($T504:$T$633,0.66), "Medium", "High"))</f>
        <v>Medium</v>
      </c>
      <c r="V504" s="10">
        <v>0.14499999999999999</v>
      </c>
      <c r="W504" s="10">
        <f t="shared" si="84"/>
        <v>0.14499999999999999</v>
      </c>
      <c r="X504" s="12">
        <v>5</v>
      </c>
      <c r="Y504" s="8">
        <f t="shared" si="77"/>
        <v>4856.35725</v>
      </c>
      <c r="Z504" s="8">
        <f t="shared" si="78"/>
        <v>2406.6</v>
      </c>
      <c r="AA504" s="8">
        <f t="shared" si="85"/>
        <v>2449.7572500000001</v>
      </c>
      <c r="AB504" s="10">
        <f t="shared" si="86"/>
        <v>0.50444337677175621</v>
      </c>
      <c r="AC504" s="14">
        <f>_xlfn.MINIFS($C$2:$C$633, $J$2:$J$633, J504)</f>
        <v>44955</v>
      </c>
      <c r="AD504">
        <f>DATEDIF(AC504, C504, "m")</f>
        <v>26</v>
      </c>
      <c r="AE504" s="8">
        <f t="shared" si="87"/>
        <v>971.27144999999996</v>
      </c>
    </row>
    <row r="505" spans="1:31" x14ac:dyDescent="0.3">
      <c r="A505" s="4" t="s">
        <v>115</v>
      </c>
      <c r="B505" s="6">
        <v>45684</v>
      </c>
      <c r="C505" s="14">
        <v>45684</v>
      </c>
      <c r="D505" s="14" t="str">
        <f t="shared" si="79"/>
        <v>Q1 -2025</v>
      </c>
      <c r="E505" s="6">
        <v>45703</v>
      </c>
      <c r="F505" s="6">
        <f t="shared" si="80"/>
        <v>45703</v>
      </c>
      <c r="G505" s="12">
        <f t="shared" si="81"/>
        <v>19</v>
      </c>
      <c r="H505" s="12">
        <f t="shared" si="82"/>
        <v>0</v>
      </c>
      <c r="I505" s="4" t="s">
        <v>647</v>
      </c>
      <c r="J505" s="4" t="s">
        <v>659</v>
      </c>
      <c r="K505" s="4" t="s">
        <v>676</v>
      </c>
      <c r="L505" t="str">
        <f t="shared" si="83"/>
        <v>Asia&gt;China&gt;Shenzhen</v>
      </c>
      <c r="M505" s="4" t="s">
        <v>703</v>
      </c>
      <c r="N505" s="4" t="s">
        <v>711</v>
      </c>
      <c r="O505" s="4" t="s">
        <v>716</v>
      </c>
      <c r="P505" s="4" t="s">
        <v>730</v>
      </c>
      <c r="Q505" s="4" t="s">
        <v>834</v>
      </c>
      <c r="R505" s="8">
        <v>1253.22</v>
      </c>
      <c r="S505" s="8">
        <v>3104.71</v>
      </c>
      <c r="T505" s="8">
        <v>3104.71</v>
      </c>
      <c r="U505" s="8" t="str">
        <f>IF(T505&lt;=_xlfn.PERCENTILE.INC($T505:$T$633,0.33), "Low", IF(T505&lt;=_xlfn.PERCENTILE.INC($T505:$T$633,0.66), "Medium", "High"))</f>
        <v>High</v>
      </c>
      <c r="V505" s="10">
        <v>0</v>
      </c>
      <c r="W505" s="10">
        <f t="shared" si="84"/>
        <v>0</v>
      </c>
      <c r="X505" s="12">
        <v>17</v>
      </c>
      <c r="Y505" s="8">
        <f t="shared" si="77"/>
        <v>52780.07</v>
      </c>
      <c r="Z505" s="8">
        <f t="shared" si="78"/>
        <v>21304.74</v>
      </c>
      <c r="AA505" s="8">
        <f t="shared" si="85"/>
        <v>31475.329999999998</v>
      </c>
      <c r="AB505" s="10">
        <f t="shared" si="86"/>
        <v>0.59634877331538205</v>
      </c>
      <c r="AC505" s="14">
        <f>_xlfn.MINIFS($C$2:$C$633, $J$2:$J$633, J505)</f>
        <v>44938</v>
      </c>
      <c r="AD505">
        <f>DATEDIF(AC505, C505, "m")</f>
        <v>24</v>
      </c>
      <c r="AE505" s="8">
        <f t="shared" si="87"/>
        <v>3104.71</v>
      </c>
    </row>
    <row r="506" spans="1:31" x14ac:dyDescent="0.3">
      <c r="A506" s="4" t="s">
        <v>99</v>
      </c>
      <c r="B506" s="6">
        <v>45741</v>
      </c>
      <c r="C506" s="14">
        <v>45741</v>
      </c>
      <c r="D506" s="14" t="str">
        <f t="shared" si="79"/>
        <v>Q1 -2025</v>
      </c>
      <c r="E506" s="6">
        <v>45764</v>
      </c>
      <c r="F506" s="6">
        <f t="shared" si="80"/>
        <v>45764</v>
      </c>
      <c r="G506" s="12">
        <f t="shared" si="81"/>
        <v>23</v>
      </c>
      <c r="H506" s="12">
        <f t="shared" si="82"/>
        <v>0</v>
      </c>
      <c r="I506" s="4" t="s">
        <v>649</v>
      </c>
      <c r="J506" s="4" t="s">
        <v>658</v>
      </c>
      <c r="K506" s="4" t="s">
        <v>683</v>
      </c>
      <c r="L506" t="str">
        <f t="shared" si="83"/>
        <v>Europe&gt;United Kingdom&gt;London</v>
      </c>
      <c r="M506" s="4" t="s">
        <v>704</v>
      </c>
      <c r="N506" s="4" t="s">
        <v>707</v>
      </c>
      <c r="O506" s="4" t="s">
        <v>722</v>
      </c>
      <c r="P506" s="4" t="s">
        <v>729</v>
      </c>
      <c r="Q506" s="4" t="s">
        <v>818</v>
      </c>
      <c r="R506" s="8">
        <v>1421.19</v>
      </c>
      <c r="S506" s="8">
        <v>1808.26</v>
      </c>
      <c r="T506" s="8">
        <v>1808.26</v>
      </c>
      <c r="U506" s="8" t="str">
        <f>IF(T506&lt;=_xlfn.PERCENTILE.INC($T506:$T$633,0.33), "Low", IF(T506&lt;=_xlfn.PERCENTILE.INC($T506:$T$633,0.66), "Medium", "High"))</f>
        <v>High</v>
      </c>
      <c r="V506" s="10">
        <v>0.104</v>
      </c>
      <c r="W506" s="10">
        <f t="shared" si="84"/>
        <v>0.104</v>
      </c>
      <c r="X506" s="12">
        <v>13</v>
      </c>
      <c r="Y506" s="8">
        <f t="shared" si="77"/>
        <v>21062.61248</v>
      </c>
      <c r="Z506" s="8">
        <f t="shared" si="78"/>
        <v>18475.47</v>
      </c>
      <c r="AA506" s="8">
        <f t="shared" si="85"/>
        <v>2587.1424799999986</v>
      </c>
      <c r="AB506" s="10">
        <f t="shared" si="86"/>
        <v>0.12283103449093123</v>
      </c>
      <c r="AC506" s="14">
        <f>_xlfn.MINIFS($C$2:$C$633, $J$2:$J$633, J506)</f>
        <v>44945</v>
      </c>
      <c r="AD506">
        <f>DATEDIF(AC506, C506, "m")</f>
        <v>26</v>
      </c>
      <c r="AE506" s="8">
        <f t="shared" si="87"/>
        <v>1620.2009599999999</v>
      </c>
    </row>
    <row r="507" spans="1:31" x14ac:dyDescent="0.3">
      <c r="A507" s="4" t="s">
        <v>517</v>
      </c>
      <c r="B507" s="6">
        <v>45740</v>
      </c>
      <c r="C507" s="14">
        <v>45740</v>
      </c>
      <c r="D507" s="14" t="str">
        <f t="shared" si="79"/>
        <v>Q1 -2025</v>
      </c>
      <c r="E507" s="6">
        <v>45741</v>
      </c>
      <c r="F507" s="6">
        <f t="shared" si="80"/>
        <v>45741</v>
      </c>
      <c r="G507" s="12">
        <f t="shared" si="81"/>
        <v>1</v>
      </c>
      <c r="H507" s="12">
        <f t="shared" si="82"/>
        <v>1</v>
      </c>
      <c r="I507" s="4" t="s">
        <v>647</v>
      </c>
      <c r="J507" s="4" t="s">
        <v>659</v>
      </c>
      <c r="K507" s="4" t="s">
        <v>699</v>
      </c>
      <c r="L507" t="str">
        <f t="shared" si="83"/>
        <v>Asia&gt;China&gt;Beijing</v>
      </c>
      <c r="M507" s="4" t="s">
        <v>703</v>
      </c>
      <c r="N507" s="4" t="s">
        <v>708</v>
      </c>
      <c r="O507" s="4" t="s">
        <v>715</v>
      </c>
      <c r="P507" s="4" t="s">
        <v>729</v>
      </c>
      <c r="Q507" s="4" t="s">
        <v>1236</v>
      </c>
      <c r="R507" s="8">
        <v>1133.03</v>
      </c>
      <c r="S507" s="8">
        <v>1921.51</v>
      </c>
      <c r="T507" s="8">
        <v>1921.51</v>
      </c>
      <c r="U507" s="8" t="str">
        <f>IF(T507&lt;=_xlfn.PERCENTILE.INC($T507:$T$633,0.33), "Low", IF(T507&lt;=_xlfn.PERCENTILE.INC($T507:$T$633,0.66), "Medium", "High"))</f>
        <v>High</v>
      </c>
      <c r="V507" s="10">
        <v>0.10100000000000001</v>
      </c>
      <c r="W507" s="10">
        <f t="shared" si="84"/>
        <v>0.10100000000000001</v>
      </c>
      <c r="X507" s="12">
        <v>5</v>
      </c>
      <c r="Y507" s="8">
        <f t="shared" si="77"/>
        <v>8637.1874499999994</v>
      </c>
      <c r="Z507" s="8">
        <f t="shared" si="78"/>
        <v>5665.15</v>
      </c>
      <c r="AA507" s="8">
        <f t="shared" si="85"/>
        <v>2972.0374499999998</v>
      </c>
      <c r="AB507" s="10">
        <f t="shared" si="86"/>
        <v>0.3440978289755654</v>
      </c>
      <c r="AC507" s="14">
        <f>_xlfn.MINIFS($C$2:$C$633, $J$2:$J$633, J507)</f>
        <v>44938</v>
      </c>
      <c r="AD507">
        <f>DATEDIF(AC507, C507, "m")</f>
        <v>26</v>
      </c>
      <c r="AE507" s="8">
        <f t="shared" si="87"/>
        <v>1727.4374899999998</v>
      </c>
    </row>
    <row r="508" spans="1:31" x14ac:dyDescent="0.3">
      <c r="A508" s="4" t="s">
        <v>568</v>
      </c>
      <c r="B508" s="6">
        <v>45703</v>
      </c>
      <c r="C508" s="14">
        <v>45703</v>
      </c>
      <c r="D508" s="14" t="str">
        <f t="shared" si="79"/>
        <v>Q1 -2025</v>
      </c>
      <c r="E508" s="6">
        <v>45717</v>
      </c>
      <c r="F508" s="6">
        <f t="shared" si="80"/>
        <v>45717</v>
      </c>
      <c r="G508" s="12">
        <f t="shared" si="81"/>
        <v>14</v>
      </c>
      <c r="H508" s="12">
        <f t="shared" si="82"/>
        <v>0</v>
      </c>
      <c r="I508" s="4" t="s">
        <v>646</v>
      </c>
      <c r="J508" s="4" t="s">
        <v>650</v>
      </c>
      <c r="K508" s="4" t="s">
        <v>675</v>
      </c>
      <c r="L508" t="str">
        <f t="shared" si="83"/>
        <v>Africa&gt;Kenya&gt;Mombasa</v>
      </c>
      <c r="M508" s="4" t="s">
        <v>702</v>
      </c>
      <c r="N508" s="4" t="s">
        <v>711</v>
      </c>
      <c r="O508" s="4" t="s">
        <v>716</v>
      </c>
      <c r="P508" s="4" t="s">
        <v>733</v>
      </c>
      <c r="Q508" s="4" t="s">
        <v>1286</v>
      </c>
      <c r="R508" s="8">
        <v>1162.8599999999999</v>
      </c>
      <c r="S508" s="8">
        <v>1447.68</v>
      </c>
      <c r="T508" s="8">
        <v>1447.68</v>
      </c>
      <c r="U508" s="8" t="str">
        <f>IF(T508&lt;=_xlfn.PERCENTILE.INC($T508:$T$633,0.33), "Low", IF(T508&lt;=_xlfn.PERCENTILE.INC($T508:$T$633,0.66), "Medium", "High"))</f>
        <v>Medium</v>
      </c>
      <c r="V508" s="10">
        <v>8.6999999999999994E-2</v>
      </c>
      <c r="W508" s="10">
        <f t="shared" si="84"/>
        <v>8.6999999999999994E-2</v>
      </c>
      <c r="X508" s="12">
        <v>12</v>
      </c>
      <c r="Y508" s="8">
        <f t="shared" si="77"/>
        <v>15860.782080000001</v>
      </c>
      <c r="Z508" s="8">
        <f t="shared" si="78"/>
        <v>13954.32</v>
      </c>
      <c r="AA508" s="8">
        <f t="shared" si="85"/>
        <v>1906.4620800000012</v>
      </c>
      <c r="AB508" s="10">
        <f t="shared" si="86"/>
        <v>0.12019975247021369</v>
      </c>
      <c r="AC508" s="14">
        <f>_xlfn.MINIFS($C$2:$C$633, $J$2:$J$633, J508)</f>
        <v>44946</v>
      </c>
      <c r="AD508">
        <f>DATEDIF(AC508, C508, "m")</f>
        <v>24</v>
      </c>
      <c r="AE508" s="8">
        <f t="shared" si="87"/>
        <v>1321.7318400000001</v>
      </c>
    </row>
    <row r="509" spans="1:31" x14ac:dyDescent="0.3">
      <c r="A509" s="4" t="s">
        <v>567</v>
      </c>
      <c r="B509" s="6">
        <v>45704</v>
      </c>
      <c r="C509" s="14">
        <v>45704</v>
      </c>
      <c r="D509" s="14" t="str">
        <f t="shared" si="79"/>
        <v>Q1 -2025</v>
      </c>
      <c r="E509" s="6">
        <v>45733</v>
      </c>
      <c r="F509" s="6">
        <f t="shared" si="80"/>
        <v>45733</v>
      </c>
      <c r="G509" s="12">
        <f t="shared" si="81"/>
        <v>29</v>
      </c>
      <c r="H509" s="12">
        <f t="shared" si="82"/>
        <v>0</v>
      </c>
      <c r="I509" s="4" t="s">
        <v>649</v>
      </c>
      <c r="J509" s="4" t="s">
        <v>656</v>
      </c>
      <c r="K509" s="4" t="s">
        <v>684</v>
      </c>
      <c r="L509" t="str">
        <f t="shared" si="83"/>
        <v>Europe&gt;Germany&gt;Munich</v>
      </c>
      <c r="M509" s="4" t="s">
        <v>704</v>
      </c>
      <c r="N509" s="4" t="s">
        <v>707</v>
      </c>
      <c r="O509" s="4" t="s">
        <v>716</v>
      </c>
      <c r="P509" s="4" t="s">
        <v>733</v>
      </c>
      <c r="Q509" s="4" t="s">
        <v>1285</v>
      </c>
      <c r="R509" s="8">
        <v>730.42</v>
      </c>
      <c r="S509" s="8">
        <v>956.7</v>
      </c>
      <c r="T509" s="8">
        <v>956.7</v>
      </c>
      <c r="U509" s="8" t="str">
        <f>IF(T509&lt;=_xlfn.PERCENTILE.INC($T509:$T$633,0.33), "Low", IF(T509&lt;=_xlfn.PERCENTILE.INC($T509:$T$633,0.66), "Medium", "High"))</f>
        <v>Medium</v>
      </c>
      <c r="V509" s="10">
        <v>4.2000000000000003E-2</v>
      </c>
      <c r="W509" s="10">
        <f t="shared" si="84"/>
        <v>4.2000000000000003E-2</v>
      </c>
      <c r="X509" s="12">
        <v>22</v>
      </c>
      <c r="Y509" s="8">
        <f t="shared" si="77"/>
        <v>20163.409200000002</v>
      </c>
      <c r="Z509" s="8">
        <f t="shared" si="78"/>
        <v>16069.24</v>
      </c>
      <c r="AA509" s="8">
        <f t="shared" si="85"/>
        <v>4094.1692000000021</v>
      </c>
      <c r="AB509" s="10">
        <f t="shared" si="86"/>
        <v>0.20304945256975698</v>
      </c>
      <c r="AC509" s="14">
        <f>_xlfn.MINIFS($C$2:$C$633, $J$2:$J$633, J509)</f>
        <v>44948</v>
      </c>
      <c r="AD509">
        <f>DATEDIF(AC509, C509, "m")</f>
        <v>24</v>
      </c>
      <c r="AE509" s="8">
        <f t="shared" si="87"/>
        <v>916.51860000000011</v>
      </c>
    </row>
    <row r="510" spans="1:31" x14ac:dyDescent="0.3">
      <c r="A510" s="4" t="s">
        <v>148</v>
      </c>
      <c r="B510" s="6">
        <v>45666</v>
      </c>
      <c r="C510" s="14">
        <v>45666</v>
      </c>
      <c r="D510" s="14" t="str">
        <f t="shared" si="79"/>
        <v>Q1 -2025</v>
      </c>
      <c r="E510" s="6">
        <v>45672</v>
      </c>
      <c r="F510" s="6">
        <f t="shared" si="80"/>
        <v>45672</v>
      </c>
      <c r="G510" s="12">
        <f t="shared" si="81"/>
        <v>6</v>
      </c>
      <c r="H510" s="12">
        <f t="shared" si="82"/>
        <v>1</v>
      </c>
      <c r="I510" s="4" t="s">
        <v>647</v>
      </c>
      <c r="J510" s="4" t="s">
        <v>659</v>
      </c>
      <c r="K510" s="4" t="s">
        <v>699</v>
      </c>
      <c r="L510" t="str">
        <f t="shared" si="83"/>
        <v>Asia&gt;China&gt;Beijing</v>
      </c>
      <c r="M510" s="4" t="s">
        <v>702</v>
      </c>
      <c r="N510" s="4" t="s">
        <v>708</v>
      </c>
      <c r="O510" s="4" t="s">
        <v>712</v>
      </c>
      <c r="P510" s="4" t="s">
        <v>730</v>
      </c>
      <c r="Q510" s="4" t="s">
        <v>867</v>
      </c>
      <c r="R510" s="8">
        <v>304.77999999999997</v>
      </c>
      <c r="S510" s="8">
        <v>537.27</v>
      </c>
      <c r="T510" s="8">
        <v>537.27</v>
      </c>
      <c r="U510" s="8" t="str">
        <f>IF(T510&lt;=_xlfn.PERCENTILE.INC($T510:$T$633,0.33), "Low", IF(T510&lt;=_xlfn.PERCENTILE.INC($T510:$T$633,0.66), "Medium", "High"))</f>
        <v>Low</v>
      </c>
      <c r="V510" s="10">
        <v>0.187</v>
      </c>
      <c r="W510" s="10">
        <f t="shared" si="84"/>
        <v>0.187</v>
      </c>
      <c r="X510" s="12">
        <v>8</v>
      </c>
      <c r="Y510" s="8">
        <f t="shared" si="77"/>
        <v>3494.4040799999998</v>
      </c>
      <c r="Z510" s="8">
        <f t="shared" si="78"/>
        <v>2438.2399999999998</v>
      </c>
      <c r="AA510" s="8">
        <f t="shared" si="85"/>
        <v>1056.16408</v>
      </c>
      <c r="AB510" s="10">
        <f t="shared" si="86"/>
        <v>0.3022444044307549</v>
      </c>
      <c r="AC510" s="14">
        <f>_xlfn.MINIFS($C$2:$C$633, $J$2:$J$633, J510)</f>
        <v>44938</v>
      </c>
      <c r="AD510">
        <f>DATEDIF(AC510, C510, "m")</f>
        <v>23</v>
      </c>
      <c r="AE510" s="8">
        <f t="shared" si="87"/>
        <v>436.80050999999997</v>
      </c>
    </row>
    <row r="511" spans="1:31" x14ac:dyDescent="0.3">
      <c r="A511" s="4" t="s">
        <v>321</v>
      </c>
      <c r="B511" s="6">
        <v>45795</v>
      </c>
      <c r="C511" s="14">
        <v>45795</v>
      </c>
      <c r="D511" s="14" t="str">
        <f t="shared" si="79"/>
        <v>Q2 -2025</v>
      </c>
      <c r="E511" s="6">
        <v>45817</v>
      </c>
      <c r="F511" s="6">
        <f t="shared" si="80"/>
        <v>45817</v>
      </c>
      <c r="G511" s="12">
        <f t="shared" si="81"/>
        <v>22</v>
      </c>
      <c r="H511" s="12">
        <f t="shared" si="82"/>
        <v>0</v>
      </c>
      <c r="I511" s="4" t="s">
        <v>648</v>
      </c>
      <c r="J511" s="4" t="s">
        <v>660</v>
      </c>
      <c r="K511" s="4" t="s">
        <v>700</v>
      </c>
      <c r="L511" t="str">
        <f t="shared" si="83"/>
        <v>Americas&gt;USA&gt;New York</v>
      </c>
      <c r="M511" s="4" t="s">
        <v>704</v>
      </c>
      <c r="N511" s="4" t="s">
        <v>707</v>
      </c>
      <c r="O511" s="4" t="s">
        <v>722</v>
      </c>
      <c r="P511" s="4" t="s">
        <v>729</v>
      </c>
      <c r="Q511" s="4" t="s">
        <v>1041</v>
      </c>
      <c r="R511" s="8">
        <v>382.96</v>
      </c>
      <c r="S511" s="8">
        <v>552.84</v>
      </c>
      <c r="T511" s="8">
        <v>552.84</v>
      </c>
      <c r="U511" s="8" t="str">
        <f>IF(T511&lt;=_xlfn.PERCENTILE.INC($T511:$T$633,0.33), "Low", IF(T511&lt;=_xlfn.PERCENTILE.INC($T511:$T$633,0.66), "Medium", "High"))</f>
        <v>Low</v>
      </c>
      <c r="V511" s="10">
        <v>0.17599999999999999</v>
      </c>
      <c r="W511" s="10">
        <f t="shared" si="84"/>
        <v>0.17599999999999999</v>
      </c>
      <c r="X511" s="12">
        <v>8</v>
      </c>
      <c r="Y511" s="8">
        <f t="shared" si="77"/>
        <v>3644.3212800000006</v>
      </c>
      <c r="Z511" s="8">
        <f t="shared" si="78"/>
        <v>3063.68</v>
      </c>
      <c r="AA511" s="8">
        <f t="shared" si="85"/>
        <v>580.64128000000073</v>
      </c>
      <c r="AB511" s="10">
        <f t="shared" si="86"/>
        <v>0.15932768693763483</v>
      </c>
      <c r="AC511" s="14">
        <f>_xlfn.MINIFS($C$2:$C$633, $J$2:$J$633, J511)</f>
        <v>44939</v>
      </c>
      <c r="AD511">
        <f>DATEDIF(AC511, C511, "m")</f>
        <v>28</v>
      </c>
      <c r="AE511" s="8">
        <f t="shared" si="87"/>
        <v>455.54016000000007</v>
      </c>
    </row>
    <row r="512" spans="1:31" x14ac:dyDescent="0.3">
      <c r="A512" s="4" t="s">
        <v>309</v>
      </c>
      <c r="B512" s="6">
        <v>45809</v>
      </c>
      <c r="C512" s="14">
        <v>45809</v>
      </c>
      <c r="D512" s="14" t="str">
        <f t="shared" si="79"/>
        <v>Q2 -2025</v>
      </c>
      <c r="E512" s="6">
        <v>45835</v>
      </c>
      <c r="F512" s="6">
        <f t="shared" si="80"/>
        <v>45835</v>
      </c>
      <c r="G512" s="12">
        <f t="shared" si="81"/>
        <v>26</v>
      </c>
      <c r="H512" s="12">
        <f t="shared" si="82"/>
        <v>0</v>
      </c>
      <c r="I512" s="4" t="s">
        <v>649</v>
      </c>
      <c r="J512" s="4" t="s">
        <v>656</v>
      </c>
      <c r="K512" s="4" t="s">
        <v>684</v>
      </c>
      <c r="L512" t="str">
        <f t="shared" si="83"/>
        <v>Europe&gt;Germany&gt;Munich</v>
      </c>
      <c r="M512" s="4" t="s">
        <v>704</v>
      </c>
      <c r="N512" s="4" t="s">
        <v>710</v>
      </c>
      <c r="O512" s="4" t="s">
        <v>718</v>
      </c>
      <c r="P512" s="4" t="s">
        <v>731</v>
      </c>
      <c r="Q512" s="4" t="s">
        <v>1029</v>
      </c>
      <c r="R512" s="8">
        <v>1362.31</v>
      </c>
      <c r="S512" s="8">
        <v>3294.57</v>
      </c>
      <c r="T512" s="8">
        <v>3294.57</v>
      </c>
      <c r="U512" s="8" t="str">
        <f>IF(T512&lt;=_xlfn.PERCENTILE.INC($T512:$T$633,0.33), "Low", IF(T512&lt;=_xlfn.PERCENTILE.INC($T512:$T$633,0.66), "Medium", "High"))</f>
        <v>High</v>
      </c>
      <c r="V512" s="10">
        <v>0.113</v>
      </c>
      <c r="W512" s="10">
        <f t="shared" si="84"/>
        <v>0.113</v>
      </c>
      <c r="X512" s="12">
        <v>7</v>
      </c>
      <c r="Y512" s="8">
        <f t="shared" si="77"/>
        <v>20455.985130000001</v>
      </c>
      <c r="Z512" s="8">
        <f t="shared" si="78"/>
        <v>9536.17</v>
      </c>
      <c r="AA512" s="8">
        <f t="shared" si="85"/>
        <v>10919.815130000001</v>
      </c>
      <c r="AB512" s="10">
        <f t="shared" si="86"/>
        <v>0.5338200561157721</v>
      </c>
      <c r="AC512" s="14">
        <f>_xlfn.MINIFS($C$2:$C$633, $J$2:$J$633, J512)</f>
        <v>44948</v>
      </c>
      <c r="AD512">
        <f>DATEDIF(AC512, C512, "m")</f>
        <v>28</v>
      </c>
      <c r="AE512" s="8">
        <f t="shared" si="87"/>
        <v>2922.28359</v>
      </c>
    </row>
    <row r="513" spans="1:31" x14ac:dyDescent="0.3">
      <c r="A513" s="4" t="s">
        <v>431</v>
      </c>
      <c r="B513" s="6">
        <v>45813</v>
      </c>
      <c r="C513" s="14">
        <v>45813</v>
      </c>
      <c r="D513" s="14" t="str">
        <f t="shared" si="79"/>
        <v>Q2 -2025</v>
      </c>
      <c r="E513" s="6">
        <v>45822</v>
      </c>
      <c r="F513" s="6">
        <f t="shared" si="80"/>
        <v>45822</v>
      </c>
      <c r="G513" s="12">
        <f t="shared" si="81"/>
        <v>9</v>
      </c>
      <c r="H513" s="12">
        <f t="shared" si="82"/>
        <v>0</v>
      </c>
      <c r="I513" s="4" t="s">
        <v>647</v>
      </c>
      <c r="J513" s="4" t="s">
        <v>654</v>
      </c>
      <c r="K513" s="4" t="s">
        <v>680</v>
      </c>
      <c r="L513" t="str">
        <f t="shared" si="83"/>
        <v>Asia&gt;India&gt;Delhi</v>
      </c>
      <c r="M513" s="4" t="s">
        <v>703</v>
      </c>
      <c r="N513" s="4" t="s">
        <v>707</v>
      </c>
      <c r="O513" s="4" t="s">
        <v>720</v>
      </c>
      <c r="P513" s="4" t="s">
        <v>733</v>
      </c>
      <c r="Q513" s="4" t="s">
        <v>1150</v>
      </c>
      <c r="R513" s="8">
        <v>618.69000000000005</v>
      </c>
      <c r="S513" s="8">
        <v>796.15</v>
      </c>
      <c r="T513" s="8">
        <v>796.15</v>
      </c>
      <c r="U513" s="8" t="str">
        <f>IF(T513&lt;=_xlfn.PERCENTILE.INC($T513:$T$633,0.33), "Low", IF(T513&lt;=_xlfn.PERCENTILE.INC($T513:$T$633,0.66), "Medium", "High"))</f>
        <v>Medium</v>
      </c>
      <c r="V513" s="10">
        <v>0.09</v>
      </c>
      <c r="W513" s="10">
        <f t="shared" si="84"/>
        <v>0.09</v>
      </c>
      <c r="X513" s="12">
        <v>11</v>
      </c>
      <c r="Y513" s="8">
        <f t="shared" si="77"/>
        <v>7969.4615000000003</v>
      </c>
      <c r="Z513" s="8">
        <f t="shared" si="78"/>
        <v>6805.59</v>
      </c>
      <c r="AA513" s="8">
        <f t="shared" si="85"/>
        <v>1163.8715000000002</v>
      </c>
      <c r="AB513" s="10">
        <f t="shared" si="86"/>
        <v>0.14604142325049191</v>
      </c>
      <c r="AC513" s="14">
        <f>_xlfn.MINIFS($C$2:$C$633, $J$2:$J$633, J513)</f>
        <v>44955</v>
      </c>
      <c r="AD513">
        <f>DATEDIF(AC513, C513, "m")</f>
        <v>28</v>
      </c>
      <c r="AE513" s="8">
        <f t="shared" si="87"/>
        <v>724.49650000000008</v>
      </c>
    </row>
    <row r="514" spans="1:31" x14ac:dyDescent="0.3">
      <c r="A514" s="4" t="s">
        <v>322</v>
      </c>
      <c r="B514" s="6">
        <v>45679</v>
      </c>
      <c r="C514" s="14">
        <v>45679</v>
      </c>
      <c r="D514" s="14" t="str">
        <f t="shared" si="79"/>
        <v>Q1 -2025</v>
      </c>
      <c r="E514" s="6">
        <v>45692</v>
      </c>
      <c r="F514" s="6">
        <f t="shared" si="80"/>
        <v>45692</v>
      </c>
      <c r="G514" s="12">
        <f t="shared" si="81"/>
        <v>13</v>
      </c>
      <c r="H514" s="12">
        <f t="shared" si="82"/>
        <v>0</v>
      </c>
      <c r="I514" s="4" t="s">
        <v>647</v>
      </c>
      <c r="J514" s="4" t="s">
        <v>652</v>
      </c>
      <c r="K514" s="4" t="s">
        <v>689</v>
      </c>
      <c r="L514" t="str">
        <f t="shared" si="83"/>
        <v>Asia&gt;Japan&gt;Tokyo</v>
      </c>
      <c r="M514" s="4" t="s">
        <v>705</v>
      </c>
      <c r="N514" s="4" t="s">
        <v>710</v>
      </c>
      <c r="O514" s="4" t="s">
        <v>716</v>
      </c>
      <c r="P514" s="4" t="s">
        <v>728</v>
      </c>
      <c r="Q514" s="4" t="s">
        <v>1042</v>
      </c>
      <c r="R514" s="8">
        <v>122.29</v>
      </c>
      <c r="S514" s="8">
        <v>224.95</v>
      </c>
      <c r="T514" s="8">
        <v>224.95</v>
      </c>
      <c r="U514" s="8" t="str">
        <f>IF(T514&lt;=_xlfn.PERCENTILE.INC($T514:$T$633,0.33), "Low", IF(T514&lt;=_xlfn.PERCENTILE.INC($T514:$T$633,0.66), "Medium", "High"))</f>
        <v>Low</v>
      </c>
      <c r="V514" s="10">
        <v>0.153</v>
      </c>
      <c r="W514" s="10">
        <f t="shared" si="84"/>
        <v>0.153</v>
      </c>
      <c r="X514" s="12">
        <v>28</v>
      </c>
      <c r="Y514" s="8">
        <f t="shared" ref="Y514:Y577" si="88">(T514*X514*(1-W514))</f>
        <v>5334.9141999999993</v>
      </c>
      <c r="Z514" s="8">
        <f t="shared" ref="Z514:Z577" si="89">R514*X514</f>
        <v>3424.1200000000003</v>
      </c>
      <c r="AA514" s="8">
        <f t="shared" si="85"/>
        <v>1910.7941999999989</v>
      </c>
      <c r="AB514" s="10">
        <f t="shared" si="86"/>
        <v>0.3581677471026618</v>
      </c>
      <c r="AC514" s="14">
        <f>_xlfn.MINIFS($C$2:$C$633, $J$2:$J$633, J514)</f>
        <v>44988</v>
      </c>
      <c r="AD514">
        <f>DATEDIF(AC514, C514, "m")</f>
        <v>22</v>
      </c>
      <c r="AE514" s="8">
        <f t="shared" si="87"/>
        <v>190.53264999999996</v>
      </c>
    </row>
    <row r="515" spans="1:31" x14ac:dyDescent="0.3">
      <c r="A515" s="4" t="s">
        <v>496</v>
      </c>
      <c r="B515" s="6">
        <v>45899</v>
      </c>
      <c r="C515" s="14">
        <v>45899</v>
      </c>
      <c r="D515" s="14" t="str">
        <f t="shared" ref="D515:D578" si="90">IF(MONTH(C515) &lt;=3, "Q1", IF(MONTH(C515)&lt;=6, "Q2", IF(MONTH(C515)&lt;=9, "Q3", "Q4")))&amp; " -" &amp; YEAR(C515)</f>
        <v>Q3 -2025</v>
      </c>
      <c r="E515" s="6">
        <v>45903</v>
      </c>
      <c r="F515" s="6">
        <f t="shared" ref="F515:F578" si="91">IF(E515&lt;B515, E515 + 7, E515)</f>
        <v>45903</v>
      </c>
      <c r="G515" s="12">
        <f t="shared" ref="G515:G578" si="92">DATEDIF(B515, F515,"D")</f>
        <v>4</v>
      </c>
      <c r="H515" s="12">
        <f t="shared" ref="H515:H578" si="93">IF(G515&lt;=7,1,0)</f>
        <v>1</v>
      </c>
      <c r="I515" s="4" t="s">
        <v>649</v>
      </c>
      <c r="J515" s="4" t="s">
        <v>657</v>
      </c>
      <c r="K515" s="4" t="s">
        <v>673</v>
      </c>
      <c r="L515" t="str">
        <f t="shared" ref="L515:L578" si="94">I515&amp;"&gt;"&amp;J515 &amp;"&gt;"&amp;K515</f>
        <v>Europe&gt;France&gt;Marseille</v>
      </c>
      <c r="M515" s="4" t="s">
        <v>705</v>
      </c>
      <c r="N515" s="4" t="s">
        <v>709</v>
      </c>
      <c r="O515" s="4" t="s">
        <v>713</v>
      </c>
      <c r="P515" s="4" t="s">
        <v>731</v>
      </c>
      <c r="Q515" s="4" t="s">
        <v>1215</v>
      </c>
      <c r="R515" s="8">
        <v>1286.56</v>
      </c>
      <c r="S515" s="8">
        <v>2777.35</v>
      </c>
      <c r="T515" s="8">
        <v>2777.35</v>
      </c>
      <c r="U515" s="8" t="str">
        <f>IF(T515&lt;=_xlfn.PERCENTILE.INC($T515:$T$633,0.33), "Low", IF(T515&lt;=_xlfn.PERCENTILE.INC($T515:$T$633,0.66), "Medium", "High"))</f>
        <v>High</v>
      </c>
      <c r="V515" s="10">
        <v>0.13200000000000001</v>
      </c>
      <c r="W515" s="10">
        <f t="shared" ref="W515:W578" si="95">IF(V515&gt;0.3,0.3,V515)</f>
        <v>0.13200000000000001</v>
      </c>
      <c r="X515" s="12">
        <v>15</v>
      </c>
      <c r="Y515" s="8">
        <f t="shared" si="88"/>
        <v>36161.097000000002</v>
      </c>
      <c r="Z515" s="8">
        <f t="shared" si="89"/>
        <v>19298.399999999998</v>
      </c>
      <c r="AA515" s="8">
        <f t="shared" ref="AA515:AA578" si="96">Y515-Z515</f>
        <v>16862.697000000004</v>
      </c>
      <c r="AB515" s="10">
        <f t="shared" ref="AB515:AB578" si="97">IF(Y515 = 0, 0, AA515/Y515)</f>
        <v>0.46632150014696744</v>
      </c>
      <c r="AC515" s="14">
        <f>_xlfn.MINIFS($C$2:$C$633, $J$2:$J$633, J515)</f>
        <v>44936</v>
      </c>
      <c r="AD515">
        <f>DATEDIF(AC515, C515, "m")</f>
        <v>31</v>
      </c>
      <c r="AE515" s="8">
        <f t="shared" ref="AE515:AE578" si="98">(Y515/X515)</f>
        <v>2410.7398000000003</v>
      </c>
    </row>
    <row r="516" spans="1:31" x14ac:dyDescent="0.3">
      <c r="A516" s="4" t="s">
        <v>467</v>
      </c>
      <c r="B516" s="6">
        <v>45817</v>
      </c>
      <c r="C516" s="14">
        <v>45817</v>
      </c>
      <c r="D516" s="14" t="str">
        <f t="shared" si="90"/>
        <v>Q2 -2025</v>
      </c>
      <c r="E516" s="6">
        <v>45832</v>
      </c>
      <c r="F516" s="6">
        <f t="shared" si="91"/>
        <v>45832</v>
      </c>
      <c r="G516" s="12">
        <f t="shared" si="92"/>
        <v>15</v>
      </c>
      <c r="H516" s="12">
        <f t="shared" si="93"/>
        <v>0</v>
      </c>
      <c r="I516" s="4" t="s">
        <v>647</v>
      </c>
      <c r="J516" s="4" t="s">
        <v>652</v>
      </c>
      <c r="K516" s="4" t="s">
        <v>694</v>
      </c>
      <c r="L516" t="str">
        <f t="shared" si="94"/>
        <v>Asia&gt;Japan&gt;Nagoya</v>
      </c>
      <c r="M516" s="4" t="s">
        <v>701</v>
      </c>
      <c r="N516" s="4" t="s">
        <v>711</v>
      </c>
      <c r="O516" s="4" t="s">
        <v>717</v>
      </c>
      <c r="P516" s="4" t="s">
        <v>730</v>
      </c>
      <c r="Q516" s="4" t="s">
        <v>1186</v>
      </c>
      <c r="R516" s="8">
        <v>400.39</v>
      </c>
      <c r="S516" s="8">
        <v>712.75</v>
      </c>
      <c r="T516" s="8">
        <v>712.75</v>
      </c>
      <c r="U516" s="8" t="str">
        <f>IF(T516&lt;=_xlfn.PERCENTILE.INC($T516:$T$633,0.33), "Low", IF(T516&lt;=_xlfn.PERCENTILE.INC($T516:$T$633,0.66), "Medium", "High"))</f>
        <v>Low</v>
      </c>
      <c r="V516" s="10">
        <v>0.115</v>
      </c>
      <c r="W516" s="10">
        <f t="shared" si="95"/>
        <v>0.115</v>
      </c>
      <c r="X516" s="12">
        <v>19</v>
      </c>
      <c r="Y516" s="8">
        <f t="shared" si="88"/>
        <v>11984.891250000001</v>
      </c>
      <c r="Z516" s="8">
        <f t="shared" si="89"/>
        <v>7607.41</v>
      </c>
      <c r="AA516" s="8">
        <f t="shared" si="96"/>
        <v>4377.4812500000007</v>
      </c>
      <c r="AB516" s="10">
        <f t="shared" si="97"/>
        <v>0.36524997671547504</v>
      </c>
      <c r="AC516" s="14">
        <f>_xlfn.MINIFS($C$2:$C$633, $J$2:$J$633, J516)</f>
        <v>44988</v>
      </c>
      <c r="AD516">
        <f>DATEDIF(AC516, C516, "m")</f>
        <v>27</v>
      </c>
      <c r="AE516" s="8">
        <f t="shared" si="98"/>
        <v>630.78375000000005</v>
      </c>
    </row>
    <row r="517" spans="1:31" x14ac:dyDescent="0.3">
      <c r="A517" s="4" t="s">
        <v>174</v>
      </c>
      <c r="B517" s="6">
        <v>45870</v>
      </c>
      <c r="C517" s="14">
        <v>45870</v>
      </c>
      <c r="D517" s="14" t="str">
        <f t="shared" si="90"/>
        <v>Q3 -2025</v>
      </c>
      <c r="E517" s="6">
        <v>45890</v>
      </c>
      <c r="F517" s="6">
        <f t="shared" si="91"/>
        <v>45890</v>
      </c>
      <c r="G517" s="12">
        <f t="shared" si="92"/>
        <v>20</v>
      </c>
      <c r="H517" s="12">
        <f t="shared" si="93"/>
        <v>0</v>
      </c>
      <c r="I517" s="4" t="s">
        <v>647</v>
      </c>
      <c r="J517" s="4" t="s">
        <v>659</v>
      </c>
      <c r="K517" s="4" t="s">
        <v>685</v>
      </c>
      <c r="L517" t="str">
        <f t="shared" si="94"/>
        <v>Asia&gt;China&gt;Shanghai</v>
      </c>
      <c r="M517" s="4" t="s">
        <v>701</v>
      </c>
      <c r="N517" s="4" t="s">
        <v>711</v>
      </c>
      <c r="O517" s="4" t="s">
        <v>714</v>
      </c>
      <c r="P517" s="4" t="s">
        <v>730</v>
      </c>
      <c r="Q517" s="4" t="s">
        <v>893</v>
      </c>
      <c r="R517" s="8">
        <v>1220.4100000000001</v>
      </c>
      <c r="S517" s="8">
        <v>2552.2199999999998</v>
      </c>
      <c r="T517" s="8">
        <v>2552.2199999999998</v>
      </c>
      <c r="U517" s="8" t="str">
        <f>IF(T517&lt;=_xlfn.PERCENTILE.INC($T517:$T$633,0.33), "Low", IF(T517&lt;=_xlfn.PERCENTILE.INC($T517:$T$633,0.66), "Medium", "High"))</f>
        <v>High</v>
      </c>
      <c r="V517" s="10">
        <v>0.18099999999999999</v>
      </c>
      <c r="W517" s="10">
        <f t="shared" si="95"/>
        <v>0.18099999999999999</v>
      </c>
      <c r="X517" s="12">
        <v>14</v>
      </c>
      <c r="Y517" s="8">
        <f t="shared" si="88"/>
        <v>29263.754519999995</v>
      </c>
      <c r="Z517" s="8">
        <f t="shared" si="89"/>
        <v>17085.740000000002</v>
      </c>
      <c r="AA517" s="8">
        <f t="shared" si="96"/>
        <v>12178.014519999993</v>
      </c>
      <c r="AB517" s="10">
        <f t="shared" si="97"/>
        <v>0.41614668793360271</v>
      </c>
      <c r="AC517" s="14">
        <f>_xlfn.MINIFS($C$2:$C$633, $J$2:$J$633, J517)</f>
        <v>44938</v>
      </c>
      <c r="AD517">
        <f>DATEDIF(AC517, C517, "m")</f>
        <v>30</v>
      </c>
      <c r="AE517" s="8">
        <f t="shared" si="98"/>
        <v>2090.2681799999996</v>
      </c>
    </row>
    <row r="518" spans="1:31" x14ac:dyDescent="0.3">
      <c r="A518" s="4" t="s">
        <v>565</v>
      </c>
      <c r="B518" s="6">
        <v>45875</v>
      </c>
      <c r="C518" s="14">
        <v>45875</v>
      </c>
      <c r="D518" s="14" t="str">
        <f t="shared" si="90"/>
        <v>Q3 -2025</v>
      </c>
      <c r="E518" s="6">
        <v>45892</v>
      </c>
      <c r="F518" s="6">
        <f t="shared" si="91"/>
        <v>45892</v>
      </c>
      <c r="G518" s="12">
        <f t="shared" si="92"/>
        <v>17</v>
      </c>
      <c r="H518" s="12">
        <f t="shared" si="93"/>
        <v>0</v>
      </c>
      <c r="I518" s="4" t="s">
        <v>648</v>
      </c>
      <c r="J518" s="4" t="s">
        <v>655</v>
      </c>
      <c r="K518" s="4" t="s">
        <v>672</v>
      </c>
      <c r="L518" t="str">
        <f t="shared" si="94"/>
        <v>Americas&gt;Brazil&gt;Brasília</v>
      </c>
      <c r="M518" s="4" t="s">
        <v>704</v>
      </c>
      <c r="N518" s="4" t="s">
        <v>710</v>
      </c>
      <c r="O518" s="4" t="s">
        <v>720</v>
      </c>
      <c r="P518" s="4" t="s">
        <v>732</v>
      </c>
      <c r="Q518" s="4" t="s">
        <v>1283</v>
      </c>
      <c r="R518" s="8">
        <v>86.64</v>
      </c>
      <c r="S518" s="8">
        <v>213.06</v>
      </c>
      <c r="T518" s="8">
        <v>213.06</v>
      </c>
      <c r="U518" s="8" t="str">
        <f>IF(T518&lt;=_xlfn.PERCENTILE.INC($T518:$T$633,0.33), "Low", IF(T518&lt;=_xlfn.PERCENTILE.INC($T518:$T$633,0.66), "Medium", "High"))</f>
        <v>Low</v>
      </c>
      <c r="V518" s="10">
        <v>0.21199999999999999</v>
      </c>
      <c r="W518" s="10">
        <f t="shared" si="95"/>
        <v>0.21199999999999999</v>
      </c>
      <c r="X518" s="12">
        <v>11</v>
      </c>
      <c r="Y518" s="8">
        <f t="shared" si="88"/>
        <v>1846.8040799999999</v>
      </c>
      <c r="Z518" s="8">
        <f t="shared" si="89"/>
        <v>953.04</v>
      </c>
      <c r="AA518" s="8">
        <f t="shared" si="96"/>
        <v>893.76407999999992</v>
      </c>
      <c r="AB518" s="10">
        <f t="shared" si="97"/>
        <v>0.48395175735154322</v>
      </c>
      <c r="AC518" s="14">
        <f>_xlfn.MINIFS($C$2:$C$633, $J$2:$J$633, J518)</f>
        <v>44955</v>
      </c>
      <c r="AD518">
        <f>DATEDIF(AC518, C518, "m")</f>
        <v>30</v>
      </c>
      <c r="AE518" s="8">
        <f t="shared" si="98"/>
        <v>167.89127999999999</v>
      </c>
    </row>
    <row r="519" spans="1:31" x14ac:dyDescent="0.3">
      <c r="A519" s="4" t="s">
        <v>278</v>
      </c>
      <c r="B519" s="6">
        <v>45763</v>
      </c>
      <c r="C519" s="14">
        <v>45763</v>
      </c>
      <c r="D519" s="14" t="str">
        <f t="shared" si="90"/>
        <v>Q2 -2025</v>
      </c>
      <c r="E519" s="6">
        <v>45773</v>
      </c>
      <c r="F519" s="6">
        <f t="shared" si="91"/>
        <v>45773</v>
      </c>
      <c r="G519" s="12">
        <f t="shared" si="92"/>
        <v>10</v>
      </c>
      <c r="H519" s="12">
        <f t="shared" si="93"/>
        <v>0</v>
      </c>
      <c r="I519" s="4" t="s">
        <v>646</v>
      </c>
      <c r="J519" s="4" t="s">
        <v>651</v>
      </c>
      <c r="K519" s="4" t="s">
        <v>663</v>
      </c>
      <c r="L519" t="str">
        <f t="shared" si="94"/>
        <v>Africa&gt;Nigeria&gt;Port Harcourt</v>
      </c>
      <c r="M519" s="4" t="s">
        <v>706</v>
      </c>
      <c r="N519" s="4" t="s">
        <v>709</v>
      </c>
      <c r="O519" s="4" t="s">
        <v>721</v>
      </c>
      <c r="P519" s="4" t="s">
        <v>731</v>
      </c>
      <c r="Q519" s="4" t="s">
        <v>998</v>
      </c>
      <c r="R519" s="8">
        <v>1457.44</v>
      </c>
      <c r="S519" s="8">
        <v>1996.81</v>
      </c>
      <c r="T519" s="8">
        <v>1996.81</v>
      </c>
      <c r="U519" s="8" t="str">
        <f>IF(T519&lt;=_xlfn.PERCENTILE.INC($T519:$T$633,0.33), "Low", IF(T519&lt;=_xlfn.PERCENTILE.INC($T519:$T$633,0.66), "Medium", "High"))</f>
        <v>High</v>
      </c>
      <c r="V519" s="10">
        <v>0.126</v>
      </c>
      <c r="W519" s="10">
        <f t="shared" si="95"/>
        <v>0.126</v>
      </c>
      <c r="X519" s="12">
        <v>23</v>
      </c>
      <c r="Y519" s="8">
        <f t="shared" si="88"/>
        <v>40139.874619999995</v>
      </c>
      <c r="Z519" s="8">
        <f t="shared" si="89"/>
        <v>33521.120000000003</v>
      </c>
      <c r="AA519" s="8">
        <f t="shared" si="96"/>
        <v>6618.7546199999924</v>
      </c>
      <c r="AB519" s="10">
        <f t="shared" si="97"/>
        <v>0.16489225944672353</v>
      </c>
      <c r="AC519" s="14">
        <f>_xlfn.MINIFS($C$2:$C$633, $J$2:$J$633, J519)</f>
        <v>44941</v>
      </c>
      <c r="AD519">
        <f>DATEDIF(AC519, C519, "m")</f>
        <v>27</v>
      </c>
      <c r="AE519" s="8">
        <f t="shared" si="98"/>
        <v>1745.2119399999997</v>
      </c>
    </row>
    <row r="520" spans="1:31" x14ac:dyDescent="0.3">
      <c r="A520" s="4" t="s">
        <v>540</v>
      </c>
      <c r="B520" s="6">
        <v>45695</v>
      </c>
      <c r="C520" s="14">
        <v>45695</v>
      </c>
      <c r="D520" s="14" t="str">
        <f t="shared" si="90"/>
        <v>Q1 -2025</v>
      </c>
      <c r="E520" s="6">
        <v>45704</v>
      </c>
      <c r="F520" s="6">
        <f t="shared" si="91"/>
        <v>45704</v>
      </c>
      <c r="G520" s="12">
        <f t="shared" si="92"/>
        <v>9</v>
      </c>
      <c r="H520" s="12">
        <f t="shared" si="93"/>
        <v>0</v>
      </c>
      <c r="I520" s="4" t="s">
        <v>646</v>
      </c>
      <c r="J520" s="4" t="s">
        <v>651</v>
      </c>
      <c r="K520" s="4" t="s">
        <v>665</v>
      </c>
      <c r="L520" t="str">
        <f t="shared" si="94"/>
        <v>Africa&gt;Nigeria&gt;Lagos</v>
      </c>
      <c r="M520" s="4" t="s">
        <v>705</v>
      </c>
      <c r="N520" s="4" t="s">
        <v>710</v>
      </c>
      <c r="O520" s="4" t="s">
        <v>712</v>
      </c>
      <c r="P520" s="4" t="s">
        <v>728</v>
      </c>
      <c r="Q520" s="4" t="s">
        <v>1259</v>
      </c>
      <c r="R520" s="8">
        <v>90.68</v>
      </c>
      <c r="S520" s="8">
        <v>118.17</v>
      </c>
      <c r="T520" s="8">
        <v>118.17</v>
      </c>
      <c r="U520" s="8" t="str">
        <f>IF(T520&lt;=_xlfn.PERCENTILE.INC($T520:$T$633,0.33), "Low", IF(T520&lt;=_xlfn.PERCENTILE.INC($T520:$T$633,0.66), "Medium", "High"))</f>
        <v>Low</v>
      </c>
      <c r="V520" s="10">
        <v>0.13500000000000001</v>
      </c>
      <c r="W520" s="10">
        <f t="shared" si="95"/>
        <v>0.13500000000000001</v>
      </c>
      <c r="X520" s="12">
        <v>21</v>
      </c>
      <c r="Y520" s="8">
        <f t="shared" si="88"/>
        <v>2146.5580500000001</v>
      </c>
      <c r="Z520" s="8">
        <f t="shared" si="89"/>
        <v>1904.2800000000002</v>
      </c>
      <c r="AA520" s="8">
        <f t="shared" si="96"/>
        <v>242.27804999999989</v>
      </c>
      <c r="AB520" s="10">
        <f t="shared" si="97"/>
        <v>0.11286815653552899</v>
      </c>
      <c r="AC520" s="14">
        <f>_xlfn.MINIFS($C$2:$C$633, $J$2:$J$633, J520)</f>
        <v>44941</v>
      </c>
      <c r="AD520">
        <f>DATEDIF(AC520, C520, "m")</f>
        <v>24</v>
      </c>
      <c r="AE520" s="8">
        <f t="shared" si="98"/>
        <v>102.21705</v>
      </c>
    </row>
    <row r="521" spans="1:31" x14ac:dyDescent="0.3">
      <c r="A521" s="4" t="s">
        <v>461</v>
      </c>
      <c r="B521" s="6">
        <v>45746</v>
      </c>
      <c r="C521" s="14">
        <v>45746</v>
      </c>
      <c r="D521" s="14" t="str">
        <f t="shared" si="90"/>
        <v>Q1 -2025</v>
      </c>
      <c r="E521" s="6">
        <v>45776</v>
      </c>
      <c r="F521" s="6">
        <f t="shared" si="91"/>
        <v>45776</v>
      </c>
      <c r="G521" s="12">
        <f t="shared" si="92"/>
        <v>30</v>
      </c>
      <c r="H521" s="12">
        <f t="shared" si="93"/>
        <v>0</v>
      </c>
      <c r="I521" s="4" t="s">
        <v>646</v>
      </c>
      <c r="J521" s="4" t="s">
        <v>661</v>
      </c>
      <c r="K521" s="4" t="s">
        <v>687</v>
      </c>
      <c r="L521" t="str">
        <f t="shared" si="94"/>
        <v>Africa&gt;South Africa&gt;Durban</v>
      </c>
      <c r="M521" s="4" t="s">
        <v>704</v>
      </c>
      <c r="N521" s="4" t="s">
        <v>709</v>
      </c>
      <c r="O521" s="4" t="s">
        <v>713</v>
      </c>
      <c r="P521" s="4" t="s">
        <v>732</v>
      </c>
      <c r="Q521" s="4" t="s">
        <v>1180</v>
      </c>
      <c r="R521" s="8">
        <v>194.6</v>
      </c>
      <c r="S521" s="8">
        <v>314.87</v>
      </c>
      <c r="T521" s="8">
        <v>314.87</v>
      </c>
      <c r="U521" s="8" t="str">
        <f>IF(T521&lt;=_xlfn.PERCENTILE.INC($T521:$T$633,0.33), "Low", IF(T521&lt;=_xlfn.PERCENTILE.INC($T521:$T$633,0.66), "Medium", "High"))</f>
        <v>Low</v>
      </c>
      <c r="V521" s="10">
        <v>0.29299999999999998</v>
      </c>
      <c r="W521" s="10">
        <f t="shared" si="95"/>
        <v>0.29299999999999998</v>
      </c>
      <c r="X521" s="12">
        <v>25</v>
      </c>
      <c r="Y521" s="8">
        <f t="shared" si="88"/>
        <v>5565.3272500000003</v>
      </c>
      <c r="Z521" s="8">
        <f t="shared" si="89"/>
        <v>4865</v>
      </c>
      <c r="AA521" s="8">
        <f t="shared" si="96"/>
        <v>700.32725000000028</v>
      </c>
      <c r="AB521" s="10">
        <f t="shared" si="97"/>
        <v>0.1258375686712763</v>
      </c>
      <c r="AC521" s="14">
        <f>_xlfn.MINIFS($C$2:$C$633, $J$2:$J$633, J521)</f>
        <v>44933</v>
      </c>
      <c r="AD521">
        <f>DATEDIF(AC521, C521, "m")</f>
        <v>26</v>
      </c>
      <c r="AE521" s="8">
        <f t="shared" si="98"/>
        <v>222.61309</v>
      </c>
    </row>
    <row r="522" spans="1:31" x14ac:dyDescent="0.3">
      <c r="A522" s="4" t="s">
        <v>520</v>
      </c>
      <c r="B522" s="6">
        <v>45774</v>
      </c>
      <c r="C522" s="14">
        <v>45774</v>
      </c>
      <c r="D522" s="14" t="str">
        <f t="shared" si="90"/>
        <v>Q2 -2025</v>
      </c>
      <c r="E522" s="6">
        <v>45794</v>
      </c>
      <c r="F522" s="6">
        <f t="shared" si="91"/>
        <v>45794</v>
      </c>
      <c r="G522" s="12">
        <f t="shared" si="92"/>
        <v>20</v>
      </c>
      <c r="H522" s="12">
        <f t="shared" si="93"/>
        <v>0</v>
      </c>
      <c r="I522" s="4" t="s">
        <v>648</v>
      </c>
      <c r="J522" s="4" t="s">
        <v>660</v>
      </c>
      <c r="K522" s="4" t="s">
        <v>697</v>
      </c>
      <c r="L522" t="str">
        <f t="shared" si="94"/>
        <v>Americas&gt;USA&gt;Austin</v>
      </c>
      <c r="M522" s="4" t="s">
        <v>701</v>
      </c>
      <c r="N522" s="4" t="s">
        <v>711</v>
      </c>
      <c r="O522" s="4" t="s">
        <v>725</v>
      </c>
      <c r="P522" s="4" t="s">
        <v>730</v>
      </c>
      <c r="Q522" s="4" t="s">
        <v>1239</v>
      </c>
      <c r="R522" s="8">
        <v>932.26</v>
      </c>
      <c r="S522" s="8">
        <v>1624.67</v>
      </c>
      <c r="T522" s="8">
        <v>1624.67</v>
      </c>
      <c r="U522" s="8" t="str">
        <f>IF(T522&lt;=_xlfn.PERCENTILE.INC($T522:$T$633,0.33), "Low", IF(T522&lt;=_xlfn.PERCENTILE.INC($T522:$T$633,0.66), "Medium", "High"))</f>
        <v>High</v>
      </c>
      <c r="V522" s="10">
        <v>0.23499999999999999</v>
      </c>
      <c r="W522" s="10">
        <f t="shared" si="95"/>
        <v>0.23499999999999999</v>
      </c>
      <c r="X522" s="12">
        <v>28</v>
      </c>
      <c r="Y522" s="8">
        <f t="shared" si="88"/>
        <v>34800.431400000001</v>
      </c>
      <c r="Z522" s="8">
        <f t="shared" si="89"/>
        <v>26103.279999999999</v>
      </c>
      <c r="AA522" s="8">
        <f t="shared" si="96"/>
        <v>8697.1514000000025</v>
      </c>
      <c r="AB522" s="10">
        <f t="shared" si="97"/>
        <v>0.24991504559337163</v>
      </c>
      <c r="AC522" s="14">
        <f>_xlfn.MINIFS($C$2:$C$633, $J$2:$J$633, J522)</f>
        <v>44939</v>
      </c>
      <c r="AD522">
        <f>DATEDIF(AC522, C522, "m")</f>
        <v>27</v>
      </c>
      <c r="AE522" s="8">
        <f t="shared" si="98"/>
        <v>1242.87255</v>
      </c>
    </row>
    <row r="523" spans="1:31" x14ac:dyDescent="0.3">
      <c r="A523" s="4" t="s">
        <v>47</v>
      </c>
      <c r="B523" s="6">
        <v>45862</v>
      </c>
      <c r="C523" s="14">
        <v>45862</v>
      </c>
      <c r="D523" s="14" t="str">
        <f t="shared" si="90"/>
        <v>Q3 -2025</v>
      </c>
      <c r="E523" s="6">
        <v>45875</v>
      </c>
      <c r="F523" s="6">
        <f t="shared" si="91"/>
        <v>45875</v>
      </c>
      <c r="G523" s="12">
        <f t="shared" si="92"/>
        <v>13</v>
      </c>
      <c r="H523" s="12">
        <f t="shared" si="93"/>
        <v>0</v>
      </c>
      <c r="I523" s="4" t="s">
        <v>646</v>
      </c>
      <c r="J523" s="4" t="s">
        <v>661</v>
      </c>
      <c r="K523" s="4" t="s">
        <v>682</v>
      </c>
      <c r="L523" t="str">
        <f t="shared" si="94"/>
        <v>Africa&gt;South Africa&gt;Johannesburg</v>
      </c>
      <c r="M523" s="4" t="s">
        <v>702</v>
      </c>
      <c r="N523" s="4" t="s">
        <v>709</v>
      </c>
      <c r="O523" s="4" t="s">
        <v>726</v>
      </c>
      <c r="P523" s="4" t="s">
        <v>729</v>
      </c>
      <c r="Q523" s="4" t="s">
        <v>766</v>
      </c>
      <c r="R523" s="8">
        <v>1463.9</v>
      </c>
      <c r="S523" s="8">
        <v>2633.02</v>
      </c>
      <c r="T523" s="8">
        <v>2633.02</v>
      </c>
      <c r="U523" s="8" t="str">
        <f>IF(T523&lt;=_xlfn.PERCENTILE.INC($T523:$T$633,0.33), "Low", IF(T523&lt;=_xlfn.PERCENTILE.INC($T523:$T$633,0.66), "Medium", "High"))</f>
        <v>High</v>
      </c>
      <c r="V523" s="10">
        <v>8.4000000000000005E-2</v>
      </c>
      <c r="W523" s="10">
        <f t="shared" si="95"/>
        <v>8.4000000000000005E-2</v>
      </c>
      <c r="X523" s="12">
        <v>4</v>
      </c>
      <c r="Y523" s="8">
        <f t="shared" si="88"/>
        <v>9647.3852800000004</v>
      </c>
      <c r="Z523" s="8">
        <f t="shared" si="89"/>
        <v>5855.6</v>
      </c>
      <c r="AA523" s="8">
        <f t="shared" si="96"/>
        <v>3791.7852800000001</v>
      </c>
      <c r="AB523" s="10">
        <f t="shared" si="97"/>
        <v>0.39303761277791527</v>
      </c>
      <c r="AC523" s="14">
        <f>_xlfn.MINIFS($C$2:$C$633, $J$2:$J$633, J523)</f>
        <v>44933</v>
      </c>
      <c r="AD523">
        <f>DATEDIF(AC523, C523, "m")</f>
        <v>30</v>
      </c>
      <c r="AE523" s="8">
        <f t="shared" si="98"/>
        <v>2411.8463200000001</v>
      </c>
    </row>
    <row r="524" spans="1:31" x14ac:dyDescent="0.3">
      <c r="A524" s="4" t="s">
        <v>363</v>
      </c>
      <c r="B524" s="6">
        <v>45825</v>
      </c>
      <c r="C524" s="14">
        <v>45825</v>
      </c>
      <c r="D524" s="14" t="str">
        <f t="shared" si="90"/>
        <v>Q2 -2025</v>
      </c>
      <c r="E524" s="6">
        <v>45843</v>
      </c>
      <c r="F524" s="6">
        <f t="shared" si="91"/>
        <v>45843</v>
      </c>
      <c r="G524" s="12">
        <f t="shared" si="92"/>
        <v>18</v>
      </c>
      <c r="H524" s="12">
        <f t="shared" si="93"/>
        <v>0</v>
      </c>
      <c r="I524" s="4" t="s">
        <v>647</v>
      </c>
      <c r="J524" s="4" t="s">
        <v>654</v>
      </c>
      <c r="K524" s="4" t="s">
        <v>680</v>
      </c>
      <c r="L524" t="str">
        <f t="shared" si="94"/>
        <v>Asia&gt;India&gt;Delhi</v>
      </c>
      <c r="M524" s="4" t="s">
        <v>704</v>
      </c>
      <c r="N524" s="4" t="s">
        <v>709</v>
      </c>
      <c r="O524" s="4" t="s">
        <v>716</v>
      </c>
      <c r="P524" s="4" t="s">
        <v>731</v>
      </c>
      <c r="Q524" s="4" t="s">
        <v>1083</v>
      </c>
      <c r="R524" s="8">
        <v>982.93</v>
      </c>
      <c r="S524" s="8">
        <v>2299.3000000000002</v>
      </c>
      <c r="T524" s="8">
        <v>2299.3000000000002</v>
      </c>
      <c r="U524" s="8" t="str">
        <f>IF(T524&lt;=_xlfn.PERCENTILE.INC($T524:$T$633,0.33), "Low", IF(T524&lt;=_xlfn.PERCENTILE.INC($T524:$T$633,0.66), "Medium", "High"))</f>
        <v>High</v>
      </c>
      <c r="V524" s="10">
        <v>0.113</v>
      </c>
      <c r="W524" s="10">
        <f t="shared" si="95"/>
        <v>0.113</v>
      </c>
      <c r="X524" s="12">
        <v>6</v>
      </c>
      <c r="Y524" s="8">
        <f t="shared" si="88"/>
        <v>12236.874600000001</v>
      </c>
      <c r="Z524" s="8">
        <f t="shared" si="89"/>
        <v>5897.58</v>
      </c>
      <c r="AA524" s="8">
        <f t="shared" si="96"/>
        <v>6339.2946000000011</v>
      </c>
      <c r="AB524" s="10">
        <f t="shared" si="97"/>
        <v>0.51804850562087157</v>
      </c>
      <c r="AC524" s="14">
        <f>_xlfn.MINIFS($C$2:$C$633, $J$2:$J$633, J524)</f>
        <v>44955</v>
      </c>
      <c r="AD524">
        <f>DATEDIF(AC524, C524, "m")</f>
        <v>28</v>
      </c>
      <c r="AE524" s="8">
        <f t="shared" si="98"/>
        <v>2039.4791000000002</v>
      </c>
    </row>
    <row r="525" spans="1:31" x14ac:dyDescent="0.3">
      <c r="A525" s="4" t="s">
        <v>285</v>
      </c>
      <c r="B525" s="6">
        <v>45707</v>
      </c>
      <c r="C525" s="14">
        <v>45707</v>
      </c>
      <c r="D525" s="14" t="str">
        <f t="shared" si="90"/>
        <v>Q1 -2025</v>
      </c>
      <c r="E525" s="6">
        <v>45725</v>
      </c>
      <c r="F525" s="6">
        <f t="shared" si="91"/>
        <v>45725</v>
      </c>
      <c r="G525" s="12">
        <f t="shared" si="92"/>
        <v>18</v>
      </c>
      <c r="H525" s="12">
        <f t="shared" si="93"/>
        <v>0</v>
      </c>
      <c r="I525" s="4" t="s">
        <v>647</v>
      </c>
      <c r="J525" s="4" t="s">
        <v>654</v>
      </c>
      <c r="K525" s="4" t="s">
        <v>680</v>
      </c>
      <c r="L525" t="str">
        <f t="shared" si="94"/>
        <v>Asia&gt;India&gt;Delhi</v>
      </c>
      <c r="M525" s="4" t="s">
        <v>705</v>
      </c>
      <c r="N525" s="4" t="s">
        <v>711</v>
      </c>
      <c r="O525" s="4" t="s">
        <v>719</v>
      </c>
      <c r="P525" s="4" t="s">
        <v>732</v>
      </c>
      <c r="Q525" s="4" t="s">
        <v>1005</v>
      </c>
      <c r="R525" s="8">
        <v>325.87</v>
      </c>
      <c r="S525" s="8">
        <v>538.79</v>
      </c>
      <c r="T525" s="8">
        <v>538.79</v>
      </c>
      <c r="U525" s="8" t="str">
        <f>IF(T525&lt;=_xlfn.PERCENTILE.INC($T525:$T$633,0.33), "Low", IF(T525&lt;=_xlfn.PERCENTILE.INC($T525:$T$633,0.66), "Medium", "High"))</f>
        <v>Low</v>
      </c>
      <c r="V525" s="10">
        <v>0.17399999999999999</v>
      </c>
      <c r="W525" s="10">
        <f t="shared" si="95"/>
        <v>0.17399999999999999</v>
      </c>
      <c r="X525" s="12">
        <v>16</v>
      </c>
      <c r="Y525" s="8">
        <f t="shared" si="88"/>
        <v>7120.6486400000003</v>
      </c>
      <c r="Z525" s="8">
        <f t="shared" si="89"/>
        <v>5213.92</v>
      </c>
      <c r="AA525" s="8">
        <f t="shared" si="96"/>
        <v>1906.7286400000003</v>
      </c>
      <c r="AB525" s="10">
        <f t="shared" si="97"/>
        <v>0.26777457172778013</v>
      </c>
      <c r="AC525" s="14">
        <f>_xlfn.MINIFS($C$2:$C$633, $J$2:$J$633, J525)</f>
        <v>44955</v>
      </c>
      <c r="AD525">
        <f>DATEDIF(AC525, C525, "m")</f>
        <v>24</v>
      </c>
      <c r="AE525" s="8">
        <f t="shared" si="98"/>
        <v>445.04054000000002</v>
      </c>
    </row>
    <row r="526" spans="1:31" x14ac:dyDescent="0.3">
      <c r="A526" s="4" t="s">
        <v>404</v>
      </c>
      <c r="B526" s="6">
        <v>45823</v>
      </c>
      <c r="C526" s="14">
        <v>45823</v>
      </c>
      <c r="D526" s="14" t="str">
        <f t="shared" si="90"/>
        <v>Q2 -2025</v>
      </c>
      <c r="E526" s="6">
        <v>45838</v>
      </c>
      <c r="F526" s="6">
        <f t="shared" si="91"/>
        <v>45838</v>
      </c>
      <c r="G526" s="12">
        <f t="shared" si="92"/>
        <v>15</v>
      </c>
      <c r="H526" s="12">
        <f t="shared" si="93"/>
        <v>0</v>
      </c>
      <c r="I526" s="4" t="s">
        <v>646</v>
      </c>
      <c r="J526" s="4" t="s">
        <v>661</v>
      </c>
      <c r="K526" s="4" t="s">
        <v>682</v>
      </c>
      <c r="L526" t="str">
        <f t="shared" si="94"/>
        <v>Africa&gt;South Africa&gt;Johannesburg</v>
      </c>
      <c r="M526" s="4" t="s">
        <v>705</v>
      </c>
      <c r="N526" s="4" t="s">
        <v>711</v>
      </c>
      <c r="O526" s="4" t="s">
        <v>712</v>
      </c>
      <c r="P526" s="4" t="s">
        <v>732</v>
      </c>
      <c r="Q526" s="4" t="s">
        <v>1123</v>
      </c>
      <c r="R526" s="8">
        <v>1487.59</v>
      </c>
      <c r="S526" s="8">
        <v>1480.83</v>
      </c>
      <c r="T526" s="8">
        <v>1480.83</v>
      </c>
      <c r="U526" s="8" t="str">
        <f>IF(T526&lt;=_xlfn.PERCENTILE.INC($T526:$T$633,0.33), "Low", IF(T526&lt;=_xlfn.PERCENTILE.INC($T526:$T$633,0.66), "Medium", "High"))</f>
        <v>High</v>
      </c>
      <c r="V526" s="10">
        <v>8.9999999999999993E-3</v>
      </c>
      <c r="W526" s="10">
        <f t="shared" si="95"/>
        <v>8.9999999999999993E-3</v>
      </c>
      <c r="X526" s="12">
        <v>11</v>
      </c>
      <c r="Y526" s="8">
        <f t="shared" si="88"/>
        <v>16142.527829999999</v>
      </c>
      <c r="Z526" s="8">
        <f t="shared" si="89"/>
        <v>16363.49</v>
      </c>
      <c r="AA526" s="8">
        <f t="shared" si="96"/>
        <v>-220.9621700000007</v>
      </c>
      <c r="AB526" s="10">
        <f t="shared" si="97"/>
        <v>-1.3688201273492908E-2</v>
      </c>
      <c r="AC526" s="14">
        <f>_xlfn.MINIFS($C$2:$C$633, $J$2:$J$633, J526)</f>
        <v>44933</v>
      </c>
      <c r="AD526">
        <f>DATEDIF(AC526, C526, "m")</f>
        <v>29</v>
      </c>
      <c r="AE526" s="8">
        <f t="shared" si="98"/>
        <v>1467.50253</v>
      </c>
    </row>
    <row r="527" spans="1:31" x14ac:dyDescent="0.3">
      <c r="A527" s="4" t="s">
        <v>409</v>
      </c>
      <c r="B527" s="6">
        <v>45804</v>
      </c>
      <c r="C527" s="14">
        <v>45804</v>
      </c>
      <c r="D527" s="14" t="str">
        <f t="shared" si="90"/>
        <v>Q2 -2025</v>
      </c>
      <c r="E527" s="6">
        <v>45816</v>
      </c>
      <c r="F527" s="6">
        <f t="shared" si="91"/>
        <v>45816</v>
      </c>
      <c r="G527" s="12">
        <f t="shared" si="92"/>
        <v>12</v>
      </c>
      <c r="H527" s="12">
        <f t="shared" si="93"/>
        <v>0</v>
      </c>
      <c r="I527" s="4" t="s">
        <v>647</v>
      </c>
      <c r="J527" s="4" t="s">
        <v>652</v>
      </c>
      <c r="K527" s="4" t="s">
        <v>666</v>
      </c>
      <c r="L527" t="str">
        <f t="shared" si="94"/>
        <v>Asia&gt;Japan&gt;Osaka</v>
      </c>
      <c r="M527" s="4" t="s">
        <v>701</v>
      </c>
      <c r="N527" s="4" t="s">
        <v>707</v>
      </c>
      <c r="O527" s="4" t="s">
        <v>722</v>
      </c>
      <c r="P527" s="4" t="s">
        <v>733</v>
      </c>
      <c r="Q527" s="4" t="s">
        <v>1128</v>
      </c>
      <c r="R527" s="8">
        <v>653.6</v>
      </c>
      <c r="S527" s="8">
        <v>842.09</v>
      </c>
      <c r="T527" s="8">
        <v>842.09</v>
      </c>
      <c r="U527" s="8" t="str">
        <f>IF(T527&lt;=_xlfn.PERCENTILE.INC($T527:$T$633,0.33), "Low", IF(T527&lt;=_xlfn.PERCENTILE.INC($T527:$T$633,0.66), "Medium", "High"))</f>
        <v>Medium</v>
      </c>
      <c r="V527" s="10">
        <v>9.8000000000000004E-2</v>
      </c>
      <c r="W527" s="10">
        <f t="shared" si="95"/>
        <v>9.8000000000000004E-2</v>
      </c>
      <c r="X527" s="12">
        <v>19</v>
      </c>
      <c r="Y527" s="8">
        <f t="shared" si="88"/>
        <v>14431.738420000001</v>
      </c>
      <c r="Z527" s="8">
        <f t="shared" si="89"/>
        <v>12418.4</v>
      </c>
      <c r="AA527" s="8">
        <f t="shared" si="96"/>
        <v>2013.3384200000019</v>
      </c>
      <c r="AB527" s="10">
        <f t="shared" si="97"/>
        <v>0.13950768517324622</v>
      </c>
      <c r="AC527" s="14">
        <f>_xlfn.MINIFS($C$2:$C$633, $J$2:$J$633, J527)</f>
        <v>44988</v>
      </c>
      <c r="AD527">
        <f>DATEDIF(AC527, C527, "m")</f>
        <v>26</v>
      </c>
      <c r="AE527" s="8">
        <f t="shared" si="98"/>
        <v>759.56518000000005</v>
      </c>
    </row>
    <row r="528" spans="1:31" x14ac:dyDescent="0.3">
      <c r="A528" s="4" t="s">
        <v>308</v>
      </c>
      <c r="B528" s="6">
        <v>45758</v>
      </c>
      <c r="C528" s="14">
        <v>45758</v>
      </c>
      <c r="D528" s="14" t="str">
        <f t="shared" si="90"/>
        <v>Q2 -2025</v>
      </c>
      <c r="E528" s="6">
        <v>45781</v>
      </c>
      <c r="F528" s="6">
        <f t="shared" si="91"/>
        <v>45781</v>
      </c>
      <c r="G528" s="12">
        <f t="shared" si="92"/>
        <v>23</v>
      </c>
      <c r="H528" s="12">
        <f t="shared" si="93"/>
        <v>0</v>
      </c>
      <c r="I528" s="4" t="s">
        <v>647</v>
      </c>
      <c r="J528" s="4" t="s">
        <v>652</v>
      </c>
      <c r="K528" s="4" t="s">
        <v>666</v>
      </c>
      <c r="L528" t="str">
        <f t="shared" si="94"/>
        <v>Asia&gt;Japan&gt;Osaka</v>
      </c>
      <c r="M528" s="4" t="s">
        <v>705</v>
      </c>
      <c r="N528" s="4" t="s">
        <v>708</v>
      </c>
      <c r="O528" s="4" t="s">
        <v>724</v>
      </c>
      <c r="P528" s="4" t="s">
        <v>727</v>
      </c>
      <c r="Q528" s="4" t="s">
        <v>1028</v>
      </c>
      <c r="R528" s="8">
        <v>786.2</v>
      </c>
      <c r="S528" s="8">
        <v>1075.3</v>
      </c>
      <c r="T528" s="8">
        <v>1075.3</v>
      </c>
      <c r="U528" s="8" t="str">
        <f>IF(T528&lt;=_xlfn.PERCENTILE.INC($T528:$T$633,0.33), "Low", IF(T528&lt;=_xlfn.PERCENTILE.INC($T528:$T$633,0.66), "Medium", "High"))</f>
        <v>Medium</v>
      </c>
      <c r="V528" s="10">
        <v>0.08</v>
      </c>
      <c r="W528" s="10">
        <f t="shared" si="95"/>
        <v>0.08</v>
      </c>
      <c r="X528" s="12">
        <v>9</v>
      </c>
      <c r="Y528" s="8">
        <f t="shared" si="88"/>
        <v>8903.4839999999986</v>
      </c>
      <c r="Z528" s="8">
        <f t="shared" si="89"/>
        <v>7075.8</v>
      </c>
      <c r="AA528" s="8">
        <f t="shared" si="96"/>
        <v>1827.6839999999984</v>
      </c>
      <c r="AB528" s="10">
        <f t="shared" si="97"/>
        <v>0.20527739478163815</v>
      </c>
      <c r="AC528" s="14">
        <f>_xlfn.MINIFS($C$2:$C$633, $J$2:$J$633, J528)</f>
        <v>44988</v>
      </c>
      <c r="AD528">
        <f>DATEDIF(AC528, C528, "m")</f>
        <v>25</v>
      </c>
      <c r="AE528" s="8">
        <f t="shared" si="98"/>
        <v>989.27599999999984</v>
      </c>
    </row>
    <row r="529" spans="1:31" x14ac:dyDescent="0.3">
      <c r="A529" s="4" t="s">
        <v>27</v>
      </c>
      <c r="B529" s="6">
        <v>45722</v>
      </c>
      <c r="C529" s="14">
        <v>45722</v>
      </c>
      <c r="D529" s="14" t="str">
        <f t="shared" si="90"/>
        <v>Q1 -2025</v>
      </c>
      <c r="E529" s="6">
        <v>45747</v>
      </c>
      <c r="F529" s="6">
        <f t="shared" si="91"/>
        <v>45747</v>
      </c>
      <c r="G529" s="12">
        <f t="shared" si="92"/>
        <v>25</v>
      </c>
      <c r="H529" s="12">
        <f t="shared" si="93"/>
        <v>0</v>
      </c>
      <c r="I529" s="4" t="s">
        <v>648</v>
      </c>
      <c r="J529" s="4" t="s">
        <v>655</v>
      </c>
      <c r="K529" s="4" t="s">
        <v>672</v>
      </c>
      <c r="L529" t="str">
        <f t="shared" si="94"/>
        <v>Americas&gt;Brazil&gt;Brasília</v>
      </c>
      <c r="M529" s="4" t="s">
        <v>703</v>
      </c>
      <c r="N529" s="4" t="s">
        <v>708</v>
      </c>
      <c r="O529" s="4" t="s">
        <v>713</v>
      </c>
      <c r="P529" s="4" t="s">
        <v>727</v>
      </c>
      <c r="Q529" s="4" t="s">
        <v>746</v>
      </c>
      <c r="R529" s="8">
        <v>331.57</v>
      </c>
      <c r="S529" s="8">
        <v>548.4</v>
      </c>
      <c r="T529" s="8">
        <v>548.4</v>
      </c>
      <c r="U529" s="8" t="str">
        <f>IF(T529&lt;=_xlfn.PERCENTILE.INC($T529:$T$633,0.33), "Low", IF(T529&lt;=_xlfn.PERCENTILE.INC($T529:$T$633,0.66), "Medium", "High"))</f>
        <v>Low</v>
      </c>
      <c r="V529" s="10">
        <v>9.4E-2</v>
      </c>
      <c r="W529" s="10">
        <f t="shared" si="95"/>
        <v>9.4E-2</v>
      </c>
      <c r="X529" s="12">
        <v>10</v>
      </c>
      <c r="Y529" s="8">
        <f t="shared" si="88"/>
        <v>4968.5039999999999</v>
      </c>
      <c r="Z529" s="8">
        <f t="shared" si="89"/>
        <v>3315.7</v>
      </c>
      <c r="AA529" s="8">
        <f t="shared" si="96"/>
        <v>1652.8040000000001</v>
      </c>
      <c r="AB529" s="10">
        <f t="shared" si="97"/>
        <v>0.33265626836568918</v>
      </c>
      <c r="AC529" s="14">
        <f>_xlfn.MINIFS($C$2:$C$633, $J$2:$J$633, J529)</f>
        <v>44955</v>
      </c>
      <c r="AD529">
        <f>DATEDIF(AC529, C529, "m")</f>
        <v>25</v>
      </c>
      <c r="AE529" s="8">
        <f t="shared" si="98"/>
        <v>496.85039999999998</v>
      </c>
    </row>
    <row r="530" spans="1:31" x14ac:dyDescent="0.3">
      <c r="A530" s="4" t="s">
        <v>98</v>
      </c>
      <c r="B530" s="6">
        <v>45770</v>
      </c>
      <c r="C530" s="14">
        <v>45770</v>
      </c>
      <c r="D530" s="14" t="str">
        <f t="shared" si="90"/>
        <v>Q2 -2025</v>
      </c>
      <c r="E530" s="6">
        <v>45769</v>
      </c>
      <c r="F530" s="6">
        <f t="shared" si="91"/>
        <v>45776</v>
      </c>
      <c r="G530" s="12">
        <f t="shared" si="92"/>
        <v>6</v>
      </c>
      <c r="H530" s="12">
        <f t="shared" si="93"/>
        <v>1</v>
      </c>
      <c r="I530" s="4" t="s">
        <v>648</v>
      </c>
      <c r="J530" s="4" t="s">
        <v>660</v>
      </c>
      <c r="K530" s="4" t="s">
        <v>686</v>
      </c>
      <c r="L530" t="str">
        <f t="shared" si="94"/>
        <v>Americas&gt;USA&gt;San Francisco</v>
      </c>
      <c r="M530" s="4" t="s">
        <v>703</v>
      </c>
      <c r="N530" s="4" t="s">
        <v>710</v>
      </c>
      <c r="O530" s="4" t="s">
        <v>726</v>
      </c>
      <c r="P530" s="4" t="s">
        <v>732</v>
      </c>
      <c r="Q530" s="4" t="s">
        <v>817</v>
      </c>
      <c r="R530" s="8">
        <v>23.24</v>
      </c>
      <c r="S530" s="8">
        <v>44.57</v>
      </c>
      <c r="T530" s="8">
        <v>44.57</v>
      </c>
      <c r="U530" s="8" t="str">
        <f>IF(T530&lt;=_xlfn.PERCENTILE.INC($T530:$T$633,0.33), "Low", IF(T530&lt;=_xlfn.PERCENTILE.INC($T530:$T$633,0.66), "Medium", "High"))</f>
        <v>Low</v>
      </c>
      <c r="V530" s="10">
        <v>0.215</v>
      </c>
      <c r="W530" s="10">
        <f t="shared" si="95"/>
        <v>0.215</v>
      </c>
      <c r="X530" s="12">
        <v>15</v>
      </c>
      <c r="Y530" s="8">
        <f t="shared" si="88"/>
        <v>524.81174999999996</v>
      </c>
      <c r="Z530" s="8">
        <f t="shared" si="89"/>
        <v>348.59999999999997</v>
      </c>
      <c r="AA530" s="8">
        <f t="shared" si="96"/>
        <v>176.21174999999999</v>
      </c>
      <c r="AB530" s="10">
        <f t="shared" si="97"/>
        <v>0.33576182316802167</v>
      </c>
      <c r="AC530" s="14">
        <f>_xlfn.MINIFS($C$2:$C$633, $J$2:$J$633, J530)</f>
        <v>44939</v>
      </c>
      <c r="AD530">
        <f>DATEDIF(AC530, C530, "m")</f>
        <v>27</v>
      </c>
      <c r="AE530" s="8">
        <f t="shared" si="98"/>
        <v>34.987449999999995</v>
      </c>
    </row>
    <row r="531" spans="1:31" x14ac:dyDescent="0.3">
      <c r="A531" s="4" t="s">
        <v>478</v>
      </c>
      <c r="B531" s="6">
        <v>45865</v>
      </c>
      <c r="C531" s="14">
        <v>45865</v>
      </c>
      <c r="D531" s="14" t="str">
        <f t="shared" si="90"/>
        <v>Q3 -2025</v>
      </c>
      <c r="E531" s="6">
        <v>45884</v>
      </c>
      <c r="F531" s="6">
        <f t="shared" si="91"/>
        <v>45884</v>
      </c>
      <c r="G531" s="12">
        <f t="shared" si="92"/>
        <v>19</v>
      </c>
      <c r="H531" s="12">
        <f t="shared" si="93"/>
        <v>0</v>
      </c>
      <c r="I531" s="4" t="s">
        <v>647</v>
      </c>
      <c r="J531" s="4" t="s">
        <v>652</v>
      </c>
      <c r="K531" s="4" t="s">
        <v>689</v>
      </c>
      <c r="L531" t="str">
        <f t="shared" si="94"/>
        <v>Asia&gt;Japan&gt;Tokyo</v>
      </c>
      <c r="M531" s="4" t="s">
        <v>705</v>
      </c>
      <c r="N531" s="4" t="s">
        <v>709</v>
      </c>
      <c r="O531" s="4" t="s">
        <v>713</v>
      </c>
      <c r="P531" s="4" t="s">
        <v>727</v>
      </c>
      <c r="Q531" s="4" t="s">
        <v>1197</v>
      </c>
      <c r="R531" s="8">
        <v>275.43</v>
      </c>
      <c r="S531" s="8">
        <v>608.36</v>
      </c>
      <c r="T531" s="8">
        <v>608.36</v>
      </c>
      <c r="U531" s="8" t="str">
        <f>IF(T531&lt;=_xlfn.PERCENTILE.INC($T531:$T$633,0.33), "Low", IF(T531&lt;=_xlfn.PERCENTILE.INC($T531:$T$633,0.66), "Medium", "High"))</f>
        <v>Low</v>
      </c>
      <c r="V531" s="10">
        <v>0.25700000000000001</v>
      </c>
      <c r="W531" s="10">
        <f t="shared" si="95"/>
        <v>0.25700000000000001</v>
      </c>
      <c r="X531" s="12">
        <v>4</v>
      </c>
      <c r="Y531" s="8">
        <f t="shared" si="88"/>
        <v>1808.04592</v>
      </c>
      <c r="Z531" s="8">
        <f t="shared" si="89"/>
        <v>1101.72</v>
      </c>
      <c r="AA531" s="8">
        <f t="shared" si="96"/>
        <v>706.32592</v>
      </c>
      <c r="AB531" s="10">
        <f t="shared" si="97"/>
        <v>0.39065706915231446</v>
      </c>
      <c r="AC531" s="14">
        <f>_xlfn.MINIFS($C$2:$C$633, $J$2:$J$633, J531)</f>
        <v>44988</v>
      </c>
      <c r="AD531">
        <f>DATEDIF(AC531, C531, "m")</f>
        <v>28</v>
      </c>
      <c r="AE531" s="8">
        <f t="shared" si="98"/>
        <v>452.01148000000001</v>
      </c>
    </row>
    <row r="532" spans="1:31" x14ac:dyDescent="0.3">
      <c r="A532" s="4" t="s">
        <v>146</v>
      </c>
      <c r="B532" s="6">
        <v>45719</v>
      </c>
      <c r="C532" s="14">
        <v>45719</v>
      </c>
      <c r="D532" s="14" t="str">
        <f t="shared" si="90"/>
        <v>Q1 -2025</v>
      </c>
      <c r="E532" s="6">
        <v>45740</v>
      </c>
      <c r="F532" s="6">
        <f t="shared" si="91"/>
        <v>45740</v>
      </c>
      <c r="G532" s="12">
        <f t="shared" si="92"/>
        <v>21</v>
      </c>
      <c r="H532" s="12">
        <f t="shared" si="93"/>
        <v>0</v>
      </c>
      <c r="I532" s="4" t="s">
        <v>646</v>
      </c>
      <c r="J532" s="4" t="s">
        <v>651</v>
      </c>
      <c r="K532" s="4" t="s">
        <v>669</v>
      </c>
      <c r="L532" t="str">
        <f t="shared" si="94"/>
        <v>Africa&gt;Nigeria&gt;Abuja</v>
      </c>
      <c r="M532" s="4" t="s">
        <v>706</v>
      </c>
      <c r="N532" s="4" t="s">
        <v>711</v>
      </c>
      <c r="O532" s="4" t="s">
        <v>722</v>
      </c>
      <c r="P532" s="4" t="s">
        <v>733</v>
      </c>
      <c r="Q532" s="4" t="s">
        <v>865</v>
      </c>
      <c r="R532" s="8">
        <v>555.95000000000005</v>
      </c>
      <c r="S532" s="8">
        <v>468.09</v>
      </c>
      <c r="T532" s="8">
        <v>468.09</v>
      </c>
      <c r="U532" s="8" t="str">
        <f>IF(T532&lt;=_xlfn.PERCENTILE.INC($T532:$T$633,0.33), "Low", IF(T532&lt;=_xlfn.PERCENTILE.INC($T532:$T$633,0.66), "Medium", "High"))</f>
        <v>Low</v>
      </c>
      <c r="V532" s="10">
        <v>0.14199999999999999</v>
      </c>
      <c r="W532" s="10">
        <f t="shared" si="95"/>
        <v>0.14199999999999999</v>
      </c>
      <c r="X532" s="12">
        <v>11</v>
      </c>
      <c r="Y532" s="8">
        <f t="shared" si="88"/>
        <v>4417.8334199999999</v>
      </c>
      <c r="Z532" s="8">
        <f t="shared" si="89"/>
        <v>6115.4500000000007</v>
      </c>
      <c r="AA532" s="8">
        <f t="shared" si="96"/>
        <v>-1697.6165800000008</v>
      </c>
      <c r="AB532" s="10">
        <f t="shared" si="97"/>
        <v>-0.38426450674095375</v>
      </c>
      <c r="AC532" s="14">
        <f>_xlfn.MINIFS($C$2:$C$633, $J$2:$J$633, J532)</f>
        <v>44941</v>
      </c>
      <c r="AD532">
        <f>DATEDIF(AC532, C532, "m")</f>
        <v>25</v>
      </c>
      <c r="AE532" s="8">
        <f t="shared" si="98"/>
        <v>401.62121999999999</v>
      </c>
    </row>
    <row r="533" spans="1:31" x14ac:dyDescent="0.3">
      <c r="A533" s="4" t="s">
        <v>255</v>
      </c>
      <c r="B533" s="6">
        <v>45793</v>
      </c>
      <c r="C533" s="14">
        <v>45793</v>
      </c>
      <c r="D533" s="14" t="str">
        <f t="shared" si="90"/>
        <v>Q2 -2025</v>
      </c>
      <c r="E533" s="6">
        <v>45804</v>
      </c>
      <c r="F533" s="6">
        <f t="shared" si="91"/>
        <v>45804</v>
      </c>
      <c r="G533" s="12">
        <f t="shared" si="92"/>
        <v>11</v>
      </c>
      <c r="H533" s="12">
        <f t="shared" si="93"/>
        <v>0</v>
      </c>
      <c r="I533" s="4" t="s">
        <v>647</v>
      </c>
      <c r="J533" s="4" t="s">
        <v>659</v>
      </c>
      <c r="K533" s="4" t="s">
        <v>699</v>
      </c>
      <c r="L533" t="str">
        <f t="shared" si="94"/>
        <v>Asia&gt;China&gt;Beijing</v>
      </c>
      <c r="M533" s="4" t="s">
        <v>706</v>
      </c>
      <c r="N533" s="4" t="s">
        <v>708</v>
      </c>
      <c r="O533" s="4" t="s">
        <v>721</v>
      </c>
      <c r="P533" s="4" t="s">
        <v>730</v>
      </c>
      <c r="Q533" s="4" t="s">
        <v>975</v>
      </c>
      <c r="R533" s="8">
        <v>918.12</v>
      </c>
      <c r="S533" s="8">
        <v>1337.69</v>
      </c>
      <c r="T533" s="8">
        <v>1337.69</v>
      </c>
      <c r="U533" s="8" t="str">
        <f>IF(T533&lt;=_xlfn.PERCENTILE.INC($T533:$T$633,0.33), "Low", IF(T533&lt;=_xlfn.PERCENTILE.INC($T533:$T$633,0.66), "Medium", "High"))</f>
        <v>Medium</v>
      </c>
      <c r="V533" s="10">
        <v>9.5000000000000001E-2</v>
      </c>
      <c r="W533" s="10">
        <f t="shared" si="95"/>
        <v>9.5000000000000001E-2</v>
      </c>
      <c r="X533" s="12">
        <v>8</v>
      </c>
      <c r="Y533" s="8">
        <f t="shared" si="88"/>
        <v>9684.8756000000012</v>
      </c>
      <c r="Z533" s="8">
        <f t="shared" si="89"/>
        <v>7344.96</v>
      </c>
      <c r="AA533" s="8">
        <f t="shared" si="96"/>
        <v>2339.9156000000012</v>
      </c>
      <c r="AB533" s="10">
        <f t="shared" si="97"/>
        <v>0.24160512707050164</v>
      </c>
      <c r="AC533" s="14">
        <f>_xlfn.MINIFS($C$2:$C$633, $J$2:$J$633, J533)</f>
        <v>44938</v>
      </c>
      <c r="AD533">
        <f>DATEDIF(AC533, C533, "m")</f>
        <v>28</v>
      </c>
      <c r="AE533" s="8">
        <f t="shared" si="98"/>
        <v>1210.6094500000002</v>
      </c>
    </row>
    <row r="534" spans="1:31" x14ac:dyDescent="0.3">
      <c r="A534" s="4" t="s">
        <v>422</v>
      </c>
      <c r="B534" s="6">
        <v>45724</v>
      </c>
      <c r="C534" s="14">
        <v>45724</v>
      </c>
      <c r="D534" s="14" t="str">
        <f t="shared" si="90"/>
        <v>Q1 -2025</v>
      </c>
      <c r="E534" s="6">
        <v>45731</v>
      </c>
      <c r="F534" s="6">
        <f t="shared" si="91"/>
        <v>45731</v>
      </c>
      <c r="G534" s="12">
        <f t="shared" si="92"/>
        <v>7</v>
      </c>
      <c r="H534" s="12">
        <f t="shared" si="93"/>
        <v>1</v>
      </c>
      <c r="I534" s="4" t="s">
        <v>647</v>
      </c>
      <c r="J534" s="4" t="s">
        <v>654</v>
      </c>
      <c r="K534" s="4" t="s">
        <v>668</v>
      </c>
      <c r="L534" t="str">
        <f t="shared" si="94"/>
        <v>Asia&gt;India&gt;Bengaluru</v>
      </c>
      <c r="M534" s="4" t="s">
        <v>701</v>
      </c>
      <c r="N534" s="4" t="s">
        <v>710</v>
      </c>
      <c r="O534" s="4" t="s">
        <v>723</v>
      </c>
      <c r="P534" s="4" t="s">
        <v>731</v>
      </c>
      <c r="Q534" s="4" t="s">
        <v>1141</v>
      </c>
      <c r="R534" s="8">
        <v>475.66</v>
      </c>
      <c r="S534" s="8">
        <v>529.14</v>
      </c>
      <c r="T534" s="8">
        <v>529.14</v>
      </c>
      <c r="U534" s="8" t="str">
        <f>IF(T534&lt;=_xlfn.PERCENTILE.INC($T534:$T$633,0.33), "Low", IF(T534&lt;=_xlfn.PERCENTILE.INC($T534:$T$633,0.66), "Medium", "High"))</f>
        <v>Low</v>
      </c>
      <c r="V534" s="10">
        <v>0.19600000000000001</v>
      </c>
      <c r="W534" s="10">
        <f t="shared" si="95"/>
        <v>0.19600000000000001</v>
      </c>
      <c r="X534" s="12">
        <v>11</v>
      </c>
      <c r="Y534" s="8">
        <f t="shared" si="88"/>
        <v>4679.7141600000004</v>
      </c>
      <c r="Z534" s="8">
        <f t="shared" si="89"/>
        <v>5232.26</v>
      </c>
      <c r="AA534" s="8">
        <f t="shared" si="96"/>
        <v>-552.54583999999977</v>
      </c>
      <c r="AB534" s="10">
        <f t="shared" si="97"/>
        <v>-0.11807256193613323</v>
      </c>
      <c r="AC534" s="14">
        <f>_xlfn.MINIFS($C$2:$C$633, $J$2:$J$633, J534)</f>
        <v>44955</v>
      </c>
      <c r="AD534">
        <f>DATEDIF(AC534, C534, "m")</f>
        <v>25</v>
      </c>
      <c r="AE534" s="8">
        <f t="shared" si="98"/>
        <v>425.42856000000006</v>
      </c>
    </row>
    <row r="535" spans="1:31" x14ac:dyDescent="0.3">
      <c r="A535" s="4" t="s">
        <v>26</v>
      </c>
      <c r="B535" s="6">
        <v>45660</v>
      </c>
      <c r="C535" s="14">
        <v>45660</v>
      </c>
      <c r="D535" s="14" t="str">
        <f t="shared" si="90"/>
        <v>Q1 -2025</v>
      </c>
      <c r="E535" s="6">
        <v>45680</v>
      </c>
      <c r="F535" s="6">
        <f t="shared" si="91"/>
        <v>45680</v>
      </c>
      <c r="G535" s="12">
        <f t="shared" si="92"/>
        <v>20</v>
      </c>
      <c r="H535" s="12">
        <f t="shared" si="93"/>
        <v>0</v>
      </c>
      <c r="I535" s="4" t="s">
        <v>647</v>
      </c>
      <c r="J535" s="4" t="s">
        <v>652</v>
      </c>
      <c r="K535" s="4" t="s">
        <v>666</v>
      </c>
      <c r="L535" t="str">
        <f t="shared" si="94"/>
        <v>Asia&gt;Japan&gt;Osaka</v>
      </c>
      <c r="M535" s="4" t="s">
        <v>701</v>
      </c>
      <c r="N535" s="4" t="s">
        <v>710</v>
      </c>
      <c r="O535" s="4" t="s">
        <v>721</v>
      </c>
      <c r="P535" s="4" t="s">
        <v>730</v>
      </c>
      <c r="Q535" s="4" t="s">
        <v>745</v>
      </c>
      <c r="R535" s="8">
        <v>908.6</v>
      </c>
      <c r="S535" s="8">
        <v>691.37</v>
      </c>
      <c r="T535" s="8">
        <v>691.37</v>
      </c>
      <c r="U535" s="8" t="str">
        <f>IF(T535&lt;=_xlfn.PERCENTILE.INC($T535:$T$633,0.33), "Low", IF(T535&lt;=_xlfn.PERCENTILE.INC($T535:$T$633,0.66), "Medium", "High"))</f>
        <v>Low</v>
      </c>
      <c r="V535" s="10">
        <v>0.25</v>
      </c>
      <c r="W535" s="10">
        <f t="shared" si="95"/>
        <v>0.25</v>
      </c>
      <c r="X535" s="12">
        <v>20</v>
      </c>
      <c r="Y535" s="8">
        <f t="shared" si="88"/>
        <v>10370.549999999999</v>
      </c>
      <c r="Z535" s="8">
        <f t="shared" si="89"/>
        <v>18172</v>
      </c>
      <c r="AA535" s="8">
        <f t="shared" si="96"/>
        <v>-7801.4500000000007</v>
      </c>
      <c r="AB535" s="10">
        <f t="shared" si="97"/>
        <v>-0.75226964818645115</v>
      </c>
      <c r="AC535" s="14">
        <f>_xlfn.MINIFS($C$2:$C$633, $J$2:$J$633, J535)</f>
        <v>44988</v>
      </c>
      <c r="AD535">
        <f>DATEDIF(AC535, C535, "m")</f>
        <v>22</v>
      </c>
      <c r="AE535" s="8">
        <f t="shared" si="98"/>
        <v>518.52749999999992</v>
      </c>
    </row>
    <row r="536" spans="1:31" x14ac:dyDescent="0.3">
      <c r="A536" s="4" t="s">
        <v>77</v>
      </c>
      <c r="B536" s="6">
        <v>45774</v>
      </c>
      <c r="C536" s="14">
        <v>45774</v>
      </c>
      <c r="D536" s="14" t="str">
        <f t="shared" si="90"/>
        <v>Q2 -2025</v>
      </c>
      <c r="E536" s="6">
        <v>45802</v>
      </c>
      <c r="F536" s="6">
        <f t="shared" si="91"/>
        <v>45802</v>
      </c>
      <c r="G536" s="12">
        <f t="shared" si="92"/>
        <v>28</v>
      </c>
      <c r="H536" s="12">
        <f t="shared" si="93"/>
        <v>0</v>
      </c>
      <c r="I536" s="4" t="s">
        <v>649</v>
      </c>
      <c r="J536" s="4" t="s">
        <v>657</v>
      </c>
      <c r="K536" s="4" t="s">
        <v>690</v>
      </c>
      <c r="L536" t="str">
        <f t="shared" si="94"/>
        <v>Europe&gt;France&gt;Paris</v>
      </c>
      <c r="M536" s="4" t="s">
        <v>705</v>
      </c>
      <c r="N536" s="4" t="s">
        <v>709</v>
      </c>
      <c r="O536" s="4" t="s">
        <v>714</v>
      </c>
      <c r="P536" s="4" t="s">
        <v>730</v>
      </c>
      <c r="Q536" s="4" t="s">
        <v>796</v>
      </c>
      <c r="R536" s="8">
        <v>603.45000000000005</v>
      </c>
      <c r="S536" s="8">
        <v>1244.08</v>
      </c>
      <c r="T536" s="8">
        <v>1244.08</v>
      </c>
      <c r="U536" s="8" t="str">
        <f>IF(T536&lt;=_xlfn.PERCENTILE.INC($T536:$T$633,0.33), "Low", IF(T536&lt;=_xlfn.PERCENTILE.INC($T536:$T$633,0.66), "Medium", "High"))</f>
        <v>Medium</v>
      </c>
      <c r="V536" s="10">
        <v>0.2</v>
      </c>
      <c r="W536" s="10">
        <f t="shared" si="95"/>
        <v>0.2</v>
      </c>
      <c r="X536" s="12">
        <v>11</v>
      </c>
      <c r="Y536" s="8">
        <f t="shared" si="88"/>
        <v>10947.904</v>
      </c>
      <c r="Z536" s="8">
        <f t="shared" si="89"/>
        <v>6637.9500000000007</v>
      </c>
      <c r="AA536" s="8">
        <f t="shared" si="96"/>
        <v>4309.9539999999997</v>
      </c>
      <c r="AB536" s="10">
        <f t="shared" si="97"/>
        <v>0.39367846119220623</v>
      </c>
      <c r="AC536" s="14">
        <f>_xlfn.MINIFS($C$2:$C$633, $J$2:$J$633, J536)</f>
        <v>44936</v>
      </c>
      <c r="AD536">
        <f>DATEDIF(AC536, C536, "m")</f>
        <v>27</v>
      </c>
      <c r="AE536" s="8">
        <f t="shared" si="98"/>
        <v>995.26400000000001</v>
      </c>
    </row>
    <row r="537" spans="1:31" x14ac:dyDescent="0.3">
      <c r="A537" s="4" t="s">
        <v>106</v>
      </c>
      <c r="B537" s="6">
        <v>45817</v>
      </c>
      <c r="C537" s="14">
        <v>45817</v>
      </c>
      <c r="D537" s="14" t="str">
        <f t="shared" si="90"/>
        <v>Q2 -2025</v>
      </c>
      <c r="E537" s="6">
        <v>45833</v>
      </c>
      <c r="F537" s="6">
        <f t="shared" si="91"/>
        <v>45833</v>
      </c>
      <c r="G537" s="12">
        <f t="shared" si="92"/>
        <v>16</v>
      </c>
      <c r="H537" s="12">
        <f t="shared" si="93"/>
        <v>0</v>
      </c>
      <c r="I537" s="4" t="s">
        <v>647</v>
      </c>
      <c r="J537" s="4" t="s">
        <v>654</v>
      </c>
      <c r="K537" s="4" t="s">
        <v>696</v>
      </c>
      <c r="L537" t="str">
        <f t="shared" si="94"/>
        <v>Asia&gt;India&gt;Hyderabad</v>
      </c>
      <c r="M537" s="4" t="s">
        <v>706</v>
      </c>
      <c r="N537" s="4" t="s">
        <v>710</v>
      </c>
      <c r="O537" s="4" t="s">
        <v>724</v>
      </c>
      <c r="P537" s="4" t="s">
        <v>730</v>
      </c>
      <c r="Q537" s="4" t="s">
        <v>825</v>
      </c>
      <c r="R537" s="8">
        <v>527.33000000000004</v>
      </c>
      <c r="S537" s="8">
        <v>911.72</v>
      </c>
      <c r="T537" s="8">
        <v>911.72</v>
      </c>
      <c r="U537" s="8" t="str">
        <f>IF(T537&lt;=_xlfn.PERCENTILE.INC($T537:$T$633,0.33), "Low", IF(T537&lt;=_xlfn.PERCENTILE.INC($T537:$T$633,0.66), "Medium", "High"))</f>
        <v>Medium</v>
      </c>
      <c r="V537" s="10">
        <v>0.14399999999999999</v>
      </c>
      <c r="W537" s="10">
        <f t="shared" si="95"/>
        <v>0.14399999999999999</v>
      </c>
      <c r="X537" s="12">
        <v>25</v>
      </c>
      <c r="Y537" s="8">
        <f t="shared" si="88"/>
        <v>19510.808000000001</v>
      </c>
      <c r="Z537" s="8">
        <f t="shared" si="89"/>
        <v>13183.250000000002</v>
      </c>
      <c r="AA537" s="8">
        <f t="shared" si="96"/>
        <v>6327.5579999999991</v>
      </c>
      <c r="AB537" s="10">
        <f t="shared" si="97"/>
        <v>0.32431040272652978</v>
      </c>
      <c r="AC537" s="14">
        <f>_xlfn.MINIFS($C$2:$C$633, $J$2:$J$633, J537)</f>
        <v>44955</v>
      </c>
      <c r="AD537">
        <f>DATEDIF(AC537, C537, "m")</f>
        <v>28</v>
      </c>
      <c r="AE537" s="8">
        <f t="shared" si="98"/>
        <v>780.43232</v>
      </c>
    </row>
    <row r="538" spans="1:31" x14ac:dyDescent="0.3">
      <c r="A538" s="4" t="s">
        <v>629</v>
      </c>
      <c r="B538" s="6">
        <v>45727</v>
      </c>
      <c r="C538" s="14">
        <v>45727</v>
      </c>
      <c r="D538" s="14" t="str">
        <f t="shared" si="90"/>
        <v>Q1 -2025</v>
      </c>
      <c r="E538" s="6">
        <v>45743</v>
      </c>
      <c r="F538" s="6">
        <f t="shared" si="91"/>
        <v>45743</v>
      </c>
      <c r="G538" s="12">
        <f t="shared" si="92"/>
        <v>16</v>
      </c>
      <c r="H538" s="12">
        <f t="shared" si="93"/>
        <v>0</v>
      </c>
      <c r="I538" s="4" t="s">
        <v>647</v>
      </c>
      <c r="J538" s="4" t="s">
        <v>652</v>
      </c>
      <c r="K538" s="4" t="s">
        <v>689</v>
      </c>
      <c r="L538" t="str">
        <f t="shared" si="94"/>
        <v>Asia&gt;Japan&gt;Tokyo</v>
      </c>
      <c r="M538" s="4" t="s">
        <v>706</v>
      </c>
      <c r="N538" s="4" t="s">
        <v>710</v>
      </c>
      <c r="O538" s="4" t="s">
        <v>717</v>
      </c>
      <c r="P538" s="4" t="s">
        <v>728</v>
      </c>
      <c r="Q538" s="4" t="s">
        <v>1347</v>
      </c>
      <c r="R538" s="8">
        <v>1317.58</v>
      </c>
      <c r="S538" s="8">
        <v>1897.74</v>
      </c>
      <c r="T538" s="8">
        <v>1897.74</v>
      </c>
      <c r="U538" s="8" t="str">
        <f>IF(T538&lt;=_xlfn.PERCENTILE.INC($T538:$T$633,0.33), "Low", IF(T538&lt;=_xlfn.PERCENTILE.INC($T538:$T$633,0.66), "Medium", "High"))</f>
        <v>High</v>
      </c>
      <c r="V538" s="10">
        <v>8.1000000000000003E-2</v>
      </c>
      <c r="W538" s="10">
        <f t="shared" si="95"/>
        <v>8.1000000000000003E-2</v>
      </c>
      <c r="X538" s="12">
        <v>6</v>
      </c>
      <c r="Y538" s="8">
        <f t="shared" si="88"/>
        <v>10464.138360000001</v>
      </c>
      <c r="Z538" s="8">
        <f t="shared" si="89"/>
        <v>7905.48</v>
      </c>
      <c r="AA538" s="8">
        <f t="shared" si="96"/>
        <v>2558.6583600000013</v>
      </c>
      <c r="AB538" s="10">
        <f t="shared" si="97"/>
        <v>0.24451687009230266</v>
      </c>
      <c r="AC538" s="14">
        <f>_xlfn.MINIFS($C$2:$C$633, $J$2:$J$633, J538)</f>
        <v>44988</v>
      </c>
      <c r="AD538">
        <f>DATEDIF(AC538, C538, "m")</f>
        <v>24</v>
      </c>
      <c r="AE538" s="8">
        <f t="shared" si="98"/>
        <v>1744.0230600000002</v>
      </c>
    </row>
    <row r="539" spans="1:31" x14ac:dyDescent="0.3">
      <c r="A539" s="4" t="s">
        <v>142</v>
      </c>
      <c r="B539" s="6">
        <v>45874</v>
      </c>
      <c r="C539" s="14">
        <v>45874</v>
      </c>
      <c r="D539" s="14" t="str">
        <f t="shared" si="90"/>
        <v>Q3 -2025</v>
      </c>
      <c r="E539" s="6">
        <v>45883</v>
      </c>
      <c r="F539" s="6">
        <f t="shared" si="91"/>
        <v>45883</v>
      </c>
      <c r="G539" s="12">
        <f t="shared" si="92"/>
        <v>9</v>
      </c>
      <c r="H539" s="12">
        <f t="shared" si="93"/>
        <v>0</v>
      </c>
      <c r="I539" s="4" t="s">
        <v>649</v>
      </c>
      <c r="J539" s="4" t="s">
        <v>658</v>
      </c>
      <c r="K539" s="4" t="s">
        <v>683</v>
      </c>
      <c r="L539" t="str">
        <f t="shared" si="94"/>
        <v>Europe&gt;United Kingdom&gt;London</v>
      </c>
      <c r="M539" s="4" t="s">
        <v>703</v>
      </c>
      <c r="N539" s="4" t="s">
        <v>711</v>
      </c>
      <c r="O539" s="4" t="s">
        <v>718</v>
      </c>
      <c r="P539" s="4" t="s">
        <v>727</v>
      </c>
      <c r="Q539" s="4" t="s">
        <v>861</v>
      </c>
      <c r="R539" s="8">
        <v>41.76</v>
      </c>
      <c r="S539" s="8">
        <v>45.19</v>
      </c>
      <c r="T539" s="8">
        <v>45.19</v>
      </c>
      <c r="U539" s="8" t="str">
        <f>IF(T539&lt;=_xlfn.PERCENTILE.INC($T539:$T$633,0.33), "Low", IF(T539&lt;=_xlfn.PERCENTILE.INC($T539:$T$633,0.66), "Medium", "High"))</f>
        <v>Low</v>
      </c>
      <c r="V539" s="10">
        <v>0.17899999999999999</v>
      </c>
      <c r="W539" s="10">
        <f t="shared" si="95"/>
        <v>0.17899999999999999</v>
      </c>
      <c r="X539" s="12">
        <v>23</v>
      </c>
      <c r="Y539" s="8">
        <f t="shared" si="88"/>
        <v>853.32276999999988</v>
      </c>
      <c r="Z539" s="8">
        <f t="shared" si="89"/>
        <v>960.4799999999999</v>
      </c>
      <c r="AA539" s="8">
        <f t="shared" si="96"/>
        <v>-107.15723000000003</v>
      </c>
      <c r="AB539" s="10">
        <f t="shared" si="97"/>
        <v>-0.12557643340514638</v>
      </c>
      <c r="AC539" s="14">
        <f>_xlfn.MINIFS($C$2:$C$633, $J$2:$J$633, J539)</f>
        <v>44945</v>
      </c>
      <c r="AD539">
        <f>DATEDIF(AC539, C539, "m")</f>
        <v>30</v>
      </c>
      <c r="AE539" s="8">
        <f t="shared" si="98"/>
        <v>37.100989999999996</v>
      </c>
    </row>
    <row r="540" spans="1:31" x14ac:dyDescent="0.3">
      <c r="A540" s="4" t="s">
        <v>300</v>
      </c>
      <c r="B540" s="6">
        <v>45751</v>
      </c>
      <c r="C540" s="14">
        <v>45751</v>
      </c>
      <c r="D540" s="14" t="str">
        <f t="shared" si="90"/>
        <v>Q2 -2025</v>
      </c>
      <c r="E540" s="6">
        <v>45760</v>
      </c>
      <c r="F540" s="6">
        <f t="shared" si="91"/>
        <v>45760</v>
      </c>
      <c r="G540" s="12">
        <f t="shared" si="92"/>
        <v>9</v>
      </c>
      <c r="H540" s="12">
        <f t="shared" si="93"/>
        <v>0</v>
      </c>
      <c r="I540" s="4" t="s">
        <v>649</v>
      </c>
      <c r="J540" s="4" t="s">
        <v>656</v>
      </c>
      <c r="K540" s="4" t="s">
        <v>684</v>
      </c>
      <c r="L540" t="str">
        <f t="shared" si="94"/>
        <v>Europe&gt;Germany&gt;Munich</v>
      </c>
      <c r="M540" s="4" t="s">
        <v>704</v>
      </c>
      <c r="N540" s="4" t="s">
        <v>709</v>
      </c>
      <c r="O540" s="4" t="s">
        <v>721</v>
      </c>
      <c r="P540" s="4" t="s">
        <v>730</v>
      </c>
      <c r="Q540" s="4" t="s">
        <v>1020</v>
      </c>
      <c r="R540" s="8">
        <v>7.02</v>
      </c>
      <c r="S540" s="8">
        <v>6.28</v>
      </c>
      <c r="T540" s="8">
        <v>6.28</v>
      </c>
      <c r="U540" s="8" t="str">
        <f>IF(T540&lt;=_xlfn.PERCENTILE.INC($T540:$T$633,0.33), "Low", IF(T540&lt;=_xlfn.PERCENTILE.INC($T540:$T$633,0.66), "Medium", "High"))</f>
        <v>Low</v>
      </c>
      <c r="V540" s="10">
        <v>0.13400000000000001</v>
      </c>
      <c r="W540" s="10">
        <f t="shared" si="95"/>
        <v>0.13400000000000001</v>
      </c>
      <c r="X540" s="12">
        <v>14</v>
      </c>
      <c r="Y540" s="8">
        <f t="shared" si="88"/>
        <v>76.138720000000006</v>
      </c>
      <c r="Z540" s="8">
        <f t="shared" si="89"/>
        <v>98.28</v>
      </c>
      <c r="AA540" s="8">
        <f t="shared" si="96"/>
        <v>-22.141279999999995</v>
      </c>
      <c r="AB540" s="10">
        <f t="shared" si="97"/>
        <v>-0.29080184169106066</v>
      </c>
      <c r="AC540" s="14">
        <f>_xlfn.MINIFS($C$2:$C$633, $J$2:$J$633, J540)</f>
        <v>44948</v>
      </c>
      <c r="AD540">
        <f>DATEDIF(AC540, C540, "m")</f>
        <v>26</v>
      </c>
      <c r="AE540" s="8">
        <f t="shared" si="98"/>
        <v>5.4384800000000002</v>
      </c>
    </row>
    <row r="541" spans="1:31" x14ac:dyDescent="0.3">
      <c r="A541" s="4" t="s">
        <v>113</v>
      </c>
      <c r="B541" s="6">
        <v>45860</v>
      </c>
      <c r="C541" s="14">
        <v>45860</v>
      </c>
      <c r="D541" s="14" t="str">
        <f t="shared" si="90"/>
        <v>Q3 -2025</v>
      </c>
      <c r="E541" s="6">
        <v>45887</v>
      </c>
      <c r="F541" s="6">
        <f t="shared" si="91"/>
        <v>45887</v>
      </c>
      <c r="G541" s="12">
        <f t="shared" si="92"/>
        <v>27</v>
      </c>
      <c r="H541" s="12">
        <f t="shared" si="93"/>
        <v>0</v>
      </c>
      <c r="I541" s="4" t="s">
        <v>647</v>
      </c>
      <c r="J541" s="4" t="s">
        <v>659</v>
      </c>
      <c r="K541" s="4" t="s">
        <v>676</v>
      </c>
      <c r="L541" t="str">
        <f t="shared" si="94"/>
        <v>Asia&gt;China&gt;Shenzhen</v>
      </c>
      <c r="M541" s="4" t="s">
        <v>703</v>
      </c>
      <c r="N541" s="4" t="s">
        <v>709</v>
      </c>
      <c r="O541" s="4" t="s">
        <v>724</v>
      </c>
      <c r="P541" s="4" t="s">
        <v>729</v>
      </c>
      <c r="Q541" s="4" t="s">
        <v>832</v>
      </c>
      <c r="R541" s="8">
        <v>547.32000000000005</v>
      </c>
      <c r="S541" s="8">
        <v>419.17</v>
      </c>
      <c r="T541" s="8">
        <v>419.17</v>
      </c>
      <c r="U541" s="8" t="str">
        <f>IF(T541&lt;=_xlfn.PERCENTILE.INC($T541:$T$633,0.33), "Low", IF(T541&lt;=_xlfn.PERCENTILE.INC($T541:$T$633,0.66), "Medium", "High"))</f>
        <v>Low</v>
      </c>
      <c r="V541" s="10">
        <v>9.1999999999999998E-2</v>
      </c>
      <c r="W541" s="10">
        <f t="shared" si="95"/>
        <v>9.1999999999999998E-2</v>
      </c>
      <c r="X541" s="12">
        <v>14</v>
      </c>
      <c r="Y541" s="8">
        <f t="shared" si="88"/>
        <v>5328.4890400000004</v>
      </c>
      <c r="Z541" s="8">
        <f t="shared" si="89"/>
        <v>7662.4800000000005</v>
      </c>
      <c r="AA541" s="8">
        <f t="shared" si="96"/>
        <v>-2333.9909600000001</v>
      </c>
      <c r="AB541" s="10">
        <f t="shared" si="97"/>
        <v>-0.43802116181137907</v>
      </c>
      <c r="AC541" s="14">
        <f>_xlfn.MINIFS($C$2:$C$633, $J$2:$J$633, J541)</f>
        <v>44938</v>
      </c>
      <c r="AD541">
        <f>DATEDIF(AC541, C541, "m")</f>
        <v>30</v>
      </c>
      <c r="AE541" s="8">
        <f t="shared" si="98"/>
        <v>380.60636000000005</v>
      </c>
    </row>
    <row r="542" spans="1:31" x14ac:dyDescent="0.3">
      <c r="A542" s="4" t="s">
        <v>201</v>
      </c>
      <c r="B542" s="6">
        <v>45670</v>
      </c>
      <c r="C542" s="14">
        <v>45670</v>
      </c>
      <c r="D542" s="14" t="str">
        <f t="shared" si="90"/>
        <v>Q1 -2025</v>
      </c>
      <c r="E542" s="6">
        <v>45696</v>
      </c>
      <c r="F542" s="6">
        <f t="shared" si="91"/>
        <v>45696</v>
      </c>
      <c r="G542" s="12">
        <f t="shared" si="92"/>
        <v>26</v>
      </c>
      <c r="H542" s="12">
        <f t="shared" si="93"/>
        <v>0</v>
      </c>
      <c r="I542" s="4" t="s">
        <v>649</v>
      </c>
      <c r="J542" s="4" t="s">
        <v>657</v>
      </c>
      <c r="K542" s="4" t="s">
        <v>690</v>
      </c>
      <c r="L542" t="str">
        <f t="shared" si="94"/>
        <v>Europe&gt;France&gt;Paris</v>
      </c>
      <c r="M542" s="4" t="s">
        <v>703</v>
      </c>
      <c r="N542" s="4" t="s">
        <v>1423</v>
      </c>
      <c r="O542" s="4" t="s">
        <v>718</v>
      </c>
      <c r="P542" s="4" t="s">
        <v>732</v>
      </c>
      <c r="Q542" s="4" t="s">
        <v>920</v>
      </c>
      <c r="R542" s="8">
        <v>594.74</v>
      </c>
      <c r="S542" s="8">
        <v>1020.69</v>
      </c>
      <c r="T542" s="8">
        <v>1020.69</v>
      </c>
      <c r="U542" s="8" t="str">
        <f>IF(T542&lt;=_xlfn.PERCENTILE.INC($T542:$T$633,0.33), "Low", IF(T542&lt;=_xlfn.PERCENTILE.INC($T542:$T$633,0.66), "Medium", "High"))</f>
        <v>Medium</v>
      </c>
      <c r="V542" s="10">
        <v>0.21099999999999999</v>
      </c>
      <c r="W542" s="10">
        <f t="shared" si="95"/>
        <v>0.21099999999999999</v>
      </c>
      <c r="X542" s="12">
        <v>6</v>
      </c>
      <c r="Y542" s="8">
        <f t="shared" si="88"/>
        <v>4831.9464600000001</v>
      </c>
      <c r="Z542" s="8">
        <f t="shared" si="89"/>
        <v>3568.44</v>
      </c>
      <c r="AA542" s="8">
        <f t="shared" si="96"/>
        <v>1263.5064600000001</v>
      </c>
      <c r="AB542" s="10">
        <f t="shared" si="97"/>
        <v>0.26149016146176424</v>
      </c>
      <c r="AC542" s="14">
        <f>_xlfn.MINIFS($C$2:$C$633, $J$2:$J$633, J542)</f>
        <v>44936</v>
      </c>
      <c r="AD542">
        <f>DATEDIF(AC542, C542, "m")</f>
        <v>24</v>
      </c>
      <c r="AE542" s="8">
        <f t="shared" si="98"/>
        <v>805.32441000000006</v>
      </c>
    </row>
    <row r="543" spans="1:31" x14ac:dyDescent="0.3">
      <c r="A543" s="4" t="s">
        <v>44</v>
      </c>
      <c r="B543" s="6">
        <v>45754</v>
      </c>
      <c r="C543" s="14">
        <v>45754</v>
      </c>
      <c r="D543" s="14" t="str">
        <f t="shared" si="90"/>
        <v>Q2 -2025</v>
      </c>
      <c r="E543" s="6">
        <v>45758</v>
      </c>
      <c r="F543" s="6">
        <f t="shared" si="91"/>
        <v>45758</v>
      </c>
      <c r="G543" s="12">
        <f t="shared" si="92"/>
        <v>4</v>
      </c>
      <c r="H543" s="12">
        <f t="shared" si="93"/>
        <v>1</v>
      </c>
      <c r="I543" s="4" t="s">
        <v>649</v>
      </c>
      <c r="J543" s="4" t="s">
        <v>657</v>
      </c>
      <c r="K543" s="4" t="s">
        <v>679</v>
      </c>
      <c r="L543" t="str">
        <f t="shared" si="94"/>
        <v>Europe&gt;France&gt;Lyon</v>
      </c>
      <c r="M543" s="4" t="s">
        <v>702</v>
      </c>
      <c r="N543" s="4" t="s">
        <v>707</v>
      </c>
      <c r="O543" s="4" t="s">
        <v>718</v>
      </c>
      <c r="P543" s="4" t="s">
        <v>729</v>
      </c>
      <c r="Q543" s="4" t="s">
        <v>763</v>
      </c>
      <c r="R543" s="8">
        <v>754.77</v>
      </c>
      <c r="S543" s="8">
        <v>1666.18</v>
      </c>
      <c r="T543" s="8">
        <v>1666.18</v>
      </c>
      <c r="U543" s="8" t="str">
        <f>IF(T543&lt;=_xlfn.PERCENTILE.INC($T543:$T$633,0.33), "Low", IF(T543&lt;=_xlfn.PERCENTILE.INC($T543:$T$633,0.66), "Medium", "High"))</f>
        <v>Medium</v>
      </c>
      <c r="V543" s="10">
        <v>0.13900000000000001</v>
      </c>
      <c r="W543" s="10">
        <f t="shared" si="95"/>
        <v>0.13900000000000001</v>
      </c>
      <c r="X543" s="12">
        <v>14</v>
      </c>
      <c r="Y543" s="8">
        <f t="shared" si="88"/>
        <v>20084.133720000002</v>
      </c>
      <c r="Z543" s="8">
        <f t="shared" si="89"/>
        <v>10566.779999999999</v>
      </c>
      <c r="AA543" s="8">
        <f t="shared" si="96"/>
        <v>9517.3537200000028</v>
      </c>
      <c r="AB543" s="10">
        <f t="shared" si="97"/>
        <v>0.47387424584424653</v>
      </c>
      <c r="AC543" s="14">
        <f>_xlfn.MINIFS($C$2:$C$633, $J$2:$J$633, J543)</f>
        <v>44936</v>
      </c>
      <c r="AD543">
        <f>DATEDIF(AC543, C543, "m")</f>
        <v>26</v>
      </c>
      <c r="AE543" s="8">
        <f t="shared" si="98"/>
        <v>1434.5809800000002</v>
      </c>
    </row>
    <row r="544" spans="1:31" x14ac:dyDescent="0.3">
      <c r="A544" s="4" t="s">
        <v>227</v>
      </c>
      <c r="B544" s="6">
        <v>45686</v>
      </c>
      <c r="C544" s="14">
        <v>45686</v>
      </c>
      <c r="D544" s="14" t="str">
        <f t="shared" si="90"/>
        <v>Q1 -2025</v>
      </c>
      <c r="E544" s="6">
        <v>45694</v>
      </c>
      <c r="F544" s="6">
        <f t="shared" si="91"/>
        <v>45694</v>
      </c>
      <c r="G544" s="12">
        <f t="shared" si="92"/>
        <v>8</v>
      </c>
      <c r="H544" s="12">
        <f t="shared" si="93"/>
        <v>0</v>
      </c>
      <c r="I544" s="4" t="s">
        <v>646</v>
      </c>
      <c r="J544" s="4" t="s">
        <v>650</v>
      </c>
      <c r="K544" s="4" t="s">
        <v>662</v>
      </c>
      <c r="L544" t="str">
        <f t="shared" si="94"/>
        <v>Africa&gt;Kenya&gt;Kisumu</v>
      </c>
      <c r="M544" s="4" t="s">
        <v>702</v>
      </c>
      <c r="N544" s="4" t="s">
        <v>707</v>
      </c>
      <c r="O544" s="4" t="s">
        <v>717</v>
      </c>
      <c r="P544" s="4" t="s">
        <v>730</v>
      </c>
      <c r="Q544" s="4" t="s">
        <v>947</v>
      </c>
      <c r="R544" s="8">
        <v>1445.27</v>
      </c>
      <c r="S544" s="8">
        <v>2691.45</v>
      </c>
      <c r="T544" s="8">
        <v>2691.45</v>
      </c>
      <c r="U544" s="8" t="str">
        <f>IF(T544&lt;=_xlfn.PERCENTILE.INC($T544:$T$633,0.33), "Low", IF(T544&lt;=_xlfn.PERCENTILE.INC($T544:$T$633,0.66), "Medium", "High"))</f>
        <v>High</v>
      </c>
      <c r="V544" s="10">
        <v>0</v>
      </c>
      <c r="W544" s="10">
        <f t="shared" si="95"/>
        <v>0</v>
      </c>
      <c r="X544" s="12">
        <v>9</v>
      </c>
      <c r="Y544" s="8">
        <f t="shared" si="88"/>
        <v>24223.05</v>
      </c>
      <c r="Z544" s="8">
        <f t="shared" si="89"/>
        <v>13007.43</v>
      </c>
      <c r="AA544" s="8">
        <f t="shared" si="96"/>
        <v>11215.619999999999</v>
      </c>
      <c r="AB544" s="10">
        <f t="shared" si="97"/>
        <v>0.46301436028906351</v>
      </c>
      <c r="AC544" s="14">
        <f>_xlfn.MINIFS($C$2:$C$633, $J$2:$J$633, J544)</f>
        <v>44946</v>
      </c>
      <c r="AD544">
        <f>DATEDIF(AC544, C544, "m")</f>
        <v>24</v>
      </c>
      <c r="AE544" s="8">
        <f t="shared" si="98"/>
        <v>2691.45</v>
      </c>
    </row>
    <row r="545" spans="1:31" x14ac:dyDescent="0.3">
      <c r="A545" s="4" t="s">
        <v>68</v>
      </c>
      <c r="B545" s="6">
        <v>45678</v>
      </c>
      <c r="C545" s="14">
        <v>45678</v>
      </c>
      <c r="D545" s="14" t="str">
        <f t="shared" si="90"/>
        <v>Q1 -2025</v>
      </c>
      <c r="E545" s="6">
        <v>45704</v>
      </c>
      <c r="F545" s="6">
        <f t="shared" si="91"/>
        <v>45704</v>
      </c>
      <c r="G545" s="12">
        <f t="shared" si="92"/>
        <v>26</v>
      </c>
      <c r="H545" s="12">
        <f t="shared" si="93"/>
        <v>0</v>
      </c>
      <c r="I545" s="4" t="s">
        <v>649</v>
      </c>
      <c r="J545" s="4" t="s">
        <v>657</v>
      </c>
      <c r="K545" s="4" t="s">
        <v>679</v>
      </c>
      <c r="L545" t="str">
        <f t="shared" si="94"/>
        <v>Europe&gt;France&gt;Lyon</v>
      </c>
      <c r="M545" s="4" t="s">
        <v>701</v>
      </c>
      <c r="N545" s="4" t="s">
        <v>710</v>
      </c>
      <c r="O545" s="4" t="s">
        <v>719</v>
      </c>
      <c r="P545" s="4" t="s">
        <v>731</v>
      </c>
      <c r="Q545" s="4" t="s">
        <v>787</v>
      </c>
      <c r="R545" s="8">
        <v>204.11</v>
      </c>
      <c r="S545" s="8">
        <v>236.87</v>
      </c>
      <c r="T545" s="8">
        <v>236.87</v>
      </c>
      <c r="U545" s="8" t="str">
        <f>IF(T545&lt;=_xlfn.PERCENTILE.INC($T545:$T$633,0.33), "Low", IF(T545&lt;=_xlfn.PERCENTILE.INC($T545:$T$633,0.66), "Medium", "High"))</f>
        <v>Low</v>
      </c>
      <c r="V545" s="10">
        <v>0.182</v>
      </c>
      <c r="W545" s="10">
        <f t="shared" si="95"/>
        <v>0.182</v>
      </c>
      <c r="X545" s="12">
        <v>13</v>
      </c>
      <c r="Y545" s="8">
        <f t="shared" si="88"/>
        <v>2518.8755800000004</v>
      </c>
      <c r="Z545" s="8">
        <f t="shared" si="89"/>
        <v>2653.4300000000003</v>
      </c>
      <c r="AA545" s="8">
        <f t="shared" si="96"/>
        <v>-134.55441999999994</v>
      </c>
      <c r="AB545" s="10">
        <f t="shared" si="97"/>
        <v>-5.3418446337075494E-2</v>
      </c>
      <c r="AC545" s="14">
        <f>_xlfn.MINIFS($C$2:$C$633, $J$2:$J$633, J545)</f>
        <v>44936</v>
      </c>
      <c r="AD545">
        <f>DATEDIF(AC545, C545, "m")</f>
        <v>24</v>
      </c>
      <c r="AE545" s="8">
        <f t="shared" si="98"/>
        <v>193.75966000000003</v>
      </c>
    </row>
    <row r="546" spans="1:31" x14ac:dyDescent="0.3">
      <c r="A546" s="4" t="s">
        <v>37</v>
      </c>
      <c r="B546" s="6">
        <v>45822</v>
      </c>
      <c r="C546" s="14">
        <v>45822</v>
      </c>
      <c r="D546" s="14" t="str">
        <f t="shared" si="90"/>
        <v>Q2 -2025</v>
      </c>
      <c r="E546" s="6">
        <v>45837</v>
      </c>
      <c r="F546" s="6">
        <f t="shared" si="91"/>
        <v>45837</v>
      </c>
      <c r="G546" s="12">
        <f t="shared" si="92"/>
        <v>15</v>
      </c>
      <c r="H546" s="12">
        <f t="shared" si="93"/>
        <v>0</v>
      </c>
      <c r="I546" s="4" t="s">
        <v>646</v>
      </c>
      <c r="J546" s="4" t="s">
        <v>651</v>
      </c>
      <c r="K546" s="4" t="s">
        <v>663</v>
      </c>
      <c r="L546" t="str">
        <f t="shared" si="94"/>
        <v>Africa&gt;Nigeria&gt;Port Harcourt</v>
      </c>
      <c r="M546" s="4" t="s">
        <v>704</v>
      </c>
      <c r="N546" s="4" t="s">
        <v>709</v>
      </c>
      <c r="O546" s="4" t="s">
        <v>724</v>
      </c>
      <c r="P546" s="4" t="s">
        <v>733</v>
      </c>
      <c r="Q546" s="4" t="s">
        <v>756</v>
      </c>
      <c r="R546" s="8">
        <v>730.99</v>
      </c>
      <c r="S546" s="8">
        <v>1242.8399999999999</v>
      </c>
      <c r="T546" s="8">
        <v>1242.8399999999999</v>
      </c>
      <c r="U546" s="8" t="str">
        <f>IF(T546&lt;=_xlfn.PERCENTILE.INC($T546:$T$633,0.33), "Low", IF(T546&lt;=_xlfn.PERCENTILE.INC($T546:$T$633,0.66), "Medium", "High"))</f>
        <v>Medium</v>
      </c>
      <c r="V546" s="10">
        <v>0.12</v>
      </c>
      <c r="W546" s="10">
        <f t="shared" si="95"/>
        <v>0.12</v>
      </c>
      <c r="X546" s="12">
        <v>10</v>
      </c>
      <c r="Y546" s="8">
        <f t="shared" si="88"/>
        <v>10936.992</v>
      </c>
      <c r="Z546" s="8">
        <f t="shared" si="89"/>
        <v>7309.9</v>
      </c>
      <c r="AA546" s="8">
        <f t="shared" si="96"/>
        <v>3627.0920000000006</v>
      </c>
      <c r="AB546" s="10">
        <f t="shared" si="97"/>
        <v>0.33163524303574515</v>
      </c>
      <c r="AC546" s="14">
        <f>_xlfn.MINIFS($C$2:$C$633, $J$2:$J$633, J546)</f>
        <v>44941</v>
      </c>
      <c r="AD546">
        <f>DATEDIF(AC546, C546, "m")</f>
        <v>28</v>
      </c>
      <c r="AE546" s="8">
        <f t="shared" si="98"/>
        <v>1093.6992</v>
      </c>
    </row>
    <row r="547" spans="1:31" x14ac:dyDescent="0.3">
      <c r="A547" s="4" t="s">
        <v>225</v>
      </c>
      <c r="B547" s="6">
        <v>45852</v>
      </c>
      <c r="C547" s="14">
        <v>45852</v>
      </c>
      <c r="D547" s="14" t="str">
        <f t="shared" si="90"/>
        <v>Q3 -2025</v>
      </c>
      <c r="E547" s="6">
        <v>45873</v>
      </c>
      <c r="F547" s="6">
        <f t="shared" si="91"/>
        <v>45873</v>
      </c>
      <c r="G547" s="12">
        <f t="shared" si="92"/>
        <v>21</v>
      </c>
      <c r="H547" s="12">
        <f t="shared" si="93"/>
        <v>0</v>
      </c>
      <c r="I547" s="4" t="s">
        <v>648</v>
      </c>
      <c r="J547" s="4" t="s">
        <v>653</v>
      </c>
      <c r="K547" s="4" t="s">
        <v>681</v>
      </c>
      <c r="L547" t="str">
        <f t="shared" si="94"/>
        <v>Americas&gt;Canada&gt;Montreal</v>
      </c>
      <c r="M547" s="4" t="s">
        <v>704</v>
      </c>
      <c r="N547" s="4" t="s">
        <v>708</v>
      </c>
      <c r="O547" s="4" t="s">
        <v>722</v>
      </c>
      <c r="P547" s="4" t="s">
        <v>732</v>
      </c>
      <c r="Q547" s="4" t="s">
        <v>945</v>
      </c>
      <c r="R547" s="8">
        <v>90.3</v>
      </c>
      <c r="S547" s="8">
        <v>131.76</v>
      </c>
      <c r="T547" s="8">
        <v>131.76</v>
      </c>
      <c r="U547" s="8" t="str">
        <f>IF(T547&lt;=_xlfn.PERCENTILE.INC($T547:$T$633,0.33), "Low", IF(T547&lt;=_xlfn.PERCENTILE.INC($T547:$T$633,0.66), "Medium", "High"))</f>
        <v>Low</v>
      </c>
      <c r="V547" s="10">
        <v>0.10199999999999999</v>
      </c>
      <c r="W547" s="10">
        <f t="shared" si="95"/>
        <v>0.10199999999999999</v>
      </c>
      <c r="X547" s="12">
        <v>15</v>
      </c>
      <c r="Y547" s="8">
        <f t="shared" si="88"/>
        <v>1774.8072</v>
      </c>
      <c r="Z547" s="8">
        <f t="shared" si="89"/>
        <v>1354.5</v>
      </c>
      <c r="AA547" s="8">
        <f t="shared" si="96"/>
        <v>420.30719999999997</v>
      </c>
      <c r="AB547" s="10">
        <f t="shared" si="97"/>
        <v>0.23681851189244668</v>
      </c>
      <c r="AC547" s="14">
        <f>_xlfn.MINIFS($C$2:$C$633, $J$2:$J$633, J547)</f>
        <v>44928</v>
      </c>
      <c r="AD547">
        <f>DATEDIF(AC547, C547, "m")</f>
        <v>30</v>
      </c>
      <c r="AE547" s="8">
        <f t="shared" si="98"/>
        <v>118.32048</v>
      </c>
    </row>
    <row r="548" spans="1:31" x14ac:dyDescent="0.3">
      <c r="A548" s="4" t="s">
        <v>412</v>
      </c>
      <c r="B548" s="6">
        <v>45914</v>
      </c>
      <c r="C548" s="14">
        <v>45914</v>
      </c>
      <c r="D548" s="14" t="str">
        <f t="shared" si="90"/>
        <v>Q3 -2025</v>
      </c>
      <c r="E548" s="6">
        <v>45923</v>
      </c>
      <c r="F548" s="6">
        <f t="shared" si="91"/>
        <v>45923</v>
      </c>
      <c r="G548" s="12">
        <f t="shared" si="92"/>
        <v>9</v>
      </c>
      <c r="H548" s="12">
        <f t="shared" si="93"/>
        <v>0</v>
      </c>
      <c r="I548" s="4" t="s">
        <v>646</v>
      </c>
      <c r="J548" s="4" t="s">
        <v>661</v>
      </c>
      <c r="K548" s="4" t="s">
        <v>687</v>
      </c>
      <c r="L548" t="str">
        <f t="shared" si="94"/>
        <v>Africa&gt;South Africa&gt;Durban</v>
      </c>
      <c r="M548" s="4" t="s">
        <v>703</v>
      </c>
      <c r="N548" s="4" t="s">
        <v>708</v>
      </c>
      <c r="O548" s="4" t="s">
        <v>726</v>
      </c>
      <c r="P548" s="4" t="s">
        <v>727</v>
      </c>
      <c r="Q548" s="4" t="s">
        <v>1131</v>
      </c>
      <c r="R548" s="8">
        <v>1310.3</v>
      </c>
      <c r="S548" s="8">
        <v>2875.8</v>
      </c>
      <c r="T548" s="8">
        <v>2875.8</v>
      </c>
      <c r="U548" s="8" t="str">
        <f>IF(T548&lt;=_xlfn.PERCENTILE.INC($T548:$T$633,0.33), "Low", IF(T548&lt;=_xlfn.PERCENTILE.INC($T548:$T$633,0.66), "Medium", "High"))</f>
        <v>High</v>
      </c>
      <c r="V548" s="10">
        <v>8.3000000000000004E-2</v>
      </c>
      <c r="W548" s="10">
        <f t="shared" si="95"/>
        <v>8.3000000000000004E-2</v>
      </c>
      <c r="X548" s="12">
        <v>5</v>
      </c>
      <c r="Y548" s="8">
        <f t="shared" si="88"/>
        <v>13185.543</v>
      </c>
      <c r="Z548" s="8">
        <f t="shared" si="89"/>
        <v>6551.5</v>
      </c>
      <c r="AA548" s="8">
        <f t="shared" si="96"/>
        <v>6634.0429999999997</v>
      </c>
      <c r="AB548" s="10">
        <f t="shared" si="97"/>
        <v>0.50313005691157353</v>
      </c>
      <c r="AC548" s="14">
        <f>_xlfn.MINIFS($C$2:$C$633, $J$2:$J$633, J548)</f>
        <v>44933</v>
      </c>
      <c r="AD548">
        <f>DATEDIF(AC548, C548, "m")</f>
        <v>32</v>
      </c>
      <c r="AE548" s="8">
        <f t="shared" si="98"/>
        <v>2637.1086</v>
      </c>
    </row>
    <row r="549" spans="1:31" x14ac:dyDescent="0.3">
      <c r="A549" s="4" t="s">
        <v>375</v>
      </c>
      <c r="B549" s="6">
        <v>45833</v>
      </c>
      <c r="C549" s="14">
        <v>45833</v>
      </c>
      <c r="D549" s="14" t="str">
        <f t="shared" si="90"/>
        <v>Q2 -2025</v>
      </c>
      <c r="E549" s="6">
        <v>45848</v>
      </c>
      <c r="F549" s="6">
        <f t="shared" si="91"/>
        <v>45848</v>
      </c>
      <c r="G549" s="12">
        <f t="shared" si="92"/>
        <v>15</v>
      </c>
      <c r="H549" s="12">
        <f t="shared" si="93"/>
        <v>0</v>
      </c>
      <c r="I549" s="4" t="s">
        <v>649</v>
      </c>
      <c r="J549" s="4" t="s">
        <v>658</v>
      </c>
      <c r="K549" s="4" t="s">
        <v>674</v>
      </c>
      <c r="L549" t="str">
        <f t="shared" si="94"/>
        <v>Europe&gt;United Kingdom&gt;Birmingham</v>
      </c>
      <c r="M549" s="4" t="s">
        <v>703</v>
      </c>
      <c r="N549" s="4" t="s">
        <v>709</v>
      </c>
      <c r="O549" s="4" t="s">
        <v>726</v>
      </c>
      <c r="P549" s="4" t="s">
        <v>730</v>
      </c>
      <c r="Q549" s="4" t="s">
        <v>1095</v>
      </c>
      <c r="R549" s="8">
        <v>546.83000000000004</v>
      </c>
      <c r="S549" s="8">
        <v>400.84</v>
      </c>
      <c r="T549" s="8">
        <v>400.84</v>
      </c>
      <c r="U549" s="8" t="str">
        <f>IF(T549&lt;=_xlfn.PERCENTILE.INC($T549:$T$633,0.33), "Low", IF(T549&lt;=_xlfn.PERCENTILE.INC($T549:$T$633,0.66), "Medium", "High"))</f>
        <v>Low</v>
      </c>
      <c r="V549" s="10">
        <v>7.8E-2</v>
      </c>
      <c r="W549" s="10">
        <f t="shared" si="95"/>
        <v>7.8E-2</v>
      </c>
      <c r="X549" s="12">
        <v>13</v>
      </c>
      <c r="Y549" s="8">
        <f t="shared" si="88"/>
        <v>4804.4682400000002</v>
      </c>
      <c r="Z549" s="8">
        <f t="shared" si="89"/>
        <v>7108.7900000000009</v>
      </c>
      <c r="AA549" s="8">
        <f t="shared" si="96"/>
        <v>-2304.3217600000007</v>
      </c>
      <c r="AB549" s="10">
        <f t="shared" si="97"/>
        <v>-0.47962056254533608</v>
      </c>
      <c r="AC549" s="14">
        <f>_xlfn.MINIFS($C$2:$C$633, $J$2:$J$633, J549)</f>
        <v>44945</v>
      </c>
      <c r="AD549">
        <f>DATEDIF(AC549, C549, "m")</f>
        <v>29</v>
      </c>
      <c r="AE549" s="8">
        <f t="shared" si="98"/>
        <v>369.57447999999999</v>
      </c>
    </row>
    <row r="550" spans="1:31" x14ac:dyDescent="0.3">
      <c r="A550" s="4" t="s">
        <v>414</v>
      </c>
      <c r="B550" s="6">
        <v>45759</v>
      </c>
      <c r="C550" s="14">
        <v>45759</v>
      </c>
      <c r="D550" s="14" t="str">
        <f t="shared" si="90"/>
        <v>Q2 -2025</v>
      </c>
      <c r="E550" s="6">
        <v>45777</v>
      </c>
      <c r="F550" s="6">
        <f t="shared" si="91"/>
        <v>45777</v>
      </c>
      <c r="G550" s="12">
        <f t="shared" si="92"/>
        <v>18</v>
      </c>
      <c r="H550" s="12">
        <f t="shared" si="93"/>
        <v>0</v>
      </c>
      <c r="I550" s="4" t="s">
        <v>646</v>
      </c>
      <c r="J550" s="4" t="s">
        <v>650</v>
      </c>
      <c r="K550" s="4" t="s">
        <v>662</v>
      </c>
      <c r="L550" t="str">
        <f t="shared" si="94"/>
        <v>Africa&gt;Kenya&gt;Kisumu</v>
      </c>
      <c r="M550" s="4" t="s">
        <v>701</v>
      </c>
      <c r="N550" s="4" t="s">
        <v>709</v>
      </c>
      <c r="O550" s="4" t="s">
        <v>721</v>
      </c>
      <c r="P550" s="4" t="s">
        <v>729</v>
      </c>
      <c r="Q550" s="4" t="s">
        <v>1133</v>
      </c>
      <c r="R550" s="8">
        <v>1119.04</v>
      </c>
      <c r="S550" s="8">
        <v>1299.02</v>
      </c>
      <c r="T550" s="8">
        <v>1299.02</v>
      </c>
      <c r="U550" s="8" t="str">
        <f>IF(T550&lt;=_xlfn.PERCENTILE.INC($T550:$T$633,0.33), "Low", IF(T550&lt;=_xlfn.PERCENTILE.INC($T550:$T$633,0.66), "Medium", "High"))</f>
        <v>Medium</v>
      </c>
      <c r="V550" s="10">
        <v>2.5000000000000001E-2</v>
      </c>
      <c r="W550" s="10">
        <f t="shared" si="95"/>
        <v>2.5000000000000001E-2</v>
      </c>
      <c r="X550" s="12">
        <v>14</v>
      </c>
      <c r="Y550" s="8">
        <f t="shared" si="88"/>
        <v>17731.623</v>
      </c>
      <c r="Z550" s="8">
        <f t="shared" si="89"/>
        <v>15666.56</v>
      </c>
      <c r="AA550" s="8">
        <f t="shared" si="96"/>
        <v>2065.0630000000001</v>
      </c>
      <c r="AB550" s="10">
        <f t="shared" si="97"/>
        <v>0.11646215352085933</v>
      </c>
      <c r="AC550" s="14">
        <f>_xlfn.MINIFS($C$2:$C$633, $J$2:$J$633, J550)</f>
        <v>44946</v>
      </c>
      <c r="AD550">
        <f>DATEDIF(AC550, C550, "m")</f>
        <v>26</v>
      </c>
      <c r="AE550" s="8">
        <f t="shared" si="98"/>
        <v>1266.5445</v>
      </c>
    </row>
    <row r="551" spans="1:31" x14ac:dyDescent="0.3">
      <c r="A551" s="4" t="s">
        <v>381</v>
      </c>
      <c r="B551" s="6">
        <v>45731</v>
      </c>
      <c r="C551" s="14">
        <v>45731</v>
      </c>
      <c r="D551" s="14" t="str">
        <f t="shared" si="90"/>
        <v>Q1 -2025</v>
      </c>
      <c r="E551" s="6">
        <v>45745</v>
      </c>
      <c r="F551" s="6">
        <f t="shared" si="91"/>
        <v>45745</v>
      </c>
      <c r="G551" s="12">
        <f t="shared" si="92"/>
        <v>14</v>
      </c>
      <c r="H551" s="12">
        <f t="shared" si="93"/>
        <v>0</v>
      </c>
      <c r="I551" s="4" t="s">
        <v>647</v>
      </c>
      <c r="J551" s="4" t="s">
        <v>654</v>
      </c>
      <c r="K551" s="4" t="s">
        <v>691</v>
      </c>
      <c r="L551" t="str">
        <f t="shared" si="94"/>
        <v>Asia&gt;India&gt;Mumbai</v>
      </c>
      <c r="M551" s="4" t="s">
        <v>706</v>
      </c>
      <c r="N551" s="4" t="s">
        <v>711</v>
      </c>
      <c r="O551" s="4" t="s">
        <v>712</v>
      </c>
      <c r="P551" s="4" t="s">
        <v>727</v>
      </c>
      <c r="Q551" s="4" t="s">
        <v>1101</v>
      </c>
      <c r="R551" s="8">
        <v>935.83</v>
      </c>
      <c r="S551" s="8">
        <v>2303.46</v>
      </c>
      <c r="T551" s="8">
        <v>2303.46</v>
      </c>
      <c r="U551" s="8" t="str">
        <f>IF(T551&lt;=_xlfn.PERCENTILE.INC($T551:$T$633,0.33), "Low", IF(T551&lt;=_xlfn.PERCENTILE.INC($T551:$T$633,0.66), "Medium", "High"))</f>
        <v>High</v>
      </c>
      <c r="V551" s="10">
        <v>0.105</v>
      </c>
      <c r="W551" s="10">
        <f t="shared" si="95"/>
        <v>0.105</v>
      </c>
      <c r="X551" s="12">
        <v>9</v>
      </c>
      <c r="Y551" s="8">
        <f t="shared" si="88"/>
        <v>18554.370299999999</v>
      </c>
      <c r="Z551" s="8">
        <f t="shared" si="89"/>
        <v>8422.4700000000012</v>
      </c>
      <c r="AA551" s="8">
        <f t="shared" si="96"/>
        <v>10131.900299999998</v>
      </c>
      <c r="AB551" s="10">
        <f t="shared" si="97"/>
        <v>0.54606543559174292</v>
      </c>
      <c r="AC551" s="14">
        <f>_xlfn.MINIFS($C$2:$C$633, $J$2:$J$633, J551)</f>
        <v>44955</v>
      </c>
      <c r="AD551">
        <f>DATEDIF(AC551, C551, "m")</f>
        <v>25</v>
      </c>
      <c r="AE551" s="8">
        <f t="shared" si="98"/>
        <v>2061.5967000000001</v>
      </c>
    </row>
    <row r="552" spans="1:31" x14ac:dyDescent="0.3">
      <c r="A552" s="4" t="s">
        <v>105</v>
      </c>
      <c r="B552" s="6">
        <v>45775</v>
      </c>
      <c r="C552" s="14">
        <v>45775</v>
      </c>
      <c r="D552" s="14" t="str">
        <f t="shared" si="90"/>
        <v>Q2 -2025</v>
      </c>
      <c r="E552" s="6">
        <v>45792</v>
      </c>
      <c r="F552" s="6">
        <f t="shared" si="91"/>
        <v>45792</v>
      </c>
      <c r="G552" s="12">
        <f t="shared" si="92"/>
        <v>17</v>
      </c>
      <c r="H552" s="12">
        <f t="shared" si="93"/>
        <v>0</v>
      </c>
      <c r="I552" s="4" t="s">
        <v>647</v>
      </c>
      <c r="J552" s="4" t="s">
        <v>652</v>
      </c>
      <c r="K552" s="4" t="s">
        <v>694</v>
      </c>
      <c r="L552" t="str">
        <f t="shared" si="94"/>
        <v>Asia&gt;Japan&gt;Nagoya</v>
      </c>
      <c r="M552" s="4" t="s">
        <v>702</v>
      </c>
      <c r="N552" s="4" t="s">
        <v>711</v>
      </c>
      <c r="O552" s="4" t="s">
        <v>725</v>
      </c>
      <c r="P552" s="4" t="s">
        <v>729</v>
      </c>
      <c r="Q552" s="4" t="s">
        <v>824</v>
      </c>
      <c r="R552" s="8">
        <v>691.19</v>
      </c>
      <c r="S552" s="8">
        <v>1284.3</v>
      </c>
      <c r="T552" s="8">
        <v>1284.3</v>
      </c>
      <c r="U552" s="8" t="str">
        <f>IF(T552&lt;=_xlfn.PERCENTILE.INC($T552:$T$633,0.33), "Low", IF(T552&lt;=_xlfn.PERCENTILE.INC($T552:$T$633,0.66), "Medium", "High"))</f>
        <v>Medium</v>
      </c>
      <c r="V552" s="10">
        <v>7.3999999999999996E-2</v>
      </c>
      <c r="W552" s="10">
        <f t="shared" si="95"/>
        <v>7.3999999999999996E-2</v>
      </c>
      <c r="X552" s="12">
        <v>7</v>
      </c>
      <c r="Y552" s="8">
        <f t="shared" si="88"/>
        <v>8324.8326000000015</v>
      </c>
      <c r="Z552" s="8">
        <f t="shared" si="89"/>
        <v>4838.33</v>
      </c>
      <c r="AA552" s="8">
        <f t="shared" si="96"/>
        <v>3486.5026000000016</v>
      </c>
      <c r="AB552" s="10">
        <f t="shared" si="97"/>
        <v>0.41880753253825198</v>
      </c>
      <c r="AC552" s="14">
        <f>_xlfn.MINIFS($C$2:$C$633, $J$2:$J$633, J552)</f>
        <v>44988</v>
      </c>
      <c r="AD552">
        <f>DATEDIF(AC552, C552, "m")</f>
        <v>25</v>
      </c>
      <c r="AE552" s="8">
        <f t="shared" si="98"/>
        <v>1189.2618000000002</v>
      </c>
    </row>
    <row r="553" spans="1:31" x14ac:dyDescent="0.3">
      <c r="A553" s="4" t="s">
        <v>223</v>
      </c>
      <c r="B553" s="6">
        <v>45859</v>
      </c>
      <c r="C553" s="14">
        <v>45859</v>
      </c>
      <c r="D553" s="14" t="str">
        <f t="shared" si="90"/>
        <v>Q3 -2025</v>
      </c>
      <c r="E553" s="6">
        <v>45876</v>
      </c>
      <c r="F553" s="6">
        <f t="shared" si="91"/>
        <v>45876</v>
      </c>
      <c r="G553" s="12">
        <f t="shared" si="92"/>
        <v>17</v>
      </c>
      <c r="H553" s="12">
        <f t="shared" si="93"/>
        <v>0</v>
      </c>
      <c r="I553" s="4" t="s">
        <v>646</v>
      </c>
      <c r="J553" s="4" t="s">
        <v>651</v>
      </c>
      <c r="K553" s="4" t="s">
        <v>665</v>
      </c>
      <c r="L553" t="str">
        <f t="shared" si="94"/>
        <v>Africa&gt;Nigeria&gt;Lagos</v>
      </c>
      <c r="M553" s="4" t="s">
        <v>706</v>
      </c>
      <c r="N553" s="4" t="s">
        <v>711</v>
      </c>
      <c r="O553" s="4" t="s">
        <v>724</v>
      </c>
      <c r="P553" s="4" t="s">
        <v>733</v>
      </c>
      <c r="Q553" s="4" t="s">
        <v>943</v>
      </c>
      <c r="R553" s="8">
        <v>1204.95</v>
      </c>
      <c r="S553" s="8">
        <v>2065.73</v>
      </c>
      <c r="T553" s="8">
        <v>2065.73</v>
      </c>
      <c r="U553" s="8" t="str">
        <f>IF(T553&lt;=_xlfn.PERCENTILE.INC($T553:$T$633,0.33), "Low", IF(T553&lt;=_xlfn.PERCENTILE.INC($T553:$T$633,0.66), "Medium", "High"))</f>
        <v>High</v>
      </c>
      <c r="V553" s="10">
        <v>0.13600000000000001</v>
      </c>
      <c r="W553" s="10">
        <f t="shared" si="95"/>
        <v>0.13600000000000001</v>
      </c>
      <c r="X553" s="12">
        <v>10</v>
      </c>
      <c r="Y553" s="8">
        <f t="shared" si="88"/>
        <v>17847.907199999998</v>
      </c>
      <c r="Z553" s="8">
        <f t="shared" si="89"/>
        <v>12049.5</v>
      </c>
      <c r="AA553" s="8">
        <f t="shared" si="96"/>
        <v>5798.4071999999978</v>
      </c>
      <c r="AB553" s="10">
        <f t="shared" si="97"/>
        <v>0.32487882949100039</v>
      </c>
      <c r="AC553" s="14">
        <f>_xlfn.MINIFS($C$2:$C$633, $J$2:$J$633, J553)</f>
        <v>44941</v>
      </c>
      <c r="AD553">
        <f>DATEDIF(AC553, C553, "m")</f>
        <v>30</v>
      </c>
      <c r="AE553" s="8">
        <f t="shared" si="98"/>
        <v>1784.7907199999997</v>
      </c>
    </row>
    <row r="554" spans="1:31" x14ac:dyDescent="0.3">
      <c r="A554" s="4" t="s">
        <v>529</v>
      </c>
      <c r="B554" s="6">
        <v>45874</v>
      </c>
      <c r="C554" s="14">
        <v>45874</v>
      </c>
      <c r="D554" s="14" t="str">
        <f t="shared" si="90"/>
        <v>Q3 -2025</v>
      </c>
      <c r="E554" s="6">
        <v>45897</v>
      </c>
      <c r="F554" s="6">
        <f t="shared" si="91"/>
        <v>45897</v>
      </c>
      <c r="G554" s="12">
        <f t="shared" si="92"/>
        <v>23</v>
      </c>
      <c r="H554" s="12">
        <f t="shared" si="93"/>
        <v>0</v>
      </c>
      <c r="I554" s="4" t="s">
        <v>647</v>
      </c>
      <c r="J554" s="4" t="s">
        <v>654</v>
      </c>
      <c r="K554" s="4" t="s">
        <v>691</v>
      </c>
      <c r="L554" t="str">
        <f t="shared" si="94"/>
        <v>Asia&gt;India&gt;Mumbai</v>
      </c>
      <c r="M554" s="4" t="s">
        <v>703</v>
      </c>
      <c r="N554" s="4" t="s">
        <v>710</v>
      </c>
      <c r="O554" s="4" t="s">
        <v>725</v>
      </c>
      <c r="P554" s="4" t="s">
        <v>731</v>
      </c>
      <c r="Q554" s="4" t="s">
        <v>1248</v>
      </c>
      <c r="R554" s="8">
        <v>638.54</v>
      </c>
      <c r="S554" s="8">
        <v>987.24</v>
      </c>
      <c r="T554" s="8">
        <v>987.24</v>
      </c>
      <c r="U554" s="8" t="str">
        <f>IF(T554&lt;=_xlfn.PERCENTILE.INC($T554:$T$633,0.33), "Low", IF(T554&lt;=_xlfn.PERCENTILE.INC($T554:$T$633,0.66), "Medium", "High"))</f>
        <v>Medium</v>
      </c>
      <c r="V554" s="10">
        <v>0</v>
      </c>
      <c r="W554" s="10">
        <f t="shared" si="95"/>
        <v>0</v>
      </c>
      <c r="X554" s="12">
        <v>11</v>
      </c>
      <c r="Y554" s="8">
        <f t="shared" si="88"/>
        <v>10859.64</v>
      </c>
      <c r="Z554" s="8">
        <f t="shared" si="89"/>
        <v>7023.94</v>
      </c>
      <c r="AA554" s="8">
        <f t="shared" si="96"/>
        <v>3835.7</v>
      </c>
      <c r="AB554" s="10">
        <f t="shared" si="97"/>
        <v>0.35320692030306716</v>
      </c>
      <c r="AC554" s="14">
        <f>_xlfn.MINIFS($C$2:$C$633, $J$2:$J$633, J554)</f>
        <v>44955</v>
      </c>
      <c r="AD554">
        <f>DATEDIF(AC554, C554, "m")</f>
        <v>30</v>
      </c>
      <c r="AE554" s="8">
        <f t="shared" si="98"/>
        <v>987.2399999999999</v>
      </c>
    </row>
    <row r="555" spans="1:31" x14ac:dyDescent="0.3">
      <c r="A555" s="4" t="s">
        <v>392</v>
      </c>
      <c r="B555" s="6">
        <v>45664</v>
      </c>
      <c r="C555" s="14">
        <v>45664</v>
      </c>
      <c r="D555" s="14" t="str">
        <f t="shared" si="90"/>
        <v>Q1 -2025</v>
      </c>
      <c r="E555" s="6">
        <v>45677</v>
      </c>
      <c r="F555" s="6">
        <f t="shared" si="91"/>
        <v>45677</v>
      </c>
      <c r="G555" s="12">
        <f t="shared" si="92"/>
        <v>13</v>
      </c>
      <c r="H555" s="12">
        <f t="shared" si="93"/>
        <v>0</v>
      </c>
      <c r="I555" s="4" t="s">
        <v>646</v>
      </c>
      <c r="J555" s="4" t="s">
        <v>661</v>
      </c>
      <c r="K555" s="4" t="s">
        <v>695</v>
      </c>
      <c r="L555" t="str">
        <f t="shared" si="94"/>
        <v>Africa&gt;South Africa&gt;Cape Town</v>
      </c>
      <c r="M555" s="4" t="s">
        <v>701</v>
      </c>
      <c r="N555" s="4" t="s">
        <v>711</v>
      </c>
      <c r="O555" s="4" t="s">
        <v>723</v>
      </c>
      <c r="P555" s="4" t="s">
        <v>729</v>
      </c>
      <c r="Q555" s="4" t="s">
        <v>1112</v>
      </c>
      <c r="R555" s="8">
        <v>432.13</v>
      </c>
      <c r="S555" s="8">
        <v>1034.6600000000001</v>
      </c>
      <c r="T555" s="8">
        <v>1034.6600000000001</v>
      </c>
      <c r="U555" s="8" t="str">
        <f>IF(T555&lt;=_xlfn.PERCENTILE.INC($T555:$T$633,0.33), "Low", IF(T555&lt;=_xlfn.PERCENTILE.INC($T555:$T$633,0.66), "Medium", "High"))</f>
        <v>Medium</v>
      </c>
      <c r="V555" s="10">
        <v>9.1999999999999998E-2</v>
      </c>
      <c r="W555" s="10">
        <f t="shared" si="95"/>
        <v>9.1999999999999998E-2</v>
      </c>
      <c r="X555" s="12">
        <v>7</v>
      </c>
      <c r="Y555" s="8">
        <f t="shared" si="88"/>
        <v>6576.298960000001</v>
      </c>
      <c r="Z555" s="8">
        <f t="shared" si="89"/>
        <v>3024.91</v>
      </c>
      <c r="AA555" s="8">
        <f t="shared" si="96"/>
        <v>3551.3889600000011</v>
      </c>
      <c r="AB555" s="10">
        <f t="shared" si="97"/>
        <v>0.54002851476204794</v>
      </c>
      <c r="AC555" s="14">
        <f>_xlfn.MINIFS($C$2:$C$633, $J$2:$J$633, J555)</f>
        <v>44933</v>
      </c>
      <c r="AD555">
        <f>DATEDIF(AC555, C555, "m")</f>
        <v>24</v>
      </c>
      <c r="AE555" s="8">
        <f t="shared" si="98"/>
        <v>939.47128000000009</v>
      </c>
    </row>
    <row r="556" spans="1:31" x14ac:dyDescent="0.3">
      <c r="A556" s="4" t="s">
        <v>73</v>
      </c>
      <c r="B556" s="6">
        <v>45817</v>
      </c>
      <c r="C556" s="14">
        <v>45817</v>
      </c>
      <c r="D556" s="14" t="str">
        <f t="shared" si="90"/>
        <v>Q2 -2025</v>
      </c>
      <c r="E556" s="6">
        <v>45826</v>
      </c>
      <c r="F556" s="6">
        <f t="shared" si="91"/>
        <v>45826</v>
      </c>
      <c r="G556" s="12">
        <f t="shared" si="92"/>
        <v>9</v>
      </c>
      <c r="H556" s="12">
        <f t="shared" si="93"/>
        <v>0</v>
      </c>
      <c r="I556" s="4" t="s">
        <v>649</v>
      </c>
      <c r="J556" s="4" t="s">
        <v>657</v>
      </c>
      <c r="K556" s="4" t="s">
        <v>673</v>
      </c>
      <c r="L556" t="str">
        <f t="shared" si="94"/>
        <v>Europe&gt;France&gt;Marseille</v>
      </c>
      <c r="M556" s="4" t="s">
        <v>705</v>
      </c>
      <c r="N556" s="4" t="s">
        <v>709</v>
      </c>
      <c r="O556" s="4" t="s">
        <v>722</v>
      </c>
      <c r="P556" s="4" t="s">
        <v>733</v>
      </c>
      <c r="Q556" s="4" t="s">
        <v>792</v>
      </c>
      <c r="R556" s="8">
        <v>1225.5</v>
      </c>
      <c r="S556" s="8">
        <v>-5.27</v>
      </c>
      <c r="T556" s="8">
        <v>5.27</v>
      </c>
      <c r="U556" s="8" t="str">
        <f>IF(T556&lt;=_xlfn.PERCENTILE.INC($T556:$T$633,0.33), "Low", IF(T556&lt;=_xlfn.PERCENTILE.INC($T556:$T$633,0.66), "Medium", "High"))</f>
        <v>Low</v>
      </c>
      <c r="V556" s="10">
        <v>7.4999999999999997E-2</v>
      </c>
      <c r="W556" s="10">
        <f t="shared" si="95"/>
        <v>7.4999999999999997E-2</v>
      </c>
      <c r="X556" s="12">
        <v>56</v>
      </c>
      <c r="Y556" s="8">
        <f t="shared" si="88"/>
        <v>272.98599999999999</v>
      </c>
      <c r="Z556" s="8">
        <f t="shared" si="89"/>
        <v>68628</v>
      </c>
      <c r="AA556" s="8">
        <f t="shared" si="96"/>
        <v>-68355.013999999996</v>
      </c>
      <c r="AB556" s="10">
        <f t="shared" si="97"/>
        <v>-250.39750756449047</v>
      </c>
      <c r="AC556" s="14">
        <f>_xlfn.MINIFS($C$2:$C$633, $J$2:$J$633, J556)</f>
        <v>44936</v>
      </c>
      <c r="AD556">
        <f>DATEDIF(AC556, C556, "m")</f>
        <v>28</v>
      </c>
      <c r="AE556" s="8">
        <f t="shared" si="98"/>
        <v>4.8747499999999997</v>
      </c>
    </row>
    <row r="557" spans="1:31" x14ac:dyDescent="0.3">
      <c r="A557" s="4" t="s">
        <v>86</v>
      </c>
      <c r="B557" s="6">
        <v>45756</v>
      </c>
      <c r="C557" s="14">
        <v>45756</v>
      </c>
      <c r="D557" s="14" t="str">
        <f t="shared" si="90"/>
        <v>Q2 -2025</v>
      </c>
      <c r="E557" s="6">
        <v>45783</v>
      </c>
      <c r="F557" s="6">
        <f t="shared" si="91"/>
        <v>45783</v>
      </c>
      <c r="G557" s="12">
        <f t="shared" si="92"/>
        <v>27</v>
      </c>
      <c r="H557" s="12">
        <f t="shared" si="93"/>
        <v>0</v>
      </c>
      <c r="I557" s="4" t="s">
        <v>648</v>
      </c>
      <c r="J557" s="4" t="s">
        <v>655</v>
      </c>
      <c r="K557" s="4" t="s">
        <v>672</v>
      </c>
      <c r="L557" t="str">
        <f t="shared" si="94"/>
        <v>Americas&gt;Brazil&gt;Brasília</v>
      </c>
      <c r="M557" s="4" t="s">
        <v>706</v>
      </c>
      <c r="N557" s="4" t="s">
        <v>709</v>
      </c>
      <c r="O557" s="4" t="s">
        <v>721</v>
      </c>
      <c r="P557" s="4" t="s">
        <v>731</v>
      </c>
      <c r="Q557" s="4" t="s">
        <v>805</v>
      </c>
      <c r="R557" s="8">
        <v>264.19</v>
      </c>
      <c r="S557" s="8">
        <v>620.92999999999995</v>
      </c>
      <c r="T557" s="8">
        <v>620.92999999999995</v>
      </c>
      <c r="U557" s="8" t="str">
        <f>IF(T557&lt;=_xlfn.PERCENTILE.INC($T557:$T$633,0.33), "Low", IF(T557&lt;=_xlfn.PERCENTILE.INC($T557:$T$633,0.66), "Medium", "High"))</f>
        <v>Low</v>
      </c>
      <c r="V557" s="10">
        <v>0.14199999999999999</v>
      </c>
      <c r="W557" s="10">
        <f t="shared" si="95"/>
        <v>0.14199999999999999</v>
      </c>
      <c r="X557" s="12">
        <v>12</v>
      </c>
      <c r="Y557" s="8">
        <f t="shared" si="88"/>
        <v>6393.0952799999995</v>
      </c>
      <c r="Z557" s="8">
        <f t="shared" si="89"/>
        <v>3170.2799999999997</v>
      </c>
      <c r="AA557" s="8">
        <f t="shared" si="96"/>
        <v>3222.8152799999998</v>
      </c>
      <c r="AB557" s="10">
        <f t="shared" si="97"/>
        <v>0.50410875152794532</v>
      </c>
      <c r="AC557" s="14">
        <f>_xlfn.MINIFS($C$2:$C$633, $J$2:$J$633, J557)</f>
        <v>44955</v>
      </c>
      <c r="AD557">
        <f>DATEDIF(AC557, C557, "m")</f>
        <v>26</v>
      </c>
      <c r="AE557" s="8">
        <f t="shared" si="98"/>
        <v>532.75793999999996</v>
      </c>
    </row>
    <row r="558" spans="1:31" x14ac:dyDescent="0.3">
      <c r="A558" s="4" t="s">
        <v>256</v>
      </c>
      <c r="B558" s="6">
        <v>45871</v>
      </c>
      <c r="C558" s="14">
        <v>45871</v>
      </c>
      <c r="D558" s="14" t="str">
        <f t="shared" si="90"/>
        <v>Q3 -2025</v>
      </c>
      <c r="E558" s="6">
        <v>45877</v>
      </c>
      <c r="F558" s="6">
        <f t="shared" si="91"/>
        <v>45877</v>
      </c>
      <c r="G558" s="12">
        <f t="shared" si="92"/>
        <v>6</v>
      </c>
      <c r="H558" s="12">
        <f t="shared" si="93"/>
        <v>1</v>
      </c>
      <c r="I558" s="4" t="s">
        <v>647</v>
      </c>
      <c r="J558" s="4" t="s">
        <v>652</v>
      </c>
      <c r="K558" s="4" t="s">
        <v>666</v>
      </c>
      <c r="L558" t="str">
        <f t="shared" si="94"/>
        <v>Asia&gt;Japan&gt;Osaka</v>
      </c>
      <c r="M558" s="4" t="s">
        <v>704</v>
      </c>
      <c r="N558" s="4" t="s">
        <v>711</v>
      </c>
      <c r="O558" s="4" t="s">
        <v>725</v>
      </c>
      <c r="P558" s="4" t="s">
        <v>731</v>
      </c>
      <c r="Q558" s="4" t="s">
        <v>976</v>
      </c>
      <c r="R558" s="8">
        <v>1225.94</v>
      </c>
      <c r="S558" s="8">
        <v>1793.08</v>
      </c>
      <c r="T558" s="8">
        <v>1793.08</v>
      </c>
      <c r="U558" s="8" t="str">
        <f>IF(T558&lt;=_xlfn.PERCENTILE.INC($T558:$T$633,0.33), "Low", IF(T558&lt;=_xlfn.PERCENTILE.INC($T558:$T$633,0.66), "Medium", "High"))</f>
        <v>High</v>
      </c>
      <c r="V558" s="10">
        <v>0.13600000000000001</v>
      </c>
      <c r="W558" s="10">
        <f t="shared" si="95"/>
        <v>0.13600000000000001</v>
      </c>
      <c r="X558" s="12">
        <v>22</v>
      </c>
      <c r="Y558" s="8">
        <f t="shared" si="88"/>
        <v>34082.864639999993</v>
      </c>
      <c r="Z558" s="8">
        <f t="shared" si="89"/>
        <v>26970.68</v>
      </c>
      <c r="AA558" s="8">
        <f t="shared" si="96"/>
        <v>7112.1846399999922</v>
      </c>
      <c r="AB558" s="10">
        <f t="shared" si="97"/>
        <v>0.20867332353434462</v>
      </c>
      <c r="AC558" s="14">
        <f>_xlfn.MINIFS($C$2:$C$633, $J$2:$J$633, J558)</f>
        <v>44988</v>
      </c>
      <c r="AD558">
        <f>DATEDIF(AC558, C558, "m")</f>
        <v>28</v>
      </c>
      <c r="AE558" s="8">
        <f t="shared" si="98"/>
        <v>1549.2211199999997</v>
      </c>
    </row>
    <row r="559" spans="1:31" x14ac:dyDescent="0.3">
      <c r="A559" s="4" t="s">
        <v>128</v>
      </c>
      <c r="B559" s="6">
        <v>45674</v>
      </c>
      <c r="C559" s="14">
        <v>45674</v>
      </c>
      <c r="D559" s="14" t="str">
        <f t="shared" si="90"/>
        <v>Q1 -2025</v>
      </c>
      <c r="E559" s="6">
        <v>45681</v>
      </c>
      <c r="F559" s="6">
        <f t="shared" si="91"/>
        <v>45681</v>
      </c>
      <c r="G559" s="12">
        <f t="shared" si="92"/>
        <v>7</v>
      </c>
      <c r="H559" s="12">
        <f t="shared" si="93"/>
        <v>1</v>
      </c>
      <c r="I559" s="4" t="s">
        <v>648</v>
      </c>
      <c r="J559" s="4" t="s">
        <v>660</v>
      </c>
      <c r="K559" s="4" t="s">
        <v>697</v>
      </c>
      <c r="L559" t="str">
        <f t="shared" si="94"/>
        <v>Americas&gt;USA&gt;Austin</v>
      </c>
      <c r="M559" s="4" t="s">
        <v>706</v>
      </c>
      <c r="N559" s="4" t="s">
        <v>708</v>
      </c>
      <c r="O559" s="4" t="s">
        <v>715</v>
      </c>
      <c r="P559" s="4" t="s">
        <v>733</v>
      </c>
      <c r="Q559" s="4" t="s">
        <v>847</v>
      </c>
      <c r="R559" s="8">
        <v>142.09</v>
      </c>
      <c r="S559" s="8">
        <v>218.5</v>
      </c>
      <c r="T559" s="8">
        <v>218.5</v>
      </c>
      <c r="U559" s="8" t="str">
        <f>IF(T559&lt;=_xlfn.PERCENTILE.INC($T559:$T$633,0.33), "Low", IF(T559&lt;=_xlfn.PERCENTILE.INC($T559:$T$633,0.66), "Medium", "High"))</f>
        <v>Low</v>
      </c>
      <c r="V559" s="10">
        <v>0.11899999999999999</v>
      </c>
      <c r="W559" s="10">
        <f t="shared" si="95"/>
        <v>0.11899999999999999</v>
      </c>
      <c r="X559" s="12">
        <v>11</v>
      </c>
      <c r="Y559" s="8">
        <f t="shared" si="88"/>
        <v>2117.4834999999998</v>
      </c>
      <c r="Z559" s="8">
        <f t="shared" si="89"/>
        <v>1562.99</v>
      </c>
      <c r="AA559" s="8">
        <f t="shared" si="96"/>
        <v>554.49349999999981</v>
      </c>
      <c r="AB559" s="10">
        <f t="shared" si="97"/>
        <v>0.26186437816398561</v>
      </c>
      <c r="AC559" s="14">
        <f>_xlfn.MINIFS($C$2:$C$633, $J$2:$J$633, J559)</f>
        <v>44939</v>
      </c>
      <c r="AD559">
        <f>DATEDIF(AC559, C559, "m")</f>
        <v>24</v>
      </c>
      <c r="AE559" s="8">
        <f t="shared" si="98"/>
        <v>192.49849999999998</v>
      </c>
    </row>
    <row r="560" spans="1:31" x14ac:dyDescent="0.3">
      <c r="A560" s="4" t="s">
        <v>637</v>
      </c>
      <c r="B560" s="6">
        <v>45857</v>
      </c>
      <c r="C560" s="14">
        <v>45857</v>
      </c>
      <c r="D560" s="14" t="str">
        <f t="shared" si="90"/>
        <v>Q3 -2025</v>
      </c>
      <c r="E560" s="6">
        <v>45869</v>
      </c>
      <c r="F560" s="6">
        <f t="shared" si="91"/>
        <v>45869</v>
      </c>
      <c r="G560" s="12">
        <f t="shared" si="92"/>
        <v>12</v>
      </c>
      <c r="H560" s="12">
        <f t="shared" si="93"/>
        <v>0</v>
      </c>
      <c r="I560" s="4" t="s">
        <v>646</v>
      </c>
      <c r="J560" s="4" t="s">
        <v>650</v>
      </c>
      <c r="K560" s="4" t="s">
        <v>664</v>
      </c>
      <c r="L560" t="str">
        <f t="shared" si="94"/>
        <v>Africa&gt;Kenya&gt;Nairobi</v>
      </c>
      <c r="M560" s="4" t="s">
        <v>705</v>
      </c>
      <c r="N560" s="4" t="s">
        <v>709</v>
      </c>
      <c r="O560" s="4" t="s">
        <v>719</v>
      </c>
      <c r="P560" s="4" t="s">
        <v>733</v>
      </c>
      <c r="Q560" s="4" t="s">
        <v>1355</v>
      </c>
      <c r="R560" s="8">
        <v>619.64</v>
      </c>
      <c r="S560" s="8">
        <v>861.16</v>
      </c>
      <c r="T560" s="8">
        <v>861.16</v>
      </c>
      <c r="U560" s="8" t="str">
        <f>IF(T560&lt;=_xlfn.PERCENTILE.INC($T560:$T$633,0.33), "Low", IF(T560&lt;=_xlfn.PERCENTILE.INC($T560:$T$633,0.66), "Medium", "High"))</f>
        <v>Low</v>
      </c>
      <c r="V560" s="10">
        <v>0.113</v>
      </c>
      <c r="W560" s="10">
        <f t="shared" si="95"/>
        <v>0.113</v>
      </c>
      <c r="X560" s="12">
        <v>14</v>
      </c>
      <c r="Y560" s="8">
        <f t="shared" si="88"/>
        <v>10693.88488</v>
      </c>
      <c r="Z560" s="8">
        <f t="shared" si="89"/>
        <v>8674.9599999999991</v>
      </c>
      <c r="AA560" s="8">
        <f t="shared" si="96"/>
        <v>2018.9248800000005</v>
      </c>
      <c r="AB560" s="10">
        <f t="shared" si="97"/>
        <v>0.18879246435276761</v>
      </c>
      <c r="AC560" s="14">
        <f>_xlfn.MINIFS($C$2:$C$633, $J$2:$J$633, J560)</f>
        <v>44946</v>
      </c>
      <c r="AD560">
        <f>DATEDIF(AC560, C560, "m")</f>
        <v>29</v>
      </c>
      <c r="AE560" s="8">
        <f t="shared" si="98"/>
        <v>763.84892000000002</v>
      </c>
    </row>
    <row r="561" spans="1:31" x14ac:dyDescent="0.3">
      <c r="A561" s="4" t="s">
        <v>145</v>
      </c>
      <c r="B561" s="6">
        <v>45700</v>
      </c>
      <c r="C561" s="14">
        <v>45700</v>
      </c>
      <c r="D561" s="14" t="str">
        <f t="shared" si="90"/>
        <v>Q1 -2025</v>
      </c>
      <c r="E561" s="6">
        <v>45716</v>
      </c>
      <c r="F561" s="6">
        <f t="shared" si="91"/>
        <v>45716</v>
      </c>
      <c r="G561" s="12">
        <f t="shared" si="92"/>
        <v>16</v>
      </c>
      <c r="H561" s="12">
        <f t="shared" si="93"/>
        <v>0</v>
      </c>
      <c r="I561" s="4" t="s">
        <v>648</v>
      </c>
      <c r="J561" s="4" t="s">
        <v>655</v>
      </c>
      <c r="K561" s="4" t="s">
        <v>670</v>
      </c>
      <c r="L561" t="str">
        <f t="shared" si="94"/>
        <v>Americas&gt;Brazil&gt;São Paulo</v>
      </c>
      <c r="M561" s="4" t="s">
        <v>703</v>
      </c>
      <c r="N561" s="4" t="s">
        <v>711</v>
      </c>
      <c r="O561" s="4" t="s">
        <v>717</v>
      </c>
      <c r="P561" s="4" t="s">
        <v>732</v>
      </c>
      <c r="Q561" s="4" t="s">
        <v>864</v>
      </c>
      <c r="R561" s="8">
        <v>414.95</v>
      </c>
      <c r="S561" s="8">
        <v>1027.73</v>
      </c>
      <c r="T561" s="8">
        <v>1027.73</v>
      </c>
      <c r="U561" s="8" t="str">
        <f>IF(T561&lt;=_xlfn.PERCENTILE.INC($T561:$T$633,0.33), "Low", IF(T561&lt;=_xlfn.PERCENTILE.INC($T561:$T$633,0.66), "Medium", "High"))</f>
        <v>Medium</v>
      </c>
      <c r="V561" s="10">
        <v>6.3E-2</v>
      </c>
      <c r="W561" s="10">
        <f t="shared" si="95"/>
        <v>6.3E-2</v>
      </c>
      <c r="X561" s="12">
        <v>8</v>
      </c>
      <c r="Y561" s="8">
        <f t="shared" si="88"/>
        <v>7703.8640800000003</v>
      </c>
      <c r="Z561" s="8">
        <f t="shared" si="89"/>
        <v>3319.6</v>
      </c>
      <c r="AA561" s="8">
        <f t="shared" si="96"/>
        <v>4384.2640800000008</v>
      </c>
      <c r="AB561" s="10">
        <f t="shared" si="97"/>
        <v>0.56909935513815568</v>
      </c>
      <c r="AC561" s="14">
        <f>_xlfn.MINIFS($C$2:$C$633, $J$2:$J$633, J561)</f>
        <v>44955</v>
      </c>
      <c r="AD561">
        <f>DATEDIF(AC561, C561, "m")</f>
        <v>24</v>
      </c>
      <c r="AE561" s="8">
        <f t="shared" si="98"/>
        <v>962.98301000000004</v>
      </c>
    </row>
    <row r="562" spans="1:31" x14ac:dyDescent="0.3">
      <c r="A562" s="4" t="s">
        <v>436</v>
      </c>
      <c r="B562" s="6">
        <v>45841</v>
      </c>
      <c r="C562" s="14">
        <v>45841</v>
      </c>
      <c r="D562" s="14" t="str">
        <f t="shared" si="90"/>
        <v>Q3 -2025</v>
      </c>
      <c r="E562" s="6">
        <v>45844</v>
      </c>
      <c r="F562" s="6">
        <f t="shared" si="91"/>
        <v>45844</v>
      </c>
      <c r="G562" s="12">
        <f t="shared" si="92"/>
        <v>3</v>
      </c>
      <c r="H562" s="12">
        <f t="shared" si="93"/>
        <v>1</v>
      </c>
      <c r="I562" s="4" t="s">
        <v>646</v>
      </c>
      <c r="J562" s="4" t="s">
        <v>651</v>
      </c>
      <c r="K562" s="4" t="s">
        <v>665</v>
      </c>
      <c r="L562" t="str">
        <f t="shared" si="94"/>
        <v>Africa&gt;Nigeria&gt;Lagos</v>
      </c>
      <c r="M562" s="4" t="s">
        <v>704</v>
      </c>
      <c r="N562" s="4" t="s">
        <v>708</v>
      </c>
      <c r="O562" s="4" t="s">
        <v>1424</v>
      </c>
      <c r="P562" s="4" t="s">
        <v>731</v>
      </c>
      <c r="Q562" s="4" t="s">
        <v>1155</v>
      </c>
      <c r="R562" s="8">
        <v>1313.3</v>
      </c>
      <c r="S562" s="8">
        <v>2884.34</v>
      </c>
      <c r="T562" s="8">
        <v>2884.34</v>
      </c>
      <c r="U562" s="8" t="str">
        <f>IF(T562&lt;=_xlfn.PERCENTILE.INC($T562:$T$633,0.33), "Low", IF(T562&lt;=_xlfn.PERCENTILE.INC($T562:$T$633,0.66), "Medium", "High"))</f>
        <v>High</v>
      </c>
      <c r="V562" s="10">
        <v>0.157</v>
      </c>
      <c r="W562" s="10">
        <f t="shared" si="95"/>
        <v>0.157</v>
      </c>
      <c r="X562" s="12">
        <v>42</v>
      </c>
      <c r="Y562" s="8">
        <f t="shared" si="88"/>
        <v>102122.94203999999</v>
      </c>
      <c r="Z562" s="8">
        <f t="shared" si="89"/>
        <v>55158.6</v>
      </c>
      <c r="AA562" s="8">
        <f t="shared" si="96"/>
        <v>46964.342039999996</v>
      </c>
      <c r="AB562" s="10">
        <f t="shared" si="97"/>
        <v>0.45988042551305253</v>
      </c>
      <c r="AC562" s="14">
        <f>_xlfn.MINIFS($C$2:$C$633, $J$2:$J$633, J562)</f>
        <v>44941</v>
      </c>
      <c r="AD562">
        <f>DATEDIF(AC562, C562, "m")</f>
        <v>29</v>
      </c>
      <c r="AE562" s="8">
        <f t="shared" si="98"/>
        <v>2431.4986199999998</v>
      </c>
    </row>
    <row r="563" spans="1:31" x14ac:dyDescent="0.3">
      <c r="A563" s="4" t="s">
        <v>194</v>
      </c>
      <c r="B563" s="6">
        <v>45890</v>
      </c>
      <c r="C563" s="14">
        <v>45890</v>
      </c>
      <c r="D563" s="14" t="str">
        <f t="shared" si="90"/>
        <v>Q3 -2025</v>
      </c>
      <c r="E563" s="6">
        <v>45912</v>
      </c>
      <c r="F563" s="6">
        <f t="shared" si="91"/>
        <v>45912</v>
      </c>
      <c r="G563" s="12">
        <f t="shared" si="92"/>
        <v>22</v>
      </c>
      <c r="H563" s="12">
        <f t="shared" si="93"/>
        <v>0</v>
      </c>
      <c r="I563" s="4" t="s">
        <v>647</v>
      </c>
      <c r="J563" s="4" t="s">
        <v>659</v>
      </c>
      <c r="K563" s="4" t="s">
        <v>676</v>
      </c>
      <c r="L563" t="str">
        <f t="shared" si="94"/>
        <v>Asia&gt;China&gt;Shenzhen</v>
      </c>
      <c r="M563" s="4" t="s">
        <v>702</v>
      </c>
      <c r="N563" s="4" t="s">
        <v>707</v>
      </c>
      <c r="O563" s="4" t="s">
        <v>717</v>
      </c>
      <c r="P563" s="4" t="s">
        <v>728</v>
      </c>
      <c r="Q563" s="4" t="s">
        <v>913</v>
      </c>
      <c r="R563" s="8">
        <v>352.66</v>
      </c>
      <c r="S563" s="8">
        <v>411.18</v>
      </c>
      <c r="T563" s="8">
        <v>411.18</v>
      </c>
      <c r="U563" s="8" t="str">
        <f>IF(T563&lt;=_xlfn.PERCENTILE.INC($T563:$T$633,0.33), "Low", IF(T563&lt;=_xlfn.PERCENTILE.INC($T563:$T$633,0.66), "Medium", "High"))</f>
        <v>Low</v>
      </c>
      <c r="V563" s="10">
        <v>0.17299999999999999</v>
      </c>
      <c r="W563" s="10">
        <f t="shared" si="95"/>
        <v>0.17299999999999999</v>
      </c>
      <c r="X563" s="12">
        <v>13</v>
      </c>
      <c r="Y563" s="8">
        <f t="shared" si="88"/>
        <v>4420.5961799999995</v>
      </c>
      <c r="Z563" s="8">
        <f t="shared" si="89"/>
        <v>4584.58</v>
      </c>
      <c r="AA563" s="8">
        <f t="shared" si="96"/>
        <v>-163.98382000000038</v>
      </c>
      <c r="AB563" s="10">
        <f t="shared" si="97"/>
        <v>-3.7095408248758066E-2</v>
      </c>
      <c r="AC563" s="14">
        <f>_xlfn.MINIFS($C$2:$C$633, $J$2:$J$633, J563)</f>
        <v>44938</v>
      </c>
      <c r="AD563">
        <f>DATEDIF(AC563, C563, "m")</f>
        <v>31</v>
      </c>
      <c r="AE563" s="8">
        <f t="shared" si="98"/>
        <v>340.04585999999995</v>
      </c>
    </row>
    <row r="564" spans="1:31" x14ac:dyDescent="0.3">
      <c r="A564" s="4" t="s">
        <v>344</v>
      </c>
      <c r="B564" s="6">
        <v>45668</v>
      </c>
      <c r="C564" s="14">
        <v>45668</v>
      </c>
      <c r="D564" s="14" t="str">
        <f t="shared" si="90"/>
        <v>Q1 -2025</v>
      </c>
      <c r="E564" s="6">
        <v>45680</v>
      </c>
      <c r="F564" s="6">
        <f t="shared" si="91"/>
        <v>45680</v>
      </c>
      <c r="G564" s="12">
        <f t="shared" si="92"/>
        <v>12</v>
      </c>
      <c r="H564" s="12">
        <f t="shared" si="93"/>
        <v>0</v>
      </c>
      <c r="I564" s="4" t="s">
        <v>648</v>
      </c>
      <c r="J564" s="4" t="s">
        <v>660</v>
      </c>
      <c r="K564" s="4" t="s">
        <v>697</v>
      </c>
      <c r="L564" t="str">
        <f t="shared" si="94"/>
        <v>Americas&gt;USA&gt;Austin</v>
      </c>
      <c r="M564" s="4" t="s">
        <v>704</v>
      </c>
      <c r="N564" s="4" t="s">
        <v>710</v>
      </c>
      <c r="O564" s="4" t="s">
        <v>722</v>
      </c>
      <c r="P564" s="4" t="s">
        <v>730</v>
      </c>
      <c r="Q564" s="4" t="s">
        <v>1064</v>
      </c>
      <c r="R564" s="8">
        <v>100.69</v>
      </c>
      <c r="S564" s="8">
        <v>226.14</v>
      </c>
      <c r="T564" s="8">
        <v>226.14</v>
      </c>
      <c r="U564" s="8" t="str">
        <f>IF(T564&lt;=_xlfn.PERCENTILE.INC($T564:$T$633,0.33), "Low", IF(T564&lt;=_xlfn.PERCENTILE.INC($T564:$T$633,0.66), "Medium", "High"))</f>
        <v>Low</v>
      </c>
      <c r="V564" s="10">
        <v>6.5000000000000002E-2</v>
      </c>
      <c r="W564" s="10">
        <f t="shared" si="95"/>
        <v>6.5000000000000002E-2</v>
      </c>
      <c r="X564" s="12">
        <v>12</v>
      </c>
      <c r="Y564" s="8">
        <f t="shared" si="88"/>
        <v>2537.2908000000002</v>
      </c>
      <c r="Z564" s="8">
        <f t="shared" si="89"/>
        <v>1208.28</v>
      </c>
      <c r="AA564" s="8">
        <f t="shared" si="96"/>
        <v>1329.0108000000002</v>
      </c>
      <c r="AB564" s="10">
        <f t="shared" si="97"/>
        <v>0.52379128162999689</v>
      </c>
      <c r="AC564" s="14">
        <f>_xlfn.MINIFS($C$2:$C$633, $J$2:$J$633, J564)</f>
        <v>44939</v>
      </c>
      <c r="AD564">
        <f>DATEDIF(AC564, C564, "m")</f>
        <v>23</v>
      </c>
      <c r="AE564" s="8">
        <f t="shared" si="98"/>
        <v>211.44090000000003</v>
      </c>
    </row>
    <row r="565" spans="1:31" x14ac:dyDescent="0.3">
      <c r="A565" s="4" t="s">
        <v>578</v>
      </c>
      <c r="B565" s="6">
        <v>45692</v>
      </c>
      <c r="C565" s="14">
        <v>45692</v>
      </c>
      <c r="D565" s="14" t="str">
        <f t="shared" si="90"/>
        <v>Q1 -2025</v>
      </c>
      <c r="E565" s="6">
        <v>45696</v>
      </c>
      <c r="F565" s="6">
        <f t="shared" si="91"/>
        <v>45696</v>
      </c>
      <c r="G565" s="12">
        <f t="shared" si="92"/>
        <v>4</v>
      </c>
      <c r="H565" s="12">
        <f t="shared" si="93"/>
        <v>1</v>
      </c>
      <c r="I565" s="4" t="s">
        <v>649</v>
      </c>
      <c r="J565" s="4" t="s">
        <v>658</v>
      </c>
      <c r="K565" s="4" t="s">
        <v>693</v>
      </c>
      <c r="L565" t="str">
        <f t="shared" si="94"/>
        <v>Europe&gt;United Kingdom&gt;Manchester</v>
      </c>
      <c r="M565" s="4" t="s">
        <v>706</v>
      </c>
      <c r="N565" s="4" t="s">
        <v>709</v>
      </c>
      <c r="O565" s="4" t="s">
        <v>716</v>
      </c>
      <c r="P565" s="4" t="s">
        <v>729</v>
      </c>
      <c r="Q565" s="4" t="s">
        <v>1296</v>
      </c>
      <c r="R565" s="8">
        <v>586.21</v>
      </c>
      <c r="S565" s="8">
        <v>727.22</v>
      </c>
      <c r="T565" s="8">
        <v>727.22</v>
      </c>
      <c r="U565" s="8" t="str">
        <f>IF(T565&lt;=_xlfn.PERCENTILE.INC($T565:$T$633,0.33), "Low", IF(T565&lt;=_xlfn.PERCENTILE.INC($T565:$T$633,0.66), "Medium", "High"))</f>
        <v>Low</v>
      </c>
      <c r="V565" s="10">
        <v>6.8000000000000005E-2</v>
      </c>
      <c r="W565" s="10">
        <f t="shared" si="95"/>
        <v>6.8000000000000005E-2</v>
      </c>
      <c r="X565" s="12">
        <v>15</v>
      </c>
      <c r="Y565" s="8">
        <f t="shared" si="88"/>
        <v>10166.535600000001</v>
      </c>
      <c r="Z565" s="8">
        <f t="shared" si="89"/>
        <v>8793.1500000000015</v>
      </c>
      <c r="AA565" s="8">
        <f t="shared" si="96"/>
        <v>1373.3855999999996</v>
      </c>
      <c r="AB565" s="10">
        <f t="shared" si="97"/>
        <v>0.13508884973559721</v>
      </c>
      <c r="AC565" s="14">
        <f>_xlfn.MINIFS($C$2:$C$633, $J$2:$J$633, J565)</f>
        <v>44945</v>
      </c>
      <c r="AD565">
        <f>DATEDIF(AC565, C565, "m")</f>
        <v>24</v>
      </c>
      <c r="AE565" s="8">
        <f t="shared" si="98"/>
        <v>677.76904000000002</v>
      </c>
    </row>
    <row r="566" spans="1:31" x14ac:dyDescent="0.3">
      <c r="A566" s="4" t="s">
        <v>117</v>
      </c>
      <c r="B566" s="6">
        <v>45747</v>
      </c>
      <c r="C566" s="14">
        <v>45747</v>
      </c>
      <c r="D566" s="14" t="str">
        <f t="shared" si="90"/>
        <v>Q1 -2025</v>
      </c>
      <c r="E566" s="6">
        <v>45751</v>
      </c>
      <c r="F566" s="6">
        <f t="shared" si="91"/>
        <v>45751</v>
      </c>
      <c r="G566" s="12">
        <f t="shared" si="92"/>
        <v>4</v>
      </c>
      <c r="H566" s="12">
        <f t="shared" si="93"/>
        <v>1</v>
      </c>
      <c r="I566" s="4" t="s">
        <v>646</v>
      </c>
      <c r="J566" s="4" t="s">
        <v>650</v>
      </c>
      <c r="K566" s="4" t="s">
        <v>678</v>
      </c>
      <c r="L566" t="str">
        <f t="shared" si="94"/>
        <v>Africa&gt;Kenya&gt;Nakuru</v>
      </c>
      <c r="M566" s="4" t="s">
        <v>701</v>
      </c>
      <c r="N566" s="4" t="s">
        <v>711</v>
      </c>
      <c r="O566" s="4" t="s">
        <v>712</v>
      </c>
      <c r="P566" s="4" t="s">
        <v>731</v>
      </c>
      <c r="Q566" s="4" t="s">
        <v>836</v>
      </c>
      <c r="R566" s="8">
        <v>862.08</v>
      </c>
      <c r="S566" s="8">
        <v>1952.83</v>
      </c>
      <c r="T566" s="8">
        <v>1952.83</v>
      </c>
      <c r="U566" s="8" t="str">
        <f>IF(T566&lt;=_xlfn.PERCENTILE.INC($T566:$T$633,0.33), "Low", IF(T566&lt;=_xlfn.PERCENTILE.INC($T566:$T$633,0.66), "Medium", "High"))</f>
        <v>High</v>
      </c>
      <c r="V566" s="10">
        <v>0</v>
      </c>
      <c r="W566" s="10">
        <f t="shared" si="95"/>
        <v>0</v>
      </c>
      <c r="X566" s="12">
        <v>7</v>
      </c>
      <c r="Y566" s="8">
        <f t="shared" si="88"/>
        <v>13669.81</v>
      </c>
      <c r="Z566" s="8">
        <f t="shared" si="89"/>
        <v>6034.56</v>
      </c>
      <c r="AA566" s="8">
        <f t="shared" si="96"/>
        <v>7635.2499999999991</v>
      </c>
      <c r="AB566" s="10">
        <f t="shared" si="97"/>
        <v>0.5585483631447693</v>
      </c>
      <c r="AC566" s="14">
        <f>_xlfn.MINIFS($C$2:$C$633, $J$2:$J$633, J566)</f>
        <v>44946</v>
      </c>
      <c r="AD566">
        <f>DATEDIF(AC566, C566, "m")</f>
        <v>26</v>
      </c>
      <c r="AE566" s="8">
        <f t="shared" si="98"/>
        <v>1952.83</v>
      </c>
    </row>
    <row r="567" spans="1:31" x14ac:dyDescent="0.3">
      <c r="A567" s="4" t="s">
        <v>195</v>
      </c>
      <c r="B567" s="6">
        <v>45915</v>
      </c>
      <c r="C567" s="14">
        <v>45915</v>
      </c>
      <c r="D567" s="14" t="str">
        <f t="shared" si="90"/>
        <v>Q3 -2025</v>
      </c>
      <c r="E567" s="6">
        <v>45918</v>
      </c>
      <c r="F567" s="6">
        <f t="shared" si="91"/>
        <v>45918</v>
      </c>
      <c r="G567" s="12">
        <f t="shared" si="92"/>
        <v>3</v>
      </c>
      <c r="H567" s="12">
        <f t="shared" si="93"/>
        <v>1</v>
      </c>
      <c r="I567" s="4" t="s">
        <v>648</v>
      </c>
      <c r="J567" s="4" t="s">
        <v>655</v>
      </c>
      <c r="K567" s="4" t="s">
        <v>692</v>
      </c>
      <c r="L567" t="str">
        <f t="shared" si="94"/>
        <v>Americas&gt;Brazil&gt;Rio de Janeiro</v>
      </c>
      <c r="M567" s="4" t="s">
        <v>703</v>
      </c>
      <c r="N567" s="4" t="s">
        <v>711</v>
      </c>
      <c r="O567" s="4" t="s">
        <v>716</v>
      </c>
      <c r="P567" s="4" t="s">
        <v>733</v>
      </c>
      <c r="Q567" s="4" t="s">
        <v>914</v>
      </c>
      <c r="R567" s="8">
        <v>5.5</v>
      </c>
      <c r="S567" s="8">
        <v>5.92</v>
      </c>
      <c r="T567" s="8">
        <v>5.92</v>
      </c>
      <c r="U567" s="8" t="str">
        <f>IF(T567&lt;=_xlfn.PERCENTILE.INC($T567:$T$633,0.33), "Low", IF(T567&lt;=_xlfn.PERCENTILE.INC($T567:$T$633,0.66), "Medium", "High"))</f>
        <v>Low</v>
      </c>
      <c r="V567" s="10">
        <v>0.21199999999999999</v>
      </c>
      <c r="W567" s="10">
        <f t="shared" si="95"/>
        <v>0.21199999999999999</v>
      </c>
      <c r="X567" s="12">
        <v>4</v>
      </c>
      <c r="Y567" s="8">
        <f t="shared" si="88"/>
        <v>18.659839999999999</v>
      </c>
      <c r="Z567" s="8">
        <f t="shared" si="89"/>
        <v>22</v>
      </c>
      <c r="AA567" s="8">
        <f t="shared" si="96"/>
        <v>-3.3401600000000009</v>
      </c>
      <c r="AB567" s="10">
        <f t="shared" si="97"/>
        <v>-0.17900260666758133</v>
      </c>
      <c r="AC567" s="14">
        <f>_xlfn.MINIFS($C$2:$C$633, $J$2:$J$633, J567)</f>
        <v>44955</v>
      </c>
      <c r="AD567">
        <f>DATEDIF(AC567, C567, "m")</f>
        <v>31</v>
      </c>
      <c r="AE567" s="8">
        <f t="shared" si="98"/>
        <v>4.6649599999999998</v>
      </c>
    </row>
    <row r="568" spans="1:31" x14ac:dyDescent="0.3">
      <c r="A568" s="4" t="s">
        <v>443</v>
      </c>
      <c r="B568" s="6">
        <v>45784</v>
      </c>
      <c r="C568" s="14">
        <v>45784</v>
      </c>
      <c r="D568" s="14" t="str">
        <f t="shared" si="90"/>
        <v>Q2 -2025</v>
      </c>
      <c r="E568" s="6">
        <v>45790</v>
      </c>
      <c r="F568" s="6">
        <f t="shared" si="91"/>
        <v>45790</v>
      </c>
      <c r="G568" s="12">
        <f t="shared" si="92"/>
        <v>6</v>
      </c>
      <c r="H568" s="12">
        <f t="shared" si="93"/>
        <v>1</v>
      </c>
      <c r="I568" s="4" t="s">
        <v>647</v>
      </c>
      <c r="J568" s="4" t="s">
        <v>654</v>
      </c>
      <c r="K568" s="4" t="s">
        <v>668</v>
      </c>
      <c r="L568" t="str">
        <f t="shared" si="94"/>
        <v>Asia&gt;India&gt;Bengaluru</v>
      </c>
      <c r="M568" s="4" t="s">
        <v>706</v>
      </c>
      <c r="N568" s="4" t="s">
        <v>711</v>
      </c>
      <c r="O568" s="4" t="s">
        <v>713</v>
      </c>
      <c r="P568" s="4" t="s">
        <v>730</v>
      </c>
      <c r="Q568" s="4" t="s">
        <v>1162</v>
      </c>
      <c r="R568" s="8">
        <v>935.98</v>
      </c>
      <c r="S568" s="8">
        <v>2077.69</v>
      </c>
      <c r="T568" s="8">
        <v>2077.69</v>
      </c>
      <c r="U568" s="8" t="str">
        <f>IF(T568&lt;=_xlfn.PERCENTILE.INC($T568:$T$633,0.33), "Low", IF(T568&lt;=_xlfn.PERCENTILE.INC($T568:$T$633,0.66), "Medium", "High"))</f>
        <v>High</v>
      </c>
      <c r="V568" s="10">
        <v>0.17499999999999999</v>
      </c>
      <c r="W568" s="10">
        <f t="shared" si="95"/>
        <v>0.17499999999999999</v>
      </c>
      <c r="X568" s="12">
        <v>24</v>
      </c>
      <c r="Y568" s="8">
        <f t="shared" si="88"/>
        <v>41138.261999999995</v>
      </c>
      <c r="Z568" s="8">
        <f t="shared" si="89"/>
        <v>22463.52</v>
      </c>
      <c r="AA568" s="8">
        <f t="shared" si="96"/>
        <v>18674.741999999995</v>
      </c>
      <c r="AB568" s="10">
        <f t="shared" si="97"/>
        <v>0.45395067978321491</v>
      </c>
      <c r="AC568" s="14">
        <f>_xlfn.MINIFS($C$2:$C$633, $J$2:$J$633, J568)</f>
        <v>44955</v>
      </c>
      <c r="AD568">
        <f>DATEDIF(AC568, C568, "m")</f>
        <v>27</v>
      </c>
      <c r="AE568" s="8">
        <f t="shared" si="98"/>
        <v>1714.0942499999999</v>
      </c>
    </row>
    <row r="569" spans="1:31" x14ac:dyDescent="0.3">
      <c r="A569" s="4" t="s">
        <v>410</v>
      </c>
      <c r="B569" s="6">
        <v>45890</v>
      </c>
      <c r="C569" s="14">
        <v>45890</v>
      </c>
      <c r="D569" s="14" t="str">
        <f t="shared" si="90"/>
        <v>Q3 -2025</v>
      </c>
      <c r="E569" s="6">
        <v>45914</v>
      </c>
      <c r="F569" s="6">
        <f t="shared" si="91"/>
        <v>45914</v>
      </c>
      <c r="G569" s="12">
        <f t="shared" si="92"/>
        <v>24</v>
      </c>
      <c r="H569" s="12">
        <f t="shared" si="93"/>
        <v>0</v>
      </c>
      <c r="I569" s="4" t="s">
        <v>649</v>
      </c>
      <c r="J569" s="4" t="s">
        <v>656</v>
      </c>
      <c r="K569" s="4" t="s">
        <v>671</v>
      </c>
      <c r="L569" t="str">
        <f t="shared" si="94"/>
        <v>Europe&gt;Germany&gt;Berlin</v>
      </c>
      <c r="M569" s="4" t="s">
        <v>703</v>
      </c>
      <c r="N569" s="4" t="s">
        <v>708</v>
      </c>
      <c r="O569" s="4" t="s">
        <v>720</v>
      </c>
      <c r="P569" s="4" t="s">
        <v>732</v>
      </c>
      <c r="Q569" s="4" t="s">
        <v>1129</v>
      </c>
      <c r="R569" s="8">
        <v>1397.67</v>
      </c>
      <c r="S569" s="8">
        <v>3131.37</v>
      </c>
      <c r="T569" s="8">
        <v>3131.37</v>
      </c>
      <c r="U569" s="8" t="str">
        <f>IF(T569&lt;=_xlfn.PERCENTILE.INC($T569:$T$633,0.33), "Low", IF(T569&lt;=_xlfn.PERCENTILE.INC($T569:$T$633,0.66), "Medium", "High"))</f>
        <v>High</v>
      </c>
      <c r="V569" s="10">
        <v>0.10299999999999999</v>
      </c>
      <c r="W569" s="10">
        <f t="shared" si="95"/>
        <v>0.10299999999999999</v>
      </c>
      <c r="X569" s="12">
        <v>20</v>
      </c>
      <c r="Y569" s="8">
        <f t="shared" si="88"/>
        <v>56176.777799999996</v>
      </c>
      <c r="Z569" s="8">
        <f t="shared" si="89"/>
        <v>27953.4</v>
      </c>
      <c r="AA569" s="8">
        <f t="shared" si="96"/>
        <v>28223.377799999995</v>
      </c>
      <c r="AB569" s="10">
        <f t="shared" si="97"/>
        <v>0.50240293062874808</v>
      </c>
      <c r="AC569" s="14">
        <f>_xlfn.MINIFS($C$2:$C$633, $J$2:$J$633, J569)</f>
        <v>44948</v>
      </c>
      <c r="AD569">
        <f>DATEDIF(AC569, C569, "m")</f>
        <v>30</v>
      </c>
      <c r="AE569" s="8">
        <f t="shared" si="98"/>
        <v>2808.83889</v>
      </c>
    </row>
    <row r="570" spans="1:31" x14ac:dyDescent="0.3">
      <c r="A570" s="4" t="s">
        <v>291</v>
      </c>
      <c r="B570" s="6">
        <v>45832</v>
      </c>
      <c r="C570" s="14">
        <v>45832</v>
      </c>
      <c r="D570" s="14" t="str">
        <f t="shared" si="90"/>
        <v>Q2 -2025</v>
      </c>
      <c r="E570" s="6">
        <v>45852</v>
      </c>
      <c r="F570" s="6">
        <f t="shared" si="91"/>
        <v>45852</v>
      </c>
      <c r="G570" s="12">
        <f t="shared" si="92"/>
        <v>20</v>
      </c>
      <c r="H570" s="12">
        <f t="shared" si="93"/>
        <v>0</v>
      </c>
      <c r="I570" s="4" t="s">
        <v>649</v>
      </c>
      <c r="J570" s="4" t="s">
        <v>656</v>
      </c>
      <c r="K570" s="4" t="s">
        <v>671</v>
      </c>
      <c r="L570" t="str">
        <f t="shared" si="94"/>
        <v>Europe&gt;Germany&gt;Berlin</v>
      </c>
      <c r="M570" s="4" t="s">
        <v>701</v>
      </c>
      <c r="N570" s="4" t="s">
        <v>711</v>
      </c>
      <c r="O570" s="4" t="s">
        <v>719</v>
      </c>
      <c r="P570" s="4" t="s">
        <v>733</v>
      </c>
      <c r="Q570" s="4" t="s">
        <v>1011</v>
      </c>
      <c r="R570" s="8">
        <v>385.08</v>
      </c>
      <c r="S570" s="8">
        <v>893.19</v>
      </c>
      <c r="T570" s="8">
        <v>893.19</v>
      </c>
      <c r="U570" s="8" t="str">
        <f>IF(T570&lt;=_xlfn.PERCENTILE.INC($T570:$T$633,0.33), "Low", IF(T570&lt;=_xlfn.PERCENTILE.INC($T570:$T$633,0.66), "Medium", "High"))</f>
        <v>Low</v>
      </c>
      <c r="V570" s="10">
        <v>0.151</v>
      </c>
      <c r="W570" s="10">
        <f t="shared" si="95"/>
        <v>0.151</v>
      </c>
      <c r="X570" s="12">
        <v>8</v>
      </c>
      <c r="Y570" s="8">
        <f t="shared" si="88"/>
        <v>6066.54648</v>
      </c>
      <c r="Z570" s="8">
        <f t="shared" si="89"/>
        <v>3080.64</v>
      </c>
      <c r="AA570" s="8">
        <f t="shared" si="96"/>
        <v>2985.9064800000001</v>
      </c>
      <c r="AB570" s="10">
        <f t="shared" si="97"/>
        <v>0.49219213762621666</v>
      </c>
      <c r="AC570" s="14">
        <f>_xlfn.MINIFS($C$2:$C$633, $J$2:$J$633, J570)</f>
        <v>44948</v>
      </c>
      <c r="AD570">
        <f>DATEDIF(AC570, C570, "m")</f>
        <v>29</v>
      </c>
      <c r="AE570" s="8">
        <f t="shared" si="98"/>
        <v>758.31831</v>
      </c>
    </row>
    <row r="571" spans="1:31" x14ac:dyDescent="0.3">
      <c r="A571" s="4" t="s">
        <v>237</v>
      </c>
      <c r="B571" s="6">
        <v>45854</v>
      </c>
      <c r="C571" s="14">
        <v>45854</v>
      </c>
      <c r="D571" s="14" t="str">
        <f t="shared" si="90"/>
        <v>Q3 -2025</v>
      </c>
      <c r="E571" s="6">
        <v>45855</v>
      </c>
      <c r="F571" s="6">
        <f t="shared" si="91"/>
        <v>45855</v>
      </c>
      <c r="G571" s="12">
        <f t="shared" si="92"/>
        <v>1</v>
      </c>
      <c r="H571" s="12">
        <f t="shared" si="93"/>
        <v>1</v>
      </c>
      <c r="I571" s="4" t="s">
        <v>646</v>
      </c>
      <c r="J571" s="4" t="s">
        <v>661</v>
      </c>
      <c r="K571" s="4" t="s">
        <v>687</v>
      </c>
      <c r="L571" t="str">
        <f t="shared" si="94"/>
        <v>Africa&gt;South Africa&gt;Durban</v>
      </c>
      <c r="M571" s="4" t="s">
        <v>705</v>
      </c>
      <c r="N571" s="4" t="s">
        <v>710</v>
      </c>
      <c r="O571" s="4" t="s">
        <v>717</v>
      </c>
      <c r="P571" s="4" t="s">
        <v>729</v>
      </c>
      <c r="Q571" s="4" t="s">
        <v>957</v>
      </c>
      <c r="R571" s="8">
        <v>1198.9000000000001</v>
      </c>
      <c r="S571" s="8">
        <v>2941.2</v>
      </c>
      <c r="T571" s="8">
        <v>2941.2</v>
      </c>
      <c r="U571" s="8" t="str">
        <f>IF(T571&lt;=_xlfn.PERCENTILE.INC($T571:$T$633,0.33), "Low", IF(T571&lt;=_xlfn.PERCENTILE.INC($T571:$T$633,0.66), "Medium", "High"))</f>
        <v>High</v>
      </c>
      <c r="V571" s="10">
        <v>5.0999999999999997E-2</v>
      </c>
      <c r="W571" s="10">
        <f t="shared" si="95"/>
        <v>5.0999999999999997E-2</v>
      </c>
      <c r="X571" s="12">
        <v>24</v>
      </c>
      <c r="Y571" s="8">
        <f t="shared" si="88"/>
        <v>66988.771199999988</v>
      </c>
      <c r="Z571" s="8">
        <f t="shared" si="89"/>
        <v>28773.600000000002</v>
      </c>
      <c r="AA571" s="8">
        <f t="shared" si="96"/>
        <v>38215.171199999982</v>
      </c>
      <c r="AB571" s="10">
        <f t="shared" si="97"/>
        <v>0.57047129713583977</v>
      </c>
      <c r="AC571" s="14">
        <f>_xlfn.MINIFS($C$2:$C$633, $J$2:$J$633, J571)</f>
        <v>44933</v>
      </c>
      <c r="AD571">
        <f>DATEDIF(AC571, C571, "m")</f>
        <v>30</v>
      </c>
      <c r="AE571" s="8">
        <f t="shared" si="98"/>
        <v>2791.1987999999997</v>
      </c>
    </row>
    <row r="572" spans="1:31" x14ac:dyDescent="0.3">
      <c r="A572" s="4" t="s">
        <v>518</v>
      </c>
      <c r="B572" s="6">
        <v>45726</v>
      </c>
      <c r="C572" s="14">
        <v>45726</v>
      </c>
      <c r="D572" s="14" t="str">
        <f t="shared" si="90"/>
        <v>Q1 -2025</v>
      </c>
      <c r="E572" s="6">
        <v>45743</v>
      </c>
      <c r="F572" s="6">
        <f t="shared" si="91"/>
        <v>45743</v>
      </c>
      <c r="G572" s="12">
        <f t="shared" si="92"/>
        <v>17</v>
      </c>
      <c r="H572" s="12">
        <f t="shared" si="93"/>
        <v>0</v>
      </c>
      <c r="I572" s="4" t="s">
        <v>648</v>
      </c>
      <c r="J572" s="4" t="s">
        <v>655</v>
      </c>
      <c r="K572" s="4" t="s">
        <v>692</v>
      </c>
      <c r="L572" t="str">
        <f t="shared" si="94"/>
        <v>Americas&gt;Brazil&gt;Rio de Janeiro</v>
      </c>
      <c r="M572" s="4" t="s">
        <v>706</v>
      </c>
      <c r="N572" s="4" t="s">
        <v>711</v>
      </c>
      <c r="O572" s="4" t="s">
        <v>721</v>
      </c>
      <c r="P572" s="4" t="s">
        <v>729</v>
      </c>
      <c r="Q572" s="4" t="s">
        <v>1237</v>
      </c>
      <c r="R572" s="8">
        <v>996.73</v>
      </c>
      <c r="S572" s="8">
        <v>1217.43</v>
      </c>
      <c r="T572" s="8">
        <v>1217.43</v>
      </c>
      <c r="U572" s="8" t="str">
        <f>IF(T572&lt;=_xlfn.PERCENTILE.INC($T572:$T$633,0.33), "Low", IF(T572&lt;=_xlfn.PERCENTILE.INC($T572:$T$633,0.66), "Medium", "High"))</f>
        <v>Medium</v>
      </c>
      <c r="V572" s="10">
        <v>7.0000000000000007E-2</v>
      </c>
      <c r="W572" s="10">
        <f t="shared" si="95"/>
        <v>7.0000000000000007E-2</v>
      </c>
      <c r="X572" s="12">
        <v>9</v>
      </c>
      <c r="Y572" s="8">
        <f t="shared" si="88"/>
        <v>10189.8891</v>
      </c>
      <c r="Z572" s="8">
        <f t="shared" si="89"/>
        <v>8970.57</v>
      </c>
      <c r="AA572" s="8">
        <f t="shared" si="96"/>
        <v>1219.3191000000006</v>
      </c>
      <c r="AB572" s="10">
        <f t="shared" si="97"/>
        <v>0.11965970267527255</v>
      </c>
      <c r="AC572" s="14">
        <f>_xlfn.MINIFS($C$2:$C$633, $J$2:$J$633, J572)</f>
        <v>44955</v>
      </c>
      <c r="AD572">
        <f>DATEDIF(AC572, C572, "m")</f>
        <v>25</v>
      </c>
      <c r="AE572" s="8">
        <f t="shared" si="98"/>
        <v>1132.2099000000001</v>
      </c>
    </row>
    <row r="573" spans="1:31" x14ac:dyDescent="0.3">
      <c r="A573" s="4" t="s">
        <v>488</v>
      </c>
      <c r="B573" s="6">
        <v>45882</v>
      </c>
      <c r="C573" s="14">
        <v>45882</v>
      </c>
      <c r="D573" s="14" t="str">
        <f t="shared" si="90"/>
        <v>Q3 -2025</v>
      </c>
      <c r="E573" s="6">
        <v>45903</v>
      </c>
      <c r="F573" s="6">
        <f t="shared" si="91"/>
        <v>45903</v>
      </c>
      <c r="G573" s="12">
        <f t="shared" si="92"/>
        <v>21</v>
      </c>
      <c r="H573" s="12">
        <f t="shared" si="93"/>
        <v>0</v>
      </c>
      <c r="I573" s="4" t="s">
        <v>649</v>
      </c>
      <c r="J573" s="4" t="s">
        <v>657</v>
      </c>
      <c r="K573" s="4" t="s">
        <v>690</v>
      </c>
      <c r="L573" t="str">
        <f t="shared" si="94"/>
        <v>Europe&gt;France&gt;Paris</v>
      </c>
      <c r="M573" s="4" t="s">
        <v>702</v>
      </c>
      <c r="N573" s="4" t="s">
        <v>707</v>
      </c>
      <c r="O573" s="4" t="s">
        <v>714</v>
      </c>
      <c r="P573" s="4" t="s">
        <v>730</v>
      </c>
      <c r="Q573" s="4" t="s">
        <v>1207</v>
      </c>
      <c r="R573" s="8">
        <v>603.47</v>
      </c>
      <c r="S573" s="8">
        <v>1344.05</v>
      </c>
      <c r="T573" s="8">
        <v>1344.05</v>
      </c>
      <c r="U573" s="8" t="str">
        <f>IF(T573&lt;=_xlfn.PERCENTILE.INC($T573:$T$633,0.33), "Low", IF(T573&lt;=_xlfn.PERCENTILE.INC($T573:$T$633,0.66), "Medium", "High"))</f>
        <v>Medium</v>
      </c>
      <c r="V573" s="10">
        <v>0.20499999999999999</v>
      </c>
      <c r="W573" s="10">
        <f t="shared" si="95"/>
        <v>0.20499999999999999</v>
      </c>
      <c r="X573" s="12">
        <v>18</v>
      </c>
      <c r="Y573" s="8">
        <f t="shared" si="88"/>
        <v>19233.355499999998</v>
      </c>
      <c r="Z573" s="8">
        <f t="shared" si="89"/>
        <v>10862.460000000001</v>
      </c>
      <c r="AA573" s="8">
        <f t="shared" si="96"/>
        <v>8370.8954999999969</v>
      </c>
      <c r="AB573" s="10">
        <f t="shared" si="97"/>
        <v>0.43522803392262976</v>
      </c>
      <c r="AC573" s="14">
        <f>_xlfn.MINIFS($C$2:$C$633, $J$2:$J$633, J573)</f>
        <v>44936</v>
      </c>
      <c r="AD573">
        <f>DATEDIF(AC573, C573, "m")</f>
        <v>31</v>
      </c>
      <c r="AE573" s="8">
        <f t="shared" si="98"/>
        <v>1068.5197499999999</v>
      </c>
    </row>
    <row r="574" spans="1:31" x14ac:dyDescent="0.3">
      <c r="A574" s="4" t="s">
        <v>612</v>
      </c>
      <c r="B574" s="6">
        <v>45726</v>
      </c>
      <c r="C574" s="14">
        <v>45726</v>
      </c>
      <c r="D574" s="14" t="str">
        <f t="shared" si="90"/>
        <v>Q1 -2025</v>
      </c>
      <c r="E574" s="6">
        <v>45751</v>
      </c>
      <c r="F574" s="6">
        <f t="shared" si="91"/>
        <v>45751</v>
      </c>
      <c r="G574" s="12">
        <f t="shared" si="92"/>
        <v>25</v>
      </c>
      <c r="H574" s="12">
        <f t="shared" si="93"/>
        <v>0</v>
      </c>
      <c r="I574" s="4" t="s">
        <v>647</v>
      </c>
      <c r="J574" s="4" t="s">
        <v>652</v>
      </c>
      <c r="K574" s="4" t="s">
        <v>666</v>
      </c>
      <c r="L574" t="str">
        <f t="shared" si="94"/>
        <v>Asia&gt;Japan&gt;Osaka</v>
      </c>
      <c r="M574" s="4" t="s">
        <v>701</v>
      </c>
      <c r="N574" s="4" t="s">
        <v>711</v>
      </c>
      <c r="O574" s="4" t="s">
        <v>722</v>
      </c>
      <c r="P574" s="4" t="s">
        <v>728</v>
      </c>
      <c r="Q574" s="4" t="s">
        <v>1330</v>
      </c>
      <c r="R574" s="8">
        <v>783.72</v>
      </c>
      <c r="S574" s="8">
        <v>1355.94</v>
      </c>
      <c r="T574" s="8">
        <v>1355.94</v>
      </c>
      <c r="U574" s="8" t="str">
        <f>IF(T574&lt;=_xlfn.PERCENTILE.INC($T574:$T$633,0.33), "Low", IF(T574&lt;=_xlfn.PERCENTILE.INC($T574:$T$633,0.66), "Medium", "High"))</f>
        <v>Medium</v>
      </c>
      <c r="V574" s="10">
        <v>0.187</v>
      </c>
      <c r="W574" s="10">
        <f t="shared" si="95"/>
        <v>0.187</v>
      </c>
      <c r="X574" s="12">
        <v>4</v>
      </c>
      <c r="Y574" s="8">
        <f t="shared" si="88"/>
        <v>4409.5168800000001</v>
      </c>
      <c r="Z574" s="8">
        <f t="shared" si="89"/>
        <v>3134.88</v>
      </c>
      <c r="AA574" s="8">
        <f t="shared" si="96"/>
        <v>1274.63688</v>
      </c>
      <c r="AB574" s="10">
        <f t="shared" si="97"/>
        <v>0.28906497348525856</v>
      </c>
      <c r="AC574" s="14">
        <f>_xlfn.MINIFS($C$2:$C$633, $J$2:$J$633, J574)</f>
        <v>44988</v>
      </c>
      <c r="AD574">
        <f>DATEDIF(AC574, C574, "m")</f>
        <v>24</v>
      </c>
      <c r="AE574" s="8">
        <f t="shared" si="98"/>
        <v>1102.37922</v>
      </c>
    </row>
    <row r="575" spans="1:31" x14ac:dyDescent="0.3">
      <c r="A575" s="4" t="s">
        <v>295</v>
      </c>
      <c r="B575" s="6">
        <v>45730</v>
      </c>
      <c r="C575" s="14">
        <v>45730</v>
      </c>
      <c r="D575" s="14" t="str">
        <f t="shared" si="90"/>
        <v>Q1 -2025</v>
      </c>
      <c r="E575" s="6">
        <v>45745</v>
      </c>
      <c r="F575" s="6">
        <f t="shared" si="91"/>
        <v>45745</v>
      </c>
      <c r="G575" s="12">
        <f t="shared" si="92"/>
        <v>15</v>
      </c>
      <c r="H575" s="12">
        <f t="shared" si="93"/>
        <v>0</v>
      </c>
      <c r="I575" s="4" t="s">
        <v>647</v>
      </c>
      <c r="J575" s="4" t="s">
        <v>652</v>
      </c>
      <c r="K575" s="4" t="s">
        <v>689</v>
      </c>
      <c r="L575" t="str">
        <f t="shared" si="94"/>
        <v>Asia&gt;Japan&gt;Tokyo</v>
      </c>
      <c r="M575" s="4" t="s">
        <v>703</v>
      </c>
      <c r="N575" s="4" t="s">
        <v>711</v>
      </c>
      <c r="O575" s="4" t="s">
        <v>722</v>
      </c>
      <c r="P575" s="4" t="s">
        <v>729</v>
      </c>
      <c r="Q575" s="4" t="s">
        <v>1015</v>
      </c>
      <c r="R575" s="8">
        <v>1106.96</v>
      </c>
      <c r="S575" s="8">
        <v>2726.62</v>
      </c>
      <c r="T575" s="8">
        <v>2726.62</v>
      </c>
      <c r="U575" s="8" t="str">
        <f>IF(T575&lt;=_xlfn.PERCENTILE.INC($T575:$T$633,0.33), "Low", IF(T575&lt;=_xlfn.PERCENTILE.INC($T575:$T$633,0.66), "Medium", "High"))</f>
        <v>High</v>
      </c>
      <c r="V575" s="10">
        <v>0.317</v>
      </c>
      <c r="W575" s="10">
        <f t="shared" si="95"/>
        <v>0.3</v>
      </c>
      <c r="X575" s="12">
        <v>7</v>
      </c>
      <c r="Y575" s="8">
        <f t="shared" si="88"/>
        <v>13360.438</v>
      </c>
      <c r="Z575" s="8">
        <f t="shared" si="89"/>
        <v>7748.72</v>
      </c>
      <c r="AA575" s="8">
        <f t="shared" si="96"/>
        <v>5611.7179999999998</v>
      </c>
      <c r="AB575" s="10">
        <f t="shared" si="97"/>
        <v>0.42002500217432992</v>
      </c>
      <c r="AC575" s="14">
        <f>_xlfn.MINIFS($C$2:$C$633, $J$2:$J$633, J575)</f>
        <v>44988</v>
      </c>
      <c r="AD575">
        <f>DATEDIF(AC575, C575, "m")</f>
        <v>24</v>
      </c>
      <c r="AE575" s="8">
        <f t="shared" si="98"/>
        <v>1908.634</v>
      </c>
    </row>
    <row r="576" spans="1:31" x14ac:dyDescent="0.3">
      <c r="A576" s="4" t="s">
        <v>131</v>
      </c>
      <c r="B576" s="6">
        <v>45811</v>
      </c>
      <c r="C576" s="14">
        <v>45811</v>
      </c>
      <c r="D576" s="14" t="str">
        <f t="shared" si="90"/>
        <v>Q2 -2025</v>
      </c>
      <c r="E576" s="6">
        <v>45818</v>
      </c>
      <c r="F576" s="6">
        <f t="shared" si="91"/>
        <v>45818</v>
      </c>
      <c r="G576" s="12">
        <f t="shared" si="92"/>
        <v>7</v>
      </c>
      <c r="H576" s="12">
        <f t="shared" si="93"/>
        <v>1</v>
      </c>
      <c r="I576" s="4" t="s">
        <v>648</v>
      </c>
      <c r="J576" s="4" t="s">
        <v>653</v>
      </c>
      <c r="K576" s="4" t="s">
        <v>667</v>
      </c>
      <c r="L576" t="str">
        <f t="shared" si="94"/>
        <v>Americas&gt;Canada&gt;Toronto</v>
      </c>
      <c r="M576" s="4" t="s">
        <v>704</v>
      </c>
      <c r="N576" s="4" t="s">
        <v>710</v>
      </c>
      <c r="O576" s="4" t="s">
        <v>719</v>
      </c>
      <c r="P576" s="4" t="s">
        <v>728</v>
      </c>
      <c r="Q576" s="4" t="s">
        <v>850</v>
      </c>
      <c r="R576" s="8">
        <v>75.180000000000007</v>
      </c>
      <c r="S576" s="8">
        <v>53.45</v>
      </c>
      <c r="T576" s="8">
        <v>53.45</v>
      </c>
      <c r="U576" s="8" t="str">
        <f>IF(T576&lt;=_xlfn.PERCENTILE.INC($T576:$T$633,0.33), "Low", IF(T576&lt;=_xlfn.PERCENTILE.INC($T576:$T$633,0.66), "Medium", "High"))</f>
        <v>Low</v>
      </c>
      <c r="V576" s="10">
        <v>0.157</v>
      </c>
      <c r="W576" s="10">
        <f t="shared" si="95"/>
        <v>0.157</v>
      </c>
      <c r="X576" s="12">
        <v>17</v>
      </c>
      <c r="Y576" s="8">
        <f t="shared" si="88"/>
        <v>765.99195000000009</v>
      </c>
      <c r="Z576" s="8">
        <f t="shared" si="89"/>
        <v>1278.0600000000002</v>
      </c>
      <c r="AA576" s="8">
        <f t="shared" si="96"/>
        <v>-512.06805000000008</v>
      </c>
      <c r="AB576" s="10">
        <f t="shared" si="97"/>
        <v>-0.66850317421743144</v>
      </c>
      <c r="AC576" s="14">
        <f>_xlfn.MINIFS($C$2:$C$633, $J$2:$J$633, J576)</f>
        <v>44928</v>
      </c>
      <c r="AD576">
        <f>DATEDIF(AC576, C576, "m")</f>
        <v>29</v>
      </c>
      <c r="AE576" s="8">
        <f t="shared" si="98"/>
        <v>45.058350000000004</v>
      </c>
    </row>
    <row r="577" spans="1:31" x14ac:dyDescent="0.3">
      <c r="A577" s="4" t="s">
        <v>188</v>
      </c>
      <c r="B577" s="6">
        <v>45798</v>
      </c>
      <c r="C577" s="14">
        <v>45798</v>
      </c>
      <c r="D577" s="14" t="str">
        <f t="shared" si="90"/>
        <v>Q2 -2025</v>
      </c>
      <c r="E577" s="6">
        <v>45796</v>
      </c>
      <c r="F577" s="6">
        <f t="shared" si="91"/>
        <v>45803</v>
      </c>
      <c r="G577" s="12">
        <f t="shared" si="92"/>
        <v>5</v>
      </c>
      <c r="H577" s="12">
        <f t="shared" si="93"/>
        <v>1</v>
      </c>
      <c r="I577" s="4" t="s">
        <v>646</v>
      </c>
      <c r="J577" s="4" t="s">
        <v>661</v>
      </c>
      <c r="K577" s="4" t="s">
        <v>682</v>
      </c>
      <c r="L577" t="str">
        <f t="shared" si="94"/>
        <v>Africa&gt;South Africa&gt;Johannesburg</v>
      </c>
      <c r="M577" s="4" t="s">
        <v>703</v>
      </c>
      <c r="N577" s="4" t="s">
        <v>710</v>
      </c>
      <c r="O577" s="4" t="s">
        <v>719</v>
      </c>
      <c r="P577" s="4" t="s">
        <v>731</v>
      </c>
      <c r="Q577" s="4" t="s">
        <v>907</v>
      </c>
      <c r="R577" s="8">
        <v>1263.8399999999999</v>
      </c>
      <c r="S577" s="8">
        <v>2281.7199999999998</v>
      </c>
      <c r="T577" s="8">
        <v>2281.7199999999998</v>
      </c>
      <c r="U577" s="8" t="str">
        <f>IF(T577&lt;=_xlfn.PERCENTILE.INC($T577:$T$633,0.33), "Low", IF(T577&lt;=_xlfn.PERCENTILE.INC($T577:$T$633,0.66), "Medium", "High"))</f>
        <v>High</v>
      </c>
      <c r="V577" s="10">
        <v>7.8E-2</v>
      </c>
      <c r="W577" s="10">
        <f t="shared" si="95"/>
        <v>7.8E-2</v>
      </c>
      <c r="X577" s="12">
        <v>15</v>
      </c>
      <c r="Y577" s="8">
        <f t="shared" si="88"/>
        <v>31556.187599999997</v>
      </c>
      <c r="Z577" s="8">
        <f t="shared" si="89"/>
        <v>18957.599999999999</v>
      </c>
      <c r="AA577" s="8">
        <f t="shared" si="96"/>
        <v>12598.587599999999</v>
      </c>
      <c r="AB577" s="10">
        <f t="shared" si="97"/>
        <v>0.39924301882398494</v>
      </c>
      <c r="AC577" s="14">
        <f>_xlfn.MINIFS($C$2:$C$633, $J$2:$J$633, J577)</f>
        <v>44933</v>
      </c>
      <c r="AD577">
        <f>DATEDIF(AC577, C577, "m")</f>
        <v>28</v>
      </c>
      <c r="AE577" s="8">
        <f t="shared" si="98"/>
        <v>2103.74584</v>
      </c>
    </row>
    <row r="578" spans="1:31" x14ac:dyDescent="0.3">
      <c r="A578" s="4" t="s">
        <v>506</v>
      </c>
      <c r="B578" s="6">
        <v>45861</v>
      </c>
      <c r="C578" s="14">
        <v>45861</v>
      </c>
      <c r="D578" s="14" t="str">
        <f t="shared" si="90"/>
        <v>Q3 -2025</v>
      </c>
      <c r="E578" s="6">
        <v>45888</v>
      </c>
      <c r="F578" s="6">
        <f t="shared" si="91"/>
        <v>45888</v>
      </c>
      <c r="G578" s="12">
        <f t="shared" si="92"/>
        <v>27</v>
      </c>
      <c r="H578" s="12">
        <f t="shared" si="93"/>
        <v>0</v>
      </c>
      <c r="I578" s="4" t="s">
        <v>647</v>
      </c>
      <c r="J578" s="4" t="s">
        <v>652</v>
      </c>
      <c r="K578" s="4" t="s">
        <v>694</v>
      </c>
      <c r="L578" t="str">
        <f t="shared" si="94"/>
        <v>Asia&gt;Japan&gt;Nagoya</v>
      </c>
      <c r="M578" s="4" t="s">
        <v>704</v>
      </c>
      <c r="N578" s="4" t="s">
        <v>709</v>
      </c>
      <c r="O578" s="4" t="s">
        <v>717</v>
      </c>
      <c r="P578" s="4" t="s">
        <v>733</v>
      </c>
      <c r="Q578" s="4" t="s">
        <v>1225</v>
      </c>
      <c r="R578" s="8">
        <v>896.09</v>
      </c>
      <c r="S578" s="8">
        <v>744.27</v>
      </c>
      <c r="T578" s="8">
        <v>744.27</v>
      </c>
      <c r="U578" s="8" t="str">
        <f>IF(T578&lt;=_xlfn.PERCENTILE.INC($T578:$T$633,0.33), "Low", IF(T578&lt;=_xlfn.PERCENTILE.INC($T578:$T$633,0.66), "Medium", "High"))</f>
        <v>Low</v>
      </c>
      <c r="V578" s="10">
        <v>8.3000000000000004E-2</v>
      </c>
      <c r="W578" s="10">
        <f t="shared" si="95"/>
        <v>8.3000000000000004E-2</v>
      </c>
      <c r="X578" s="12">
        <v>11</v>
      </c>
      <c r="Y578" s="8">
        <f t="shared" ref="Y578:Y633" si="99">(T578*X578*(1-W578))</f>
        <v>7507.4514899999995</v>
      </c>
      <c r="Z578" s="8">
        <f t="shared" ref="Z578:Z633" si="100">R578*X578</f>
        <v>9856.99</v>
      </c>
      <c r="AA578" s="8">
        <f t="shared" si="96"/>
        <v>-2349.5385100000003</v>
      </c>
      <c r="AB578" s="10">
        <f t="shared" si="97"/>
        <v>-0.31296086469950679</v>
      </c>
      <c r="AC578" s="14">
        <f>_xlfn.MINIFS($C$2:$C$633, $J$2:$J$633, J578)</f>
        <v>44988</v>
      </c>
      <c r="AD578">
        <f>DATEDIF(AC578, C578, "m")</f>
        <v>28</v>
      </c>
      <c r="AE578" s="8">
        <f t="shared" si="98"/>
        <v>682.49558999999999</v>
      </c>
    </row>
    <row r="579" spans="1:31" x14ac:dyDescent="0.3">
      <c r="A579" s="4" t="s">
        <v>610</v>
      </c>
      <c r="B579" s="6">
        <v>45705</v>
      </c>
      <c r="C579" s="14">
        <v>45705</v>
      </c>
      <c r="D579" s="14" t="str">
        <f t="shared" ref="D579:D633" si="101">IF(MONTH(C579) &lt;=3, "Q1", IF(MONTH(C579)&lt;=6, "Q2", IF(MONTH(C579)&lt;=9, "Q3", "Q4")))&amp; " -" &amp; YEAR(C579)</f>
        <v>Q1 -2025</v>
      </c>
      <c r="E579" s="6">
        <v>45703</v>
      </c>
      <c r="F579" s="6">
        <f t="shared" ref="F579:F633" si="102">IF(E579&lt;B579, E579 + 7, E579)</f>
        <v>45710</v>
      </c>
      <c r="G579" s="12">
        <f t="shared" ref="G579:G633" si="103">DATEDIF(B579, F579,"D")</f>
        <v>5</v>
      </c>
      <c r="H579" s="12">
        <f t="shared" ref="H579:H633" si="104">IF(G579&lt;=7,1,0)</f>
        <v>1</v>
      </c>
      <c r="I579" s="4" t="s">
        <v>648</v>
      </c>
      <c r="J579" s="4" t="s">
        <v>653</v>
      </c>
      <c r="K579" s="4" t="s">
        <v>667</v>
      </c>
      <c r="L579" t="str">
        <f t="shared" ref="L579:L633" si="105">I579&amp;"&gt;"&amp;J579 &amp;"&gt;"&amp;K579</f>
        <v>Americas&gt;Canada&gt;Toronto</v>
      </c>
      <c r="M579" s="4" t="s">
        <v>705</v>
      </c>
      <c r="N579" s="4" t="s">
        <v>707</v>
      </c>
      <c r="O579" s="4" t="s">
        <v>726</v>
      </c>
      <c r="P579" s="4" t="s">
        <v>727</v>
      </c>
      <c r="Q579" s="4" t="s">
        <v>1328</v>
      </c>
      <c r="R579" s="8">
        <v>1133.47</v>
      </c>
      <c r="S579" s="8">
        <v>1698.75</v>
      </c>
      <c r="T579" s="8">
        <v>1698.75</v>
      </c>
      <c r="U579" s="8" t="str">
        <f>IF(T579&lt;=_xlfn.PERCENTILE.INC($T579:$T$633,0.33), "Low", IF(T579&lt;=_xlfn.PERCENTILE.INC($T579:$T$633,0.66), "Medium", "High"))</f>
        <v>Medium</v>
      </c>
      <c r="V579" s="10">
        <v>4.2999999999999997E-2</v>
      </c>
      <c r="W579" s="10">
        <f t="shared" ref="W579:W633" si="106">IF(V579&gt;0.3,0.3,V579)</f>
        <v>4.2999999999999997E-2</v>
      </c>
      <c r="X579" s="12">
        <v>5</v>
      </c>
      <c r="Y579" s="8">
        <f t="shared" si="99"/>
        <v>8128.5187499999993</v>
      </c>
      <c r="Z579" s="8">
        <f t="shared" si="100"/>
        <v>5667.35</v>
      </c>
      <c r="AA579" s="8">
        <f t="shared" ref="AA579:AA633" si="107">Y579-Z579</f>
        <v>2461.1687499999989</v>
      </c>
      <c r="AB579" s="10">
        <f t="shared" ref="AB579:AB634" si="108">IF(Y579 = 0, 0, AA579/Y579)</f>
        <v>0.30278194904821976</v>
      </c>
      <c r="AC579" s="14">
        <f>_xlfn.MINIFS($C$2:$C$633, $J$2:$J$633, J579)</f>
        <v>44928</v>
      </c>
      <c r="AD579">
        <f>DATEDIF(AC579, C579, "m")</f>
        <v>25</v>
      </c>
      <c r="AE579" s="8">
        <f t="shared" ref="AE579:AE633" si="109">(Y579/X579)</f>
        <v>1625.7037499999999</v>
      </c>
    </row>
    <row r="580" spans="1:31" x14ac:dyDescent="0.3">
      <c r="A580" s="4" t="s">
        <v>52</v>
      </c>
      <c r="B580" s="6">
        <v>45832</v>
      </c>
      <c r="C580" s="14">
        <v>45832</v>
      </c>
      <c r="D580" s="14" t="str">
        <f t="shared" si="101"/>
        <v>Q2 -2025</v>
      </c>
      <c r="E580" s="6">
        <v>45848</v>
      </c>
      <c r="F580" s="6">
        <f t="shared" si="102"/>
        <v>45848</v>
      </c>
      <c r="G580" s="12">
        <f t="shared" si="103"/>
        <v>16</v>
      </c>
      <c r="H580" s="12">
        <f t="shared" si="104"/>
        <v>0</v>
      </c>
      <c r="I580" s="4" t="s">
        <v>647</v>
      </c>
      <c r="J580" s="4" t="s">
        <v>659</v>
      </c>
      <c r="K580" s="4" t="s">
        <v>685</v>
      </c>
      <c r="L580" t="str">
        <f t="shared" si="105"/>
        <v>Asia&gt;China&gt;Shanghai</v>
      </c>
      <c r="M580" s="4" t="s">
        <v>706</v>
      </c>
      <c r="N580" s="4" t="s">
        <v>711</v>
      </c>
      <c r="O580" s="4" t="s">
        <v>725</v>
      </c>
      <c r="P580" s="4" t="s">
        <v>727</v>
      </c>
      <c r="Q580" s="4" t="s">
        <v>771</v>
      </c>
      <c r="R580" s="8">
        <v>757.19</v>
      </c>
      <c r="S580" s="8">
        <v>1735.41</v>
      </c>
      <c r="T580" s="8">
        <v>1735.41</v>
      </c>
      <c r="U580" s="8" t="str">
        <f>IF(T580&lt;=_xlfn.PERCENTILE.INC($T580:$T$633,0.33), "Low", IF(T580&lt;=_xlfn.PERCENTILE.INC($T580:$T$633,0.66), "Medium", "High"))</f>
        <v>High</v>
      </c>
      <c r="V580" s="10">
        <v>0.13600000000000001</v>
      </c>
      <c r="W580" s="10">
        <f t="shared" si="106"/>
        <v>0.13600000000000001</v>
      </c>
      <c r="X580" s="12">
        <v>8</v>
      </c>
      <c r="Y580" s="8">
        <f t="shared" si="99"/>
        <v>11995.153920000001</v>
      </c>
      <c r="Z580" s="8">
        <f t="shared" si="100"/>
        <v>6057.52</v>
      </c>
      <c r="AA580" s="8">
        <f t="shared" si="107"/>
        <v>5937.6339200000002</v>
      </c>
      <c r="AB580" s="10">
        <f t="shared" si="108"/>
        <v>0.4950027285685718</v>
      </c>
      <c r="AC580" s="14">
        <f>_xlfn.MINIFS($C$2:$C$633, $J$2:$J$633, J580)</f>
        <v>44938</v>
      </c>
      <c r="AD580">
        <f>DATEDIF(AC580, C580, "m")</f>
        <v>29</v>
      </c>
      <c r="AE580" s="8">
        <f t="shared" si="109"/>
        <v>1499.3942400000001</v>
      </c>
    </row>
    <row r="581" spans="1:31" x14ac:dyDescent="0.3">
      <c r="A581" s="4" t="s">
        <v>109</v>
      </c>
      <c r="B581" s="6">
        <v>45910</v>
      </c>
      <c r="C581" s="14">
        <v>45910</v>
      </c>
      <c r="D581" s="14" t="str">
        <f t="shared" si="101"/>
        <v>Q3 -2025</v>
      </c>
      <c r="E581" s="6">
        <v>45930</v>
      </c>
      <c r="F581" s="6">
        <f t="shared" si="102"/>
        <v>45930</v>
      </c>
      <c r="G581" s="12">
        <f t="shared" si="103"/>
        <v>20</v>
      </c>
      <c r="H581" s="12">
        <f t="shared" si="104"/>
        <v>0</v>
      </c>
      <c r="I581" s="4" t="s">
        <v>646</v>
      </c>
      <c r="J581" s="4" t="s">
        <v>650</v>
      </c>
      <c r="K581" s="4" t="s">
        <v>675</v>
      </c>
      <c r="L581" t="str">
        <f t="shared" si="105"/>
        <v>Africa&gt;Kenya&gt;Mombasa</v>
      </c>
      <c r="M581" s="4" t="s">
        <v>701</v>
      </c>
      <c r="N581" s="4" t="s">
        <v>711</v>
      </c>
      <c r="O581" s="4" t="s">
        <v>716</v>
      </c>
      <c r="P581" s="4" t="s">
        <v>730</v>
      </c>
      <c r="Q581" s="4" t="s">
        <v>828</v>
      </c>
      <c r="R581" s="8">
        <v>1009.48</v>
      </c>
      <c r="S581" s="8">
        <v>1088.81</v>
      </c>
      <c r="T581" s="8">
        <v>1088.81</v>
      </c>
      <c r="U581" s="8" t="str">
        <f>IF(T581&lt;=_xlfn.PERCENTILE.INC($T581:$T$633,0.33), "Low", IF(T581&lt;=_xlfn.PERCENTILE.INC($T581:$T$633,0.66), "Medium", "High"))</f>
        <v>Medium</v>
      </c>
      <c r="V581" s="10">
        <v>0.16</v>
      </c>
      <c r="W581" s="10">
        <f t="shared" si="106"/>
        <v>0.16</v>
      </c>
      <c r="X581" s="12">
        <v>6</v>
      </c>
      <c r="Y581" s="8">
        <f t="shared" si="99"/>
        <v>5487.6023999999998</v>
      </c>
      <c r="Z581" s="8">
        <f t="shared" si="100"/>
        <v>6056.88</v>
      </c>
      <c r="AA581" s="8">
        <f t="shared" si="107"/>
        <v>-569.27760000000035</v>
      </c>
      <c r="AB581" s="10">
        <f t="shared" si="108"/>
        <v>-0.10373885688219693</v>
      </c>
      <c r="AC581" s="14">
        <f>_xlfn.MINIFS($C$2:$C$633, $J$2:$J$633, J581)</f>
        <v>44946</v>
      </c>
      <c r="AD581">
        <f>DATEDIF(AC581, C581, "m")</f>
        <v>31</v>
      </c>
      <c r="AE581" s="8">
        <f t="shared" si="109"/>
        <v>914.60039999999992</v>
      </c>
    </row>
    <row r="582" spans="1:31" x14ac:dyDescent="0.3">
      <c r="A582" s="4" t="s">
        <v>645</v>
      </c>
      <c r="B582" s="6">
        <v>45716</v>
      </c>
      <c r="C582" s="14">
        <v>45716</v>
      </c>
      <c r="D582" s="14" t="str">
        <f t="shared" si="101"/>
        <v>Q1 -2025</v>
      </c>
      <c r="E582" s="6">
        <v>45726</v>
      </c>
      <c r="F582" s="6">
        <f t="shared" si="102"/>
        <v>45726</v>
      </c>
      <c r="G582" s="12">
        <f t="shared" si="103"/>
        <v>10</v>
      </c>
      <c r="H582" s="12">
        <f t="shared" si="104"/>
        <v>0</v>
      </c>
      <c r="I582" s="4" t="s">
        <v>647</v>
      </c>
      <c r="J582" s="4" t="s">
        <v>652</v>
      </c>
      <c r="K582" s="4" t="s">
        <v>666</v>
      </c>
      <c r="L582" t="str">
        <f t="shared" si="105"/>
        <v>Asia&gt;Japan&gt;Osaka</v>
      </c>
      <c r="M582" s="4" t="s">
        <v>702</v>
      </c>
      <c r="N582" s="4" t="s">
        <v>710</v>
      </c>
      <c r="O582" s="4" t="s">
        <v>725</v>
      </c>
      <c r="P582" s="4" t="s">
        <v>731</v>
      </c>
      <c r="Q582" s="4" t="s">
        <v>1363</v>
      </c>
      <c r="R582" s="8">
        <v>51.86</v>
      </c>
      <c r="S582" s="8">
        <v>45.98</v>
      </c>
      <c r="T582" s="8">
        <v>45.98</v>
      </c>
      <c r="U582" s="8" t="str">
        <f>IF(T582&lt;=_xlfn.PERCENTILE.INC($T582:$T$633,0.33), "Low", IF(T582&lt;=_xlfn.PERCENTILE.INC($T582:$T$633,0.66), "Medium", "High"))</f>
        <v>Low</v>
      </c>
      <c r="V582" s="10">
        <v>0.17299999999999999</v>
      </c>
      <c r="W582" s="10">
        <f t="shared" si="106"/>
        <v>0.17299999999999999</v>
      </c>
      <c r="X582" s="12">
        <v>7</v>
      </c>
      <c r="Y582" s="8">
        <f t="shared" si="99"/>
        <v>266.17821999999995</v>
      </c>
      <c r="Z582" s="8">
        <f t="shared" si="100"/>
        <v>363.02</v>
      </c>
      <c r="AA582" s="8">
        <f t="shared" si="107"/>
        <v>-96.841780000000028</v>
      </c>
      <c r="AB582" s="10">
        <f t="shared" si="108"/>
        <v>-0.3638230806412337</v>
      </c>
      <c r="AC582" s="14">
        <f>_xlfn.MINIFS($C$2:$C$633, $J$2:$J$633, J582)</f>
        <v>44988</v>
      </c>
      <c r="AD582">
        <f>DATEDIF(AC582, C582, "m")</f>
        <v>23</v>
      </c>
      <c r="AE582" s="8">
        <f t="shared" si="109"/>
        <v>38.025459999999995</v>
      </c>
    </row>
    <row r="583" spans="1:31" x14ac:dyDescent="0.3">
      <c r="A583" s="4" t="s">
        <v>345</v>
      </c>
      <c r="B583" s="6">
        <v>45914</v>
      </c>
      <c r="C583" s="14">
        <v>45914</v>
      </c>
      <c r="D583" s="14" t="str">
        <f t="shared" si="101"/>
        <v>Q3 -2025</v>
      </c>
      <c r="E583" s="6">
        <v>45926</v>
      </c>
      <c r="F583" s="6">
        <f t="shared" si="102"/>
        <v>45926</v>
      </c>
      <c r="G583" s="12">
        <f t="shared" si="103"/>
        <v>12</v>
      </c>
      <c r="H583" s="12">
        <f t="shared" si="104"/>
        <v>0</v>
      </c>
      <c r="I583" s="4" t="s">
        <v>649</v>
      </c>
      <c r="J583" s="4" t="s">
        <v>658</v>
      </c>
      <c r="K583" s="4" t="s">
        <v>683</v>
      </c>
      <c r="L583" t="str">
        <f t="shared" si="105"/>
        <v>Europe&gt;United Kingdom&gt;London</v>
      </c>
      <c r="M583" s="4" t="s">
        <v>705</v>
      </c>
      <c r="N583" s="4" t="s">
        <v>711</v>
      </c>
      <c r="O583" s="4" t="s">
        <v>725</v>
      </c>
      <c r="P583" s="4" t="s">
        <v>729</v>
      </c>
      <c r="Q583" s="4" t="s">
        <v>1065</v>
      </c>
      <c r="R583" s="8">
        <v>425.15</v>
      </c>
      <c r="S583" s="8">
        <v>885.92</v>
      </c>
      <c r="T583" s="8">
        <v>885.92</v>
      </c>
      <c r="U583" s="8" t="str">
        <f>IF(T583&lt;=_xlfn.PERCENTILE.INC($T583:$T$633,0.33), "Low", IF(T583&lt;=_xlfn.PERCENTILE.INC($T583:$T$633,0.66), "Medium", "High"))</f>
        <v>Low</v>
      </c>
      <c r="V583" s="10">
        <v>0.23899999999999999</v>
      </c>
      <c r="W583" s="10">
        <f t="shared" si="106"/>
        <v>0.23899999999999999</v>
      </c>
      <c r="X583" s="12">
        <v>13</v>
      </c>
      <c r="Y583" s="8">
        <f t="shared" si="99"/>
        <v>8764.4065599999994</v>
      </c>
      <c r="Z583" s="8">
        <f t="shared" si="100"/>
        <v>5526.95</v>
      </c>
      <c r="AA583" s="8">
        <f t="shared" si="107"/>
        <v>3237.4565599999996</v>
      </c>
      <c r="AB583" s="10">
        <f t="shared" si="108"/>
        <v>0.3693868532725848</v>
      </c>
      <c r="AC583" s="14">
        <f>_xlfn.MINIFS($C$2:$C$633, $J$2:$J$633, J583)</f>
        <v>44945</v>
      </c>
      <c r="AD583">
        <f>DATEDIF(AC583, C583, "m")</f>
        <v>31</v>
      </c>
      <c r="AE583" s="8">
        <f t="shared" si="109"/>
        <v>674.18511999999998</v>
      </c>
    </row>
    <row r="584" spans="1:31" x14ac:dyDescent="0.3">
      <c r="A584" s="4" t="s">
        <v>34</v>
      </c>
      <c r="B584" s="6">
        <v>45798</v>
      </c>
      <c r="C584" s="14">
        <v>45798</v>
      </c>
      <c r="D584" s="14" t="str">
        <f t="shared" si="101"/>
        <v>Q2 -2025</v>
      </c>
      <c r="E584" s="6">
        <v>45796</v>
      </c>
      <c r="F584" s="6">
        <f t="shared" si="102"/>
        <v>45803</v>
      </c>
      <c r="G584" s="12">
        <f t="shared" si="103"/>
        <v>5</v>
      </c>
      <c r="H584" s="12">
        <f t="shared" si="104"/>
        <v>1</v>
      </c>
      <c r="I584" s="4" t="s">
        <v>649</v>
      </c>
      <c r="J584" s="4" t="s">
        <v>658</v>
      </c>
      <c r="K584" s="4" t="s">
        <v>674</v>
      </c>
      <c r="L584" t="str">
        <f t="shared" si="105"/>
        <v>Europe&gt;United Kingdom&gt;Birmingham</v>
      </c>
      <c r="M584" s="4" t="s">
        <v>706</v>
      </c>
      <c r="N584" s="4" t="s">
        <v>708</v>
      </c>
      <c r="O584" s="4" t="s">
        <v>724</v>
      </c>
      <c r="P584" s="4" t="s">
        <v>731</v>
      </c>
      <c r="Q584" s="4" t="s">
        <v>753</v>
      </c>
      <c r="R584" s="8">
        <v>1015.16</v>
      </c>
      <c r="S584" s="8">
        <v>2148.14</v>
      </c>
      <c r="T584" s="8">
        <v>2148.14</v>
      </c>
      <c r="U584" s="8" t="str">
        <f>IF(T584&lt;=_xlfn.PERCENTILE.INC($T584:$T$633,0.33), "Low", IF(T584&lt;=_xlfn.PERCENTILE.INC($T584:$T$633,0.66), "Medium", "High"))</f>
        <v>High</v>
      </c>
      <c r="V584" s="10">
        <v>3.7999999999999999E-2</v>
      </c>
      <c r="W584" s="10">
        <f t="shared" si="106"/>
        <v>3.7999999999999999E-2</v>
      </c>
      <c r="X584" s="12">
        <v>19</v>
      </c>
      <c r="Y584" s="8">
        <f t="shared" si="99"/>
        <v>39263.702919999996</v>
      </c>
      <c r="Z584" s="8">
        <f t="shared" si="100"/>
        <v>19288.04</v>
      </c>
      <c r="AA584" s="8">
        <f t="shared" si="107"/>
        <v>19975.662919999995</v>
      </c>
      <c r="AB584" s="10">
        <f t="shared" si="108"/>
        <v>0.50875647059322227</v>
      </c>
      <c r="AC584" s="14">
        <f>_xlfn.MINIFS($C$2:$C$633, $J$2:$J$633, J584)</f>
        <v>44945</v>
      </c>
      <c r="AD584">
        <f>DATEDIF(AC584, C584, "m")</f>
        <v>28</v>
      </c>
      <c r="AE584" s="8">
        <f t="shared" si="109"/>
        <v>2066.5106799999999</v>
      </c>
    </row>
    <row r="585" spans="1:31" x14ac:dyDescent="0.3">
      <c r="A585" s="4" t="s">
        <v>617</v>
      </c>
      <c r="B585" s="6">
        <v>45793</v>
      </c>
      <c r="C585" s="14">
        <v>45793</v>
      </c>
      <c r="D585" s="14" t="str">
        <f t="shared" si="101"/>
        <v>Q2 -2025</v>
      </c>
      <c r="E585" s="6">
        <v>45795</v>
      </c>
      <c r="F585" s="6">
        <f t="shared" si="102"/>
        <v>45795</v>
      </c>
      <c r="G585" s="12">
        <f t="shared" si="103"/>
        <v>2</v>
      </c>
      <c r="H585" s="12">
        <f t="shared" si="104"/>
        <v>1</v>
      </c>
      <c r="I585" s="4" t="s">
        <v>647</v>
      </c>
      <c r="J585" s="4" t="s">
        <v>652</v>
      </c>
      <c r="K585" s="4" t="s">
        <v>689</v>
      </c>
      <c r="L585" t="str">
        <f t="shared" si="105"/>
        <v>Asia&gt;Japan&gt;Tokyo</v>
      </c>
      <c r="M585" s="4" t="s">
        <v>706</v>
      </c>
      <c r="N585" s="4" t="s">
        <v>707</v>
      </c>
      <c r="O585" s="4" t="s">
        <v>713</v>
      </c>
      <c r="P585" s="4" t="s">
        <v>728</v>
      </c>
      <c r="Q585" s="4" t="s">
        <v>1335</v>
      </c>
      <c r="R585" s="8">
        <v>1144.3800000000001</v>
      </c>
      <c r="S585" s="8">
        <v>2755.04</v>
      </c>
      <c r="T585" s="8">
        <v>2755.04</v>
      </c>
      <c r="U585" s="8" t="str">
        <f>IF(T585&lt;=_xlfn.PERCENTILE.INC($T585:$T$633,0.33), "Low", IF(T585&lt;=_xlfn.PERCENTILE.INC($T585:$T$633,0.66), "Medium", "High"))</f>
        <v>High</v>
      </c>
      <c r="V585" s="10">
        <v>0.15</v>
      </c>
      <c r="W585" s="10">
        <f t="shared" si="106"/>
        <v>0.15</v>
      </c>
      <c r="X585" s="12">
        <v>17</v>
      </c>
      <c r="Y585" s="8">
        <f t="shared" si="99"/>
        <v>39810.328000000001</v>
      </c>
      <c r="Z585" s="8">
        <f t="shared" si="100"/>
        <v>19454.460000000003</v>
      </c>
      <c r="AA585" s="8">
        <f t="shared" si="107"/>
        <v>20355.867999999999</v>
      </c>
      <c r="AB585" s="10">
        <f t="shared" si="108"/>
        <v>0.51132128326096682</v>
      </c>
      <c r="AC585" s="14">
        <f>_xlfn.MINIFS($C$2:$C$633, $J$2:$J$633, J585)</f>
        <v>44988</v>
      </c>
      <c r="AD585">
        <f>DATEDIF(AC585, C585, "m")</f>
        <v>26</v>
      </c>
      <c r="AE585" s="8">
        <f t="shared" si="109"/>
        <v>2341.7840000000001</v>
      </c>
    </row>
    <row r="586" spans="1:31" x14ac:dyDescent="0.3">
      <c r="A586" s="4" t="s">
        <v>305</v>
      </c>
      <c r="B586" s="6">
        <v>45746</v>
      </c>
      <c r="C586" s="14">
        <v>45746</v>
      </c>
      <c r="D586" s="14" t="str">
        <f t="shared" si="101"/>
        <v>Q1 -2025</v>
      </c>
      <c r="E586" s="6">
        <v>45754</v>
      </c>
      <c r="F586" s="6">
        <f t="shared" si="102"/>
        <v>45754</v>
      </c>
      <c r="G586" s="12">
        <f t="shared" si="103"/>
        <v>8</v>
      </c>
      <c r="H586" s="12">
        <f t="shared" si="104"/>
        <v>0</v>
      </c>
      <c r="I586" s="4" t="s">
        <v>648</v>
      </c>
      <c r="J586" s="4" t="s">
        <v>655</v>
      </c>
      <c r="K586" s="4" t="s">
        <v>670</v>
      </c>
      <c r="L586" t="str">
        <f t="shared" si="105"/>
        <v>Americas&gt;Brazil&gt;São Paulo</v>
      </c>
      <c r="M586" s="4" t="s">
        <v>703</v>
      </c>
      <c r="N586" s="4" t="s">
        <v>711</v>
      </c>
      <c r="O586" s="4" t="s">
        <v>716</v>
      </c>
      <c r="P586" s="4" t="s">
        <v>728</v>
      </c>
      <c r="Q586" s="4" t="s">
        <v>1025</v>
      </c>
      <c r="R586" s="8">
        <v>71.62</v>
      </c>
      <c r="S586" s="8">
        <v>118.37</v>
      </c>
      <c r="T586" s="8">
        <v>118.37</v>
      </c>
      <c r="U586" s="8" t="str">
        <f>IF(T586&lt;=_xlfn.PERCENTILE.INC($T586:$T$633,0.33), "Low", IF(T586&lt;=_xlfn.PERCENTILE.INC($T586:$T$633,0.66), "Medium", "High"))</f>
        <v>Low</v>
      </c>
      <c r="V586" s="10">
        <v>0.156</v>
      </c>
      <c r="W586" s="10">
        <f t="shared" si="106"/>
        <v>0.156</v>
      </c>
      <c r="X586" s="12">
        <v>11</v>
      </c>
      <c r="Y586" s="8">
        <f t="shared" si="99"/>
        <v>1098.9470800000001</v>
      </c>
      <c r="Z586" s="8">
        <f t="shared" si="100"/>
        <v>787.82</v>
      </c>
      <c r="AA586" s="8">
        <f t="shared" si="107"/>
        <v>311.12708000000009</v>
      </c>
      <c r="AB586" s="10">
        <f t="shared" si="108"/>
        <v>0.28311379652603474</v>
      </c>
      <c r="AC586" s="14">
        <f>_xlfn.MINIFS($C$2:$C$633, $J$2:$J$633, J586)</f>
        <v>44955</v>
      </c>
      <c r="AD586">
        <f>DATEDIF(AC586, C586, "m")</f>
        <v>26</v>
      </c>
      <c r="AE586" s="8">
        <f t="shared" si="109"/>
        <v>99.904280000000014</v>
      </c>
    </row>
    <row r="587" spans="1:31" x14ac:dyDescent="0.3">
      <c r="A587" s="4" t="s">
        <v>245</v>
      </c>
      <c r="B587" s="6">
        <v>45771</v>
      </c>
      <c r="C587" s="14">
        <v>45771</v>
      </c>
      <c r="D587" s="14" t="str">
        <f t="shared" si="101"/>
        <v>Q2 -2025</v>
      </c>
      <c r="E587" s="6">
        <v>45783</v>
      </c>
      <c r="F587" s="6">
        <f t="shared" si="102"/>
        <v>45783</v>
      </c>
      <c r="G587" s="12">
        <f t="shared" si="103"/>
        <v>12</v>
      </c>
      <c r="H587" s="12">
        <f t="shared" si="104"/>
        <v>0</v>
      </c>
      <c r="I587" s="4" t="s">
        <v>648</v>
      </c>
      <c r="J587" s="4" t="s">
        <v>655</v>
      </c>
      <c r="K587" s="4" t="s">
        <v>672</v>
      </c>
      <c r="L587" t="str">
        <f t="shared" si="105"/>
        <v>Americas&gt;Brazil&gt;Brasília</v>
      </c>
      <c r="M587" s="4" t="s">
        <v>704</v>
      </c>
      <c r="N587" s="4" t="s">
        <v>708</v>
      </c>
      <c r="O587" s="4" t="s">
        <v>712</v>
      </c>
      <c r="P587" s="4" t="s">
        <v>730</v>
      </c>
      <c r="Q587" s="4" t="s">
        <v>965</v>
      </c>
      <c r="R587" s="8">
        <v>394.13</v>
      </c>
      <c r="S587" s="8">
        <v>932.29</v>
      </c>
      <c r="T587" s="8">
        <v>932.29</v>
      </c>
      <c r="U587" s="8" t="str">
        <f>IF(T587&lt;=_xlfn.PERCENTILE.INC($T587:$T$633,0.33), "Low", IF(T587&lt;=_xlfn.PERCENTILE.INC($T587:$T$633,0.66), "Medium", "High"))</f>
        <v>Low</v>
      </c>
      <c r="V587" s="10">
        <v>0.109</v>
      </c>
      <c r="W587" s="10">
        <f t="shared" si="106"/>
        <v>0.109</v>
      </c>
      <c r="X587" s="12">
        <v>7</v>
      </c>
      <c r="Y587" s="8">
        <f t="shared" si="99"/>
        <v>5814.6927299999998</v>
      </c>
      <c r="Z587" s="8">
        <f t="shared" si="100"/>
        <v>2758.91</v>
      </c>
      <c r="AA587" s="8">
        <f t="shared" si="107"/>
        <v>3055.7827299999999</v>
      </c>
      <c r="AB587" s="10">
        <f t="shared" si="108"/>
        <v>0.5255278089303268</v>
      </c>
      <c r="AC587" s="14">
        <f>_xlfn.MINIFS($C$2:$C$633, $J$2:$J$633, J587)</f>
        <v>44955</v>
      </c>
      <c r="AD587">
        <f>DATEDIF(AC587, C587, "m")</f>
        <v>26</v>
      </c>
      <c r="AE587" s="8">
        <f t="shared" si="109"/>
        <v>830.67039</v>
      </c>
    </row>
    <row r="588" spans="1:31" x14ac:dyDescent="0.3">
      <c r="A588" s="4" t="s">
        <v>234</v>
      </c>
      <c r="B588" s="6">
        <v>45894</v>
      </c>
      <c r="C588" s="14">
        <v>45894</v>
      </c>
      <c r="D588" s="14" t="str">
        <f t="shared" si="101"/>
        <v>Q3 -2025</v>
      </c>
      <c r="E588" s="6">
        <v>45924</v>
      </c>
      <c r="F588" s="6">
        <f t="shared" si="102"/>
        <v>45924</v>
      </c>
      <c r="G588" s="12">
        <f t="shared" si="103"/>
        <v>30</v>
      </c>
      <c r="H588" s="12">
        <f t="shared" si="104"/>
        <v>0</v>
      </c>
      <c r="I588" s="4" t="s">
        <v>646</v>
      </c>
      <c r="J588" s="4" t="s">
        <v>650</v>
      </c>
      <c r="K588" s="4" t="s">
        <v>664</v>
      </c>
      <c r="L588" t="str">
        <f t="shared" si="105"/>
        <v>Africa&gt;Kenya&gt;Nairobi</v>
      </c>
      <c r="M588" s="4" t="s">
        <v>704</v>
      </c>
      <c r="N588" s="4" t="s">
        <v>711</v>
      </c>
      <c r="O588" s="4" t="s">
        <v>717</v>
      </c>
      <c r="P588" s="4" t="s">
        <v>727</v>
      </c>
      <c r="Q588" s="4" t="s">
        <v>954</v>
      </c>
      <c r="R588" s="8">
        <v>589.14</v>
      </c>
      <c r="S588" s="8">
        <v>1300.58</v>
      </c>
      <c r="T588" s="8">
        <v>1300.58</v>
      </c>
      <c r="U588" s="8" t="str">
        <f>IF(T588&lt;=_xlfn.PERCENTILE.INC($T588:$T$633,0.33), "Low", IF(T588&lt;=_xlfn.PERCENTILE.INC($T588:$T$633,0.66), "Medium", "High"))</f>
        <v>Medium</v>
      </c>
      <c r="V588" s="10">
        <v>5.5E-2</v>
      </c>
      <c r="W588" s="10">
        <f t="shared" si="106"/>
        <v>5.5E-2</v>
      </c>
      <c r="X588" s="12">
        <v>11</v>
      </c>
      <c r="Y588" s="8">
        <f t="shared" si="99"/>
        <v>13519.529099999998</v>
      </c>
      <c r="Z588" s="8">
        <f t="shared" si="100"/>
        <v>6480.54</v>
      </c>
      <c r="AA588" s="8">
        <f t="shared" si="107"/>
        <v>7038.989099999998</v>
      </c>
      <c r="AB588" s="10">
        <f t="shared" si="108"/>
        <v>0.52065342275863724</v>
      </c>
      <c r="AC588" s="14">
        <f>_xlfn.MINIFS($C$2:$C$633, $J$2:$J$633, J588)</f>
        <v>44946</v>
      </c>
      <c r="AD588">
        <f>DATEDIF(AC588, C588, "m")</f>
        <v>31</v>
      </c>
      <c r="AE588" s="8">
        <f t="shared" si="109"/>
        <v>1229.0480999999997</v>
      </c>
    </row>
    <row r="589" spans="1:31" x14ac:dyDescent="0.3">
      <c r="A589" s="4" t="s">
        <v>74</v>
      </c>
      <c r="B589" s="6">
        <v>45779</v>
      </c>
      <c r="C589" s="14">
        <v>45779</v>
      </c>
      <c r="D589" s="14" t="str">
        <f t="shared" si="101"/>
        <v>Q2 -2025</v>
      </c>
      <c r="E589" s="6">
        <v>45790</v>
      </c>
      <c r="F589" s="6">
        <f t="shared" si="102"/>
        <v>45790</v>
      </c>
      <c r="G589" s="12">
        <f t="shared" si="103"/>
        <v>11</v>
      </c>
      <c r="H589" s="12">
        <f t="shared" si="104"/>
        <v>0</v>
      </c>
      <c r="I589" s="4" t="s">
        <v>646</v>
      </c>
      <c r="J589" s="4" t="s">
        <v>650</v>
      </c>
      <c r="K589" s="4" t="s">
        <v>678</v>
      </c>
      <c r="L589" t="str">
        <f t="shared" si="105"/>
        <v>Africa&gt;Kenya&gt;Nakuru</v>
      </c>
      <c r="M589" s="4" t="s">
        <v>705</v>
      </c>
      <c r="N589" s="4" t="s">
        <v>708</v>
      </c>
      <c r="O589" s="4" t="s">
        <v>720</v>
      </c>
      <c r="P589" s="4" t="s">
        <v>733</v>
      </c>
      <c r="Q589" s="4" t="s">
        <v>793</v>
      </c>
      <c r="R589" s="8">
        <v>1057.5999999999999</v>
      </c>
      <c r="S589" s="8">
        <v>1437.06</v>
      </c>
      <c r="T589" s="8">
        <v>1437.06</v>
      </c>
      <c r="U589" s="8" t="str">
        <f>IF(T589&lt;=_xlfn.PERCENTILE.INC($T589:$T$633,0.33), "Low", IF(T589&lt;=_xlfn.PERCENTILE.INC($T589:$T$633,0.66), "Medium", "High"))</f>
        <v>Medium</v>
      </c>
      <c r="V589" s="10">
        <v>0.20499999999999999</v>
      </c>
      <c r="W589" s="10">
        <f t="shared" si="106"/>
        <v>0.20499999999999999</v>
      </c>
      <c r="X589" s="12">
        <v>4</v>
      </c>
      <c r="Y589" s="8">
        <f t="shared" si="99"/>
        <v>4569.8508000000002</v>
      </c>
      <c r="Z589" s="8">
        <f t="shared" si="100"/>
        <v>4230.3999999999996</v>
      </c>
      <c r="AA589" s="8">
        <f t="shared" si="107"/>
        <v>339.45080000000053</v>
      </c>
      <c r="AB589" s="10">
        <f t="shared" si="108"/>
        <v>7.4280499485891424E-2</v>
      </c>
      <c r="AC589" s="14">
        <f>_xlfn.MINIFS($C$2:$C$633, $J$2:$J$633, J589)</f>
        <v>44946</v>
      </c>
      <c r="AD589">
        <f>DATEDIF(AC589, C589, "m")</f>
        <v>27</v>
      </c>
      <c r="AE589" s="8">
        <f t="shared" si="109"/>
        <v>1142.4627</v>
      </c>
    </row>
    <row r="590" spans="1:31" x14ac:dyDescent="0.3">
      <c r="A590" s="4" t="s">
        <v>70</v>
      </c>
      <c r="B590" s="6">
        <v>45753</v>
      </c>
      <c r="C590" s="14">
        <v>45753</v>
      </c>
      <c r="D590" s="14" t="str">
        <f t="shared" si="101"/>
        <v>Q2 -2025</v>
      </c>
      <c r="E590" s="6">
        <v>45777</v>
      </c>
      <c r="F590" s="6">
        <f t="shared" si="102"/>
        <v>45777</v>
      </c>
      <c r="G590" s="12">
        <f t="shared" si="103"/>
        <v>24</v>
      </c>
      <c r="H590" s="12">
        <f t="shared" si="104"/>
        <v>0</v>
      </c>
      <c r="I590" s="4" t="s">
        <v>648</v>
      </c>
      <c r="J590" s="4" t="s">
        <v>655</v>
      </c>
      <c r="K590" s="4" t="s">
        <v>672</v>
      </c>
      <c r="L590" t="str">
        <f t="shared" si="105"/>
        <v>Americas&gt;Brazil&gt;Brasília</v>
      </c>
      <c r="M590" s="4" t="s">
        <v>702</v>
      </c>
      <c r="N590" s="4" t="s">
        <v>708</v>
      </c>
      <c r="O590" s="4" t="s">
        <v>723</v>
      </c>
      <c r="P590" s="4" t="s">
        <v>732</v>
      </c>
      <c r="Q590" s="4" t="s">
        <v>789</v>
      </c>
      <c r="R590" s="8">
        <v>855.78</v>
      </c>
      <c r="S590" s="8">
        <v>977.38</v>
      </c>
      <c r="T590" s="8">
        <v>977.38</v>
      </c>
      <c r="U590" s="8" t="str">
        <f>IF(T590&lt;=_xlfn.PERCENTILE.INC($T590:$T$633,0.33), "Low", IF(T590&lt;=_xlfn.PERCENTILE.INC($T590:$T$633,0.66), "Medium", "High"))</f>
        <v>Medium</v>
      </c>
      <c r="V590" s="10">
        <v>0.14699999999999999</v>
      </c>
      <c r="W590" s="10">
        <f t="shared" si="106"/>
        <v>0.14699999999999999</v>
      </c>
      <c r="X590" s="12">
        <v>38</v>
      </c>
      <c r="Y590" s="8">
        <f t="shared" si="99"/>
        <v>31680.795320000001</v>
      </c>
      <c r="Z590" s="8">
        <f t="shared" si="100"/>
        <v>32519.64</v>
      </c>
      <c r="AA590" s="8">
        <f t="shared" si="107"/>
        <v>-838.84467999999833</v>
      </c>
      <c r="AB590" s="10">
        <f t="shared" si="108"/>
        <v>-2.6478018355506307E-2</v>
      </c>
      <c r="AC590" s="14">
        <f>_xlfn.MINIFS($C$2:$C$633, $J$2:$J$633, J590)</f>
        <v>44955</v>
      </c>
      <c r="AD590">
        <f>DATEDIF(AC590, C590, "m")</f>
        <v>26</v>
      </c>
      <c r="AE590" s="8">
        <f t="shared" si="109"/>
        <v>833.70514000000003</v>
      </c>
    </row>
    <row r="591" spans="1:31" x14ac:dyDescent="0.3">
      <c r="A591" s="4" t="s">
        <v>173</v>
      </c>
      <c r="B591" s="6">
        <v>45703</v>
      </c>
      <c r="C591" s="14">
        <v>45703</v>
      </c>
      <c r="D591" s="14" t="str">
        <f t="shared" si="101"/>
        <v>Q1 -2025</v>
      </c>
      <c r="E591" s="6">
        <v>45703</v>
      </c>
      <c r="F591" s="6">
        <f t="shared" si="102"/>
        <v>45703</v>
      </c>
      <c r="G591" s="12">
        <f t="shared" si="103"/>
        <v>0</v>
      </c>
      <c r="H591" s="12">
        <f t="shared" si="104"/>
        <v>1</v>
      </c>
      <c r="I591" s="4" t="s">
        <v>649</v>
      </c>
      <c r="J591" s="4" t="s">
        <v>656</v>
      </c>
      <c r="K591" s="4" t="s">
        <v>698</v>
      </c>
      <c r="L591" t="str">
        <f t="shared" si="105"/>
        <v>Europe&gt;Germany&gt;Frankfurt</v>
      </c>
      <c r="M591" s="4" t="s">
        <v>705</v>
      </c>
      <c r="N591" s="4" t="s">
        <v>709</v>
      </c>
      <c r="O591" s="4" t="s">
        <v>716</v>
      </c>
      <c r="P591" s="4" t="s">
        <v>733</v>
      </c>
      <c r="Q591" s="4" t="s">
        <v>892</v>
      </c>
      <c r="R591" s="8">
        <v>815.83</v>
      </c>
      <c r="S591" s="8">
        <v>1982.18</v>
      </c>
      <c r="T591" s="8">
        <v>1982.18</v>
      </c>
      <c r="U591" s="8" t="str">
        <f>IF(T591&lt;=_xlfn.PERCENTILE.INC($T591:$T$633,0.33), "Low", IF(T591&lt;=_xlfn.PERCENTILE.INC($T591:$T$633,0.66), "Medium", "High"))</f>
        <v>High</v>
      </c>
      <c r="V591" s="10">
        <v>0.127</v>
      </c>
      <c r="W591" s="10">
        <f t="shared" si="106"/>
        <v>0.127</v>
      </c>
      <c r="X591" s="12">
        <v>6</v>
      </c>
      <c r="Y591" s="8">
        <f t="shared" si="99"/>
        <v>10382.65884</v>
      </c>
      <c r="Z591" s="8">
        <f t="shared" si="100"/>
        <v>4894.9800000000005</v>
      </c>
      <c r="AA591" s="8">
        <f t="shared" si="107"/>
        <v>5487.6788399999996</v>
      </c>
      <c r="AB591" s="10">
        <f t="shared" si="108"/>
        <v>0.52854272923408507</v>
      </c>
      <c r="AC591" s="14">
        <f>_xlfn.MINIFS($C$2:$C$633, $J$2:$J$633, J591)</f>
        <v>44948</v>
      </c>
      <c r="AD591">
        <f>DATEDIF(AC591, C591, "m")</f>
        <v>24</v>
      </c>
      <c r="AE591" s="8">
        <f t="shared" si="109"/>
        <v>1730.4431400000001</v>
      </c>
    </row>
    <row r="592" spans="1:31" x14ac:dyDescent="0.3">
      <c r="A592" s="4" t="s">
        <v>546</v>
      </c>
      <c r="B592" s="6">
        <v>45769</v>
      </c>
      <c r="C592" s="14">
        <v>45769</v>
      </c>
      <c r="D592" s="14" t="str">
        <f t="shared" si="101"/>
        <v>Q2 -2025</v>
      </c>
      <c r="E592" s="6">
        <v>45789</v>
      </c>
      <c r="F592" s="6">
        <f t="shared" si="102"/>
        <v>45789</v>
      </c>
      <c r="G592" s="12">
        <f t="shared" si="103"/>
        <v>20</v>
      </c>
      <c r="H592" s="12">
        <f t="shared" si="104"/>
        <v>0</v>
      </c>
      <c r="I592" s="4" t="s">
        <v>649</v>
      </c>
      <c r="J592" s="4" t="s">
        <v>657</v>
      </c>
      <c r="K592" s="4" t="s">
        <v>679</v>
      </c>
      <c r="L592" t="str">
        <f t="shared" si="105"/>
        <v>Europe&gt;France&gt;Lyon</v>
      </c>
      <c r="M592" s="4" t="s">
        <v>706</v>
      </c>
      <c r="N592" s="4" t="s">
        <v>709</v>
      </c>
      <c r="O592" s="4" t="s">
        <v>723</v>
      </c>
      <c r="P592" s="4" t="s">
        <v>732</v>
      </c>
      <c r="Q592" s="4" t="s">
        <v>1265</v>
      </c>
      <c r="R592" s="8">
        <v>59.51</v>
      </c>
      <c r="S592" s="8">
        <v>67.040000000000006</v>
      </c>
      <c r="T592" s="8">
        <v>67.040000000000006</v>
      </c>
      <c r="U592" s="8" t="str">
        <f>IF(T592&lt;=_xlfn.PERCENTILE.INC($T592:$T$633,0.33), "Low", IF(T592&lt;=_xlfn.PERCENTILE.INC($T592:$T$633,0.66), "Medium", "High"))</f>
        <v>Low</v>
      </c>
      <c r="V592" s="10">
        <v>0.114</v>
      </c>
      <c r="W592" s="10">
        <f t="shared" si="106"/>
        <v>0.114</v>
      </c>
      <c r="X592" s="12">
        <v>9</v>
      </c>
      <c r="Y592" s="8">
        <f t="shared" si="99"/>
        <v>534.57695999999999</v>
      </c>
      <c r="Z592" s="8">
        <f t="shared" si="100"/>
        <v>535.59</v>
      </c>
      <c r="AA592" s="8">
        <f t="shared" si="107"/>
        <v>-1.0130400000000463</v>
      </c>
      <c r="AB592" s="10">
        <f t="shared" si="108"/>
        <v>-1.8950311663264469E-3</v>
      </c>
      <c r="AC592" s="14">
        <f>_xlfn.MINIFS($C$2:$C$633, $J$2:$J$633, J592)</f>
        <v>44936</v>
      </c>
      <c r="AD592">
        <f>DATEDIF(AC592, C592, "m")</f>
        <v>27</v>
      </c>
      <c r="AE592" s="8">
        <f t="shared" si="109"/>
        <v>59.397439999999996</v>
      </c>
    </row>
    <row r="593" spans="1:31" x14ac:dyDescent="0.3">
      <c r="A593" s="4" t="s">
        <v>342</v>
      </c>
      <c r="B593" s="6">
        <v>45796</v>
      </c>
      <c r="C593" s="14">
        <v>45796</v>
      </c>
      <c r="D593" s="14" t="str">
        <f t="shared" si="101"/>
        <v>Q2 -2025</v>
      </c>
      <c r="E593" s="6">
        <v>45794</v>
      </c>
      <c r="F593" s="6">
        <f t="shared" si="102"/>
        <v>45801</v>
      </c>
      <c r="G593" s="12">
        <f t="shared" si="103"/>
        <v>5</v>
      </c>
      <c r="H593" s="12">
        <f t="shared" si="104"/>
        <v>1</v>
      </c>
      <c r="I593" s="4" t="s">
        <v>648</v>
      </c>
      <c r="J593" s="4" t="s">
        <v>655</v>
      </c>
      <c r="K593" s="4" t="s">
        <v>670</v>
      </c>
      <c r="L593" t="str">
        <f t="shared" si="105"/>
        <v>Americas&gt;Brazil&gt;São Paulo</v>
      </c>
      <c r="M593" s="4" t="s">
        <v>705</v>
      </c>
      <c r="N593" s="4" t="s">
        <v>710</v>
      </c>
      <c r="O593" s="4" t="s">
        <v>716</v>
      </c>
      <c r="P593" s="4" t="s">
        <v>732</v>
      </c>
      <c r="Q593" s="4" t="s">
        <v>1062</v>
      </c>
      <c r="R593" s="8">
        <v>383.77</v>
      </c>
      <c r="S593" s="8">
        <v>952.56</v>
      </c>
      <c r="T593" s="8">
        <v>952.56</v>
      </c>
      <c r="U593" s="8" t="str">
        <f>IF(T593&lt;=_xlfn.PERCENTILE.INC($T593:$T$633,0.33), "Low", IF(T593&lt;=_xlfn.PERCENTILE.INC($T593:$T$633,0.66), "Medium", "High"))</f>
        <v>Medium</v>
      </c>
      <c r="V593" s="10">
        <v>0.34599999999999997</v>
      </c>
      <c r="W593" s="10">
        <f t="shared" si="106"/>
        <v>0.3</v>
      </c>
      <c r="X593" s="12">
        <v>10</v>
      </c>
      <c r="Y593" s="8">
        <f t="shared" si="99"/>
        <v>6667.9199999999983</v>
      </c>
      <c r="Z593" s="8">
        <f t="shared" si="100"/>
        <v>3837.7</v>
      </c>
      <c r="AA593" s="8">
        <f t="shared" si="107"/>
        <v>2830.2199999999984</v>
      </c>
      <c r="AB593" s="10">
        <f t="shared" si="108"/>
        <v>0.42445320279787385</v>
      </c>
      <c r="AC593" s="14">
        <f>_xlfn.MINIFS($C$2:$C$633, $J$2:$J$633, J593)</f>
        <v>44955</v>
      </c>
      <c r="AD593">
        <f>DATEDIF(AC593, C593, "m")</f>
        <v>27</v>
      </c>
      <c r="AE593" s="8">
        <f t="shared" si="109"/>
        <v>666.7919999999998</v>
      </c>
    </row>
    <row r="594" spans="1:31" x14ac:dyDescent="0.3">
      <c r="A594" s="4" t="s">
        <v>76</v>
      </c>
      <c r="B594" s="6">
        <v>45910</v>
      </c>
      <c r="C594" s="14">
        <v>45910</v>
      </c>
      <c r="D594" s="14" t="str">
        <f t="shared" si="101"/>
        <v>Q3 -2025</v>
      </c>
      <c r="E594" s="6">
        <v>45912</v>
      </c>
      <c r="F594" s="6">
        <f t="shared" si="102"/>
        <v>45912</v>
      </c>
      <c r="G594" s="12">
        <f t="shared" si="103"/>
        <v>2</v>
      </c>
      <c r="H594" s="12">
        <f t="shared" si="104"/>
        <v>1</v>
      </c>
      <c r="I594" s="4" t="s">
        <v>647</v>
      </c>
      <c r="J594" s="4" t="s">
        <v>652</v>
      </c>
      <c r="K594" s="4" t="s">
        <v>689</v>
      </c>
      <c r="L594" t="str">
        <f t="shared" si="105"/>
        <v>Asia&gt;Japan&gt;Tokyo</v>
      </c>
      <c r="M594" s="4" t="s">
        <v>704</v>
      </c>
      <c r="N594" s="4" t="s">
        <v>708</v>
      </c>
      <c r="O594" s="4" t="s">
        <v>719</v>
      </c>
      <c r="P594" s="4" t="s">
        <v>727</v>
      </c>
      <c r="Q594" s="4" t="s">
        <v>795</v>
      </c>
      <c r="R594" s="8">
        <v>1470.15</v>
      </c>
      <c r="S594" s="8">
        <v>2593.7800000000002</v>
      </c>
      <c r="T594" s="8">
        <v>2593.7800000000002</v>
      </c>
      <c r="U594" s="8" t="str">
        <f>IF(T594&lt;=_xlfn.PERCENTILE.INC($T594:$T$633,0.33), "Low", IF(T594&lt;=_xlfn.PERCENTILE.INC($T594:$T$633,0.66), "Medium", "High"))</f>
        <v>High</v>
      </c>
      <c r="V594" s="10">
        <v>0.11</v>
      </c>
      <c r="W594" s="10">
        <f t="shared" si="106"/>
        <v>0.11</v>
      </c>
      <c r="X594" s="12">
        <v>12</v>
      </c>
      <c r="Y594" s="8">
        <f t="shared" si="99"/>
        <v>27701.570400000001</v>
      </c>
      <c r="Z594" s="8">
        <f t="shared" si="100"/>
        <v>17641.800000000003</v>
      </c>
      <c r="AA594" s="8">
        <f t="shared" si="107"/>
        <v>10059.770399999998</v>
      </c>
      <c r="AB594" s="10">
        <f t="shared" si="108"/>
        <v>0.36314801849645306</v>
      </c>
      <c r="AC594" s="14">
        <f>_xlfn.MINIFS($C$2:$C$633, $J$2:$J$633, J594)</f>
        <v>44988</v>
      </c>
      <c r="AD594">
        <f>DATEDIF(AC594, C594, "m")</f>
        <v>30</v>
      </c>
      <c r="AE594" s="8">
        <f t="shared" si="109"/>
        <v>2308.4641999999999</v>
      </c>
    </row>
    <row r="595" spans="1:31" x14ac:dyDescent="0.3">
      <c r="A595" s="4" t="s">
        <v>486</v>
      </c>
      <c r="B595" s="6">
        <v>45841</v>
      </c>
      <c r="C595" s="14">
        <v>45841</v>
      </c>
      <c r="D595" s="14" t="str">
        <f t="shared" si="101"/>
        <v>Q3 -2025</v>
      </c>
      <c r="E595" s="6">
        <v>45861</v>
      </c>
      <c r="F595" s="6">
        <f t="shared" si="102"/>
        <v>45861</v>
      </c>
      <c r="G595" s="12">
        <f t="shared" si="103"/>
        <v>20</v>
      </c>
      <c r="H595" s="12">
        <f t="shared" si="104"/>
        <v>0</v>
      </c>
      <c r="I595" s="4" t="s">
        <v>647</v>
      </c>
      <c r="J595" s="4" t="s">
        <v>659</v>
      </c>
      <c r="K595" s="4" t="s">
        <v>699</v>
      </c>
      <c r="L595" t="str">
        <f t="shared" si="105"/>
        <v>Asia&gt;China&gt;Beijing</v>
      </c>
      <c r="M595" s="4" t="s">
        <v>705</v>
      </c>
      <c r="N595" s="4" t="s">
        <v>708</v>
      </c>
      <c r="O595" s="4" t="s">
        <v>724</v>
      </c>
      <c r="P595" s="4" t="s">
        <v>727</v>
      </c>
      <c r="Q595" s="4" t="s">
        <v>1205</v>
      </c>
      <c r="R595" s="8">
        <v>647.36</v>
      </c>
      <c r="S595" s="8">
        <v>1383.6</v>
      </c>
      <c r="T595" s="8">
        <v>1383.6</v>
      </c>
      <c r="U595" s="8" t="str">
        <f>IF(T595&lt;=_xlfn.PERCENTILE.INC($T595:$T$633,0.33), "Low", IF(T595&lt;=_xlfn.PERCENTILE.INC($T595:$T$633,0.66), "Medium", "High"))</f>
        <v>Medium</v>
      </c>
      <c r="V595" s="10">
        <v>7.3999999999999996E-2</v>
      </c>
      <c r="W595" s="10">
        <f t="shared" si="106"/>
        <v>7.3999999999999996E-2</v>
      </c>
      <c r="X595" s="12">
        <v>12</v>
      </c>
      <c r="Y595" s="8">
        <f t="shared" si="99"/>
        <v>15374.563199999999</v>
      </c>
      <c r="Z595" s="8">
        <f t="shared" si="100"/>
        <v>7768.32</v>
      </c>
      <c r="AA595" s="8">
        <f t="shared" si="107"/>
        <v>7606.243199999999</v>
      </c>
      <c r="AB595" s="10">
        <f t="shared" si="108"/>
        <v>0.49472906000997802</v>
      </c>
      <c r="AC595" s="14">
        <f>_xlfn.MINIFS($C$2:$C$633, $J$2:$J$633, J595)</f>
        <v>44938</v>
      </c>
      <c r="AD595">
        <f>DATEDIF(AC595, C595, "m")</f>
        <v>29</v>
      </c>
      <c r="AE595" s="8">
        <f t="shared" si="109"/>
        <v>1281.2135999999998</v>
      </c>
    </row>
    <row r="596" spans="1:31" x14ac:dyDescent="0.3">
      <c r="A596" s="4" t="s">
        <v>396</v>
      </c>
      <c r="B596" s="6">
        <v>45861</v>
      </c>
      <c r="C596" s="14">
        <v>45861</v>
      </c>
      <c r="D596" s="14" t="str">
        <f t="shared" si="101"/>
        <v>Q3 -2025</v>
      </c>
      <c r="E596" s="6">
        <v>45886</v>
      </c>
      <c r="F596" s="6">
        <f t="shared" si="102"/>
        <v>45886</v>
      </c>
      <c r="G596" s="12">
        <f t="shared" si="103"/>
        <v>25</v>
      </c>
      <c r="H596" s="12">
        <f t="shared" si="104"/>
        <v>0</v>
      </c>
      <c r="I596" s="4" t="s">
        <v>649</v>
      </c>
      <c r="J596" s="4" t="s">
        <v>658</v>
      </c>
      <c r="K596" s="4" t="s">
        <v>674</v>
      </c>
      <c r="L596" t="str">
        <f t="shared" si="105"/>
        <v>Europe&gt;United Kingdom&gt;Birmingham</v>
      </c>
      <c r="M596" s="4" t="s">
        <v>702</v>
      </c>
      <c r="N596" s="4" t="s">
        <v>708</v>
      </c>
      <c r="O596" s="4" t="s">
        <v>714</v>
      </c>
      <c r="P596" s="4" t="s">
        <v>728</v>
      </c>
      <c r="Q596" s="4" t="s">
        <v>1115</v>
      </c>
      <c r="R596" s="8">
        <v>1142.06</v>
      </c>
      <c r="S596" s="8">
        <v>1455</v>
      </c>
      <c r="T596" s="8">
        <v>1455</v>
      </c>
      <c r="U596" s="8" t="str">
        <f>IF(T596&lt;=_xlfn.PERCENTILE.INC($T596:$T$633,0.33), "Low", IF(T596&lt;=_xlfn.PERCENTILE.INC($T596:$T$633,0.66), "Medium", "High"))</f>
        <v>Medium</v>
      </c>
      <c r="V596" s="10">
        <v>7.8E-2</v>
      </c>
      <c r="W596" s="10">
        <f t="shared" si="106"/>
        <v>7.8E-2</v>
      </c>
      <c r="X596" s="12">
        <v>28</v>
      </c>
      <c r="Y596" s="8">
        <f t="shared" si="99"/>
        <v>37562.28</v>
      </c>
      <c r="Z596" s="8">
        <f t="shared" si="100"/>
        <v>31977.68</v>
      </c>
      <c r="AA596" s="8">
        <f t="shared" si="107"/>
        <v>5584.5999999999985</v>
      </c>
      <c r="AB596" s="10">
        <f t="shared" si="108"/>
        <v>0.1486757459877302</v>
      </c>
      <c r="AC596" s="14">
        <f>_xlfn.MINIFS($C$2:$C$633, $J$2:$J$633, J596)</f>
        <v>44945</v>
      </c>
      <c r="AD596">
        <f>DATEDIF(AC596, C596, "m")</f>
        <v>30</v>
      </c>
      <c r="AE596" s="8">
        <f t="shared" si="109"/>
        <v>1341.51</v>
      </c>
    </row>
    <row r="597" spans="1:31" x14ac:dyDescent="0.3">
      <c r="A597" s="4" t="s">
        <v>482</v>
      </c>
      <c r="B597" s="6">
        <v>45809</v>
      </c>
      <c r="C597" s="14">
        <v>45809</v>
      </c>
      <c r="D597" s="14" t="str">
        <f t="shared" si="101"/>
        <v>Q2 -2025</v>
      </c>
      <c r="E597" s="6">
        <v>45813</v>
      </c>
      <c r="F597" s="6">
        <f t="shared" si="102"/>
        <v>45813</v>
      </c>
      <c r="G597" s="12">
        <f t="shared" si="103"/>
        <v>4</v>
      </c>
      <c r="H597" s="12">
        <f t="shared" si="104"/>
        <v>1</v>
      </c>
      <c r="I597" s="4" t="s">
        <v>649</v>
      </c>
      <c r="J597" s="4" t="s">
        <v>656</v>
      </c>
      <c r="K597" s="4" t="s">
        <v>684</v>
      </c>
      <c r="L597" t="str">
        <f t="shared" si="105"/>
        <v>Europe&gt;Germany&gt;Munich</v>
      </c>
      <c r="M597" s="4" t="s">
        <v>706</v>
      </c>
      <c r="N597" s="4" t="s">
        <v>711</v>
      </c>
      <c r="O597" s="4" t="s">
        <v>724</v>
      </c>
      <c r="P597" s="4" t="s">
        <v>727</v>
      </c>
      <c r="Q597" s="4" t="s">
        <v>1201</v>
      </c>
      <c r="R597" s="8">
        <v>1171.42</v>
      </c>
      <c r="S597" s="8">
        <v>2187.8000000000002</v>
      </c>
      <c r="T597" s="8">
        <v>2187.8000000000002</v>
      </c>
      <c r="U597" s="8" t="str">
        <f>IF(T597&lt;=_xlfn.PERCENTILE.INC($T597:$T$633,0.33), "Low", IF(T597&lt;=_xlfn.PERCENTILE.INC($T597:$T$633,0.66), "Medium", "High"))</f>
        <v>High</v>
      </c>
      <c r="V597" s="10">
        <v>0.23</v>
      </c>
      <c r="W597" s="10">
        <f t="shared" si="106"/>
        <v>0.23</v>
      </c>
      <c r="X597" s="12">
        <v>15</v>
      </c>
      <c r="Y597" s="8">
        <f t="shared" si="99"/>
        <v>25269.09</v>
      </c>
      <c r="Z597" s="8">
        <f t="shared" si="100"/>
        <v>17571.300000000003</v>
      </c>
      <c r="AA597" s="8">
        <f t="shared" si="107"/>
        <v>7697.7899999999972</v>
      </c>
      <c r="AB597" s="10">
        <f t="shared" si="108"/>
        <v>0.30463265594447592</v>
      </c>
      <c r="AC597" s="14">
        <f>_xlfn.MINIFS($C$2:$C$633, $J$2:$J$633, J597)</f>
        <v>44948</v>
      </c>
      <c r="AD597">
        <f>DATEDIF(AC597, C597, "m")</f>
        <v>28</v>
      </c>
      <c r="AE597" s="8">
        <f t="shared" si="109"/>
        <v>1684.606</v>
      </c>
    </row>
    <row r="598" spans="1:31" x14ac:dyDescent="0.3">
      <c r="A598" s="4" t="s">
        <v>440</v>
      </c>
      <c r="B598" s="6">
        <v>45897</v>
      </c>
      <c r="C598" s="14">
        <v>45897</v>
      </c>
      <c r="D598" s="14" t="str">
        <f t="shared" si="101"/>
        <v>Q3 -2025</v>
      </c>
      <c r="E598" s="6">
        <v>45905</v>
      </c>
      <c r="F598" s="6">
        <f t="shared" si="102"/>
        <v>45905</v>
      </c>
      <c r="G598" s="12">
        <f t="shared" si="103"/>
        <v>8</v>
      </c>
      <c r="H598" s="12">
        <f t="shared" si="104"/>
        <v>0</v>
      </c>
      <c r="I598" s="4" t="s">
        <v>646</v>
      </c>
      <c r="J598" s="4" t="s">
        <v>651</v>
      </c>
      <c r="K598" s="4" t="s">
        <v>663</v>
      </c>
      <c r="L598" t="str">
        <f t="shared" si="105"/>
        <v>Africa&gt;Nigeria&gt;Port Harcourt</v>
      </c>
      <c r="M598" s="4" t="s">
        <v>705</v>
      </c>
      <c r="N598" s="4" t="s">
        <v>709</v>
      </c>
      <c r="O598" s="4" t="s">
        <v>718</v>
      </c>
      <c r="P598" s="4" t="s">
        <v>731</v>
      </c>
      <c r="Q598" s="4" t="s">
        <v>1159</v>
      </c>
      <c r="R598" s="8">
        <v>1271.0999999999999</v>
      </c>
      <c r="S598" s="8">
        <v>1932.42</v>
      </c>
      <c r="T598" s="8">
        <v>1932.42</v>
      </c>
      <c r="U598" s="8" t="str">
        <f>IF(T598&lt;=_xlfn.PERCENTILE.INC($T598:$T$633,0.33), "Low", IF(T598&lt;=_xlfn.PERCENTILE.INC($T598:$T$633,0.66), "Medium", "High"))</f>
        <v>High</v>
      </c>
      <c r="V598" s="10">
        <v>0.25</v>
      </c>
      <c r="W598" s="10">
        <f t="shared" si="106"/>
        <v>0.25</v>
      </c>
      <c r="X598" s="12">
        <v>21</v>
      </c>
      <c r="Y598" s="8">
        <f t="shared" si="99"/>
        <v>30435.614999999998</v>
      </c>
      <c r="Z598" s="8">
        <f t="shared" si="100"/>
        <v>26693.1</v>
      </c>
      <c r="AA598" s="8">
        <f t="shared" si="107"/>
        <v>3742.5149999999994</v>
      </c>
      <c r="AB598" s="10">
        <f t="shared" si="108"/>
        <v>0.12296498690760807</v>
      </c>
      <c r="AC598" s="14">
        <f>_xlfn.MINIFS($C$2:$C$633, $J$2:$J$633, J598)</f>
        <v>44941</v>
      </c>
      <c r="AD598">
        <f>DATEDIF(AC598, C598, "m")</f>
        <v>31</v>
      </c>
      <c r="AE598" s="8">
        <f t="shared" si="109"/>
        <v>1449.3149999999998</v>
      </c>
    </row>
    <row r="599" spans="1:31" x14ac:dyDescent="0.3">
      <c r="A599" s="4" t="s">
        <v>58</v>
      </c>
      <c r="B599" s="6">
        <v>45806</v>
      </c>
      <c r="C599" s="14">
        <v>45806</v>
      </c>
      <c r="D599" s="14" t="str">
        <f t="shared" si="101"/>
        <v>Q2 -2025</v>
      </c>
      <c r="E599" s="6">
        <v>45828</v>
      </c>
      <c r="F599" s="6">
        <f t="shared" si="102"/>
        <v>45828</v>
      </c>
      <c r="G599" s="12">
        <f t="shared" si="103"/>
        <v>22</v>
      </c>
      <c r="H599" s="12">
        <f t="shared" si="104"/>
        <v>0</v>
      </c>
      <c r="I599" s="4" t="s">
        <v>649</v>
      </c>
      <c r="J599" s="4" t="s">
        <v>656</v>
      </c>
      <c r="K599" s="4" t="s">
        <v>671</v>
      </c>
      <c r="L599" t="str">
        <f t="shared" si="105"/>
        <v>Europe&gt;Germany&gt;Berlin</v>
      </c>
      <c r="M599" s="4" t="s">
        <v>701</v>
      </c>
      <c r="N599" s="4" t="s">
        <v>711</v>
      </c>
      <c r="O599" s="4" t="s">
        <v>720</v>
      </c>
      <c r="P599" s="4" t="s">
        <v>728</v>
      </c>
      <c r="Q599" s="4" t="s">
        <v>777</v>
      </c>
      <c r="R599" s="8">
        <v>483.47</v>
      </c>
      <c r="S599" s="8">
        <v>1135.43</v>
      </c>
      <c r="T599" s="8">
        <v>1135.43</v>
      </c>
      <c r="U599" s="8" t="str">
        <f>IF(T599&lt;=_xlfn.PERCENTILE.INC($T599:$T$633,0.33), "Low", IF(T599&lt;=_xlfn.PERCENTILE.INC($T599:$T$633,0.66), "Medium", "High"))</f>
        <v>Medium</v>
      </c>
      <c r="V599" s="10">
        <v>0.14599999999999999</v>
      </c>
      <c r="W599" s="10">
        <f t="shared" si="106"/>
        <v>0.14599999999999999</v>
      </c>
      <c r="X599" s="12">
        <v>11</v>
      </c>
      <c r="Y599" s="8">
        <f t="shared" si="99"/>
        <v>10666.229420000001</v>
      </c>
      <c r="Z599" s="8">
        <f t="shared" si="100"/>
        <v>5318.17</v>
      </c>
      <c r="AA599" s="8">
        <f t="shared" si="107"/>
        <v>5348.0594200000014</v>
      </c>
      <c r="AB599" s="10">
        <f t="shared" si="108"/>
        <v>0.50140112399719983</v>
      </c>
      <c r="AC599" s="14">
        <f>_xlfn.MINIFS($C$2:$C$633, $J$2:$J$633, J599)</f>
        <v>44948</v>
      </c>
      <c r="AD599">
        <f>DATEDIF(AC599, C599, "m")</f>
        <v>28</v>
      </c>
      <c r="AE599" s="8">
        <f t="shared" si="109"/>
        <v>969.65722000000017</v>
      </c>
    </row>
    <row r="600" spans="1:31" x14ac:dyDescent="0.3">
      <c r="A600" s="4" t="s">
        <v>395</v>
      </c>
      <c r="B600" s="6">
        <v>45876</v>
      </c>
      <c r="C600" s="14">
        <v>45876</v>
      </c>
      <c r="D600" s="14" t="str">
        <f t="shared" si="101"/>
        <v>Q3 -2025</v>
      </c>
      <c r="E600" s="6">
        <v>45906</v>
      </c>
      <c r="F600" s="6">
        <f t="shared" si="102"/>
        <v>45906</v>
      </c>
      <c r="G600" s="12">
        <f t="shared" si="103"/>
        <v>30</v>
      </c>
      <c r="H600" s="12">
        <f t="shared" si="104"/>
        <v>0</v>
      </c>
      <c r="I600" s="4" t="s">
        <v>648</v>
      </c>
      <c r="J600" s="4" t="s">
        <v>653</v>
      </c>
      <c r="K600" s="4" t="s">
        <v>681</v>
      </c>
      <c r="L600" t="str">
        <f t="shared" si="105"/>
        <v>Americas&gt;Canada&gt;Montreal</v>
      </c>
      <c r="M600" s="4" t="s">
        <v>702</v>
      </c>
      <c r="N600" s="4" t="s">
        <v>711</v>
      </c>
      <c r="O600" s="4" t="s">
        <v>724</v>
      </c>
      <c r="P600" s="4" t="s">
        <v>729</v>
      </c>
      <c r="Q600" s="4" t="s">
        <v>1114</v>
      </c>
      <c r="R600" s="8">
        <v>833.73</v>
      </c>
      <c r="S600" s="8">
        <v>1116.5999999999999</v>
      </c>
      <c r="T600" s="8">
        <v>1116.5999999999999</v>
      </c>
      <c r="U600" s="8" t="str">
        <f>IF(T600&lt;=_xlfn.PERCENTILE.INC($T600:$T$633,0.33), "Low", IF(T600&lt;=_xlfn.PERCENTILE.INC($T600:$T$633,0.66), "Medium", "High"))</f>
        <v>Medium</v>
      </c>
      <c r="V600" s="10">
        <v>0.17599999999999999</v>
      </c>
      <c r="W600" s="10">
        <f t="shared" si="106"/>
        <v>0.17599999999999999</v>
      </c>
      <c r="X600" s="12">
        <v>14</v>
      </c>
      <c r="Y600" s="8">
        <f t="shared" si="99"/>
        <v>12881.097599999999</v>
      </c>
      <c r="Z600" s="8">
        <f t="shared" si="100"/>
        <v>11672.220000000001</v>
      </c>
      <c r="AA600" s="8">
        <f t="shared" si="107"/>
        <v>1208.877599999998</v>
      </c>
      <c r="AB600" s="10">
        <f t="shared" si="108"/>
        <v>9.3848958958279924E-2</v>
      </c>
      <c r="AC600" s="14">
        <f>_xlfn.MINIFS($C$2:$C$633, $J$2:$J$633, J600)</f>
        <v>44928</v>
      </c>
      <c r="AD600">
        <f>DATEDIF(AC600, C600, "m")</f>
        <v>31</v>
      </c>
      <c r="AE600" s="8">
        <f t="shared" si="109"/>
        <v>920.07839999999999</v>
      </c>
    </row>
    <row r="601" spans="1:31" x14ac:dyDescent="0.3">
      <c r="A601" s="4" t="s">
        <v>513</v>
      </c>
      <c r="B601" s="6">
        <v>45908</v>
      </c>
      <c r="C601" s="14">
        <v>45908</v>
      </c>
      <c r="D601" s="14" t="str">
        <f t="shared" si="101"/>
        <v>Q3 -2025</v>
      </c>
      <c r="E601" s="6">
        <v>45935</v>
      </c>
      <c r="F601" s="6">
        <f t="shared" si="102"/>
        <v>45935</v>
      </c>
      <c r="G601" s="12">
        <f t="shared" si="103"/>
        <v>27</v>
      </c>
      <c r="H601" s="12">
        <f t="shared" si="104"/>
        <v>0</v>
      </c>
      <c r="I601" s="4" t="s">
        <v>648</v>
      </c>
      <c r="J601" s="4" t="s">
        <v>655</v>
      </c>
      <c r="K601" s="4" t="s">
        <v>692</v>
      </c>
      <c r="L601" t="str">
        <f t="shared" si="105"/>
        <v>Americas&gt;Brazil&gt;Rio de Janeiro</v>
      </c>
      <c r="M601" s="4" t="s">
        <v>702</v>
      </c>
      <c r="N601" s="4" t="s">
        <v>708</v>
      </c>
      <c r="O601" s="4" t="s">
        <v>712</v>
      </c>
      <c r="P601" s="4" t="s">
        <v>732</v>
      </c>
      <c r="Q601" s="4" t="s">
        <v>1232</v>
      </c>
      <c r="R601" s="8">
        <v>660.78</v>
      </c>
      <c r="S601" s="8">
        <v>1630.39</v>
      </c>
      <c r="T601" s="8">
        <v>1630.39</v>
      </c>
      <c r="U601" s="8" t="str">
        <f>IF(T601&lt;=_xlfn.PERCENTILE.INC($T601:$T$633,0.33), "Low", IF(T601&lt;=_xlfn.PERCENTILE.INC($T601:$T$633,0.66), "Medium", "High"))</f>
        <v>Medium</v>
      </c>
      <c r="V601" s="10">
        <v>0.218</v>
      </c>
      <c r="W601" s="10">
        <f t="shared" si="106"/>
        <v>0.218</v>
      </c>
      <c r="X601" s="12">
        <v>13</v>
      </c>
      <c r="Y601" s="8">
        <f t="shared" si="99"/>
        <v>16574.544740000001</v>
      </c>
      <c r="Z601" s="8">
        <f t="shared" si="100"/>
        <v>8590.14</v>
      </c>
      <c r="AA601" s="8">
        <f t="shared" si="107"/>
        <v>7984.4047400000018</v>
      </c>
      <c r="AB601" s="10">
        <f t="shared" si="108"/>
        <v>0.48172694123724097</v>
      </c>
      <c r="AC601" s="14">
        <f>_xlfn.MINIFS($C$2:$C$633, $J$2:$J$633, J601)</f>
        <v>44955</v>
      </c>
      <c r="AD601">
        <f>DATEDIF(AC601, C601, "m")</f>
        <v>31</v>
      </c>
      <c r="AE601" s="8">
        <f t="shared" si="109"/>
        <v>1274.9649800000002</v>
      </c>
    </row>
    <row r="602" spans="1:31" x14ac:dyDescent="0.3">
      <c r="A602" s="4" t="s">
        <v>531</v>
      </c>
      <c r="B602" s="6">
        <v>45794</v>
      </c>
      <c r="C602" s="14">
        <v>45794</v>
      </c>
      <c r="D602" s="14" t="str">
        <f t="shared" si="101"/>
        <v>Q2 -2025</v>
      </c>
      <c r="E602" s="6">
        <v>45807</v>
      </c>
      <c r="F602" s="6">
        <f t="shared" si="102"/>
        <v>45807</v>
      </c>
      <c r="G602" s="12">
        <f t="shared" si="103"/>
        <v>13</v>
      </c>
      <c r="H602" s="12">
        <f t="shared" si="104"/>
        <v>0</v>
      </c>
      <c r="I602" s="4" t="s">
        <v>646</v>
      </c>
      <c r="J602" s="4" t="s">
        <v>651</v>
      </c>
      <c r="K602" s="4" t="s">
        <v>665</v>
      </c>
      <c r="L602" t="str">
        <f t="shared" si="105"/>
        <v>Africa&gt;Nigeria&gt;Lagos</v>
      </c>
      <c r="M602" s="4" t="s">
        <v>704</v>
      </c>
      <c r="N602" s="4" t="s">
        <v>710</v>
      </c>
      <c r="O602" s="4" t="s">
        <v>721</v>
      </c>
      <c r="P602" s="4" t="s">
        <v>733</v>
      </c>
      <c r="Q602" s="4" t="s">
        <v>1250</v>
      </c>
      <c r="R602" s="8">
        <v>66.400000000000006</v>
      </c>
      <c r="S602" s="8">
        <v>141.43</v>
      </c>
      <c r="T602" s="8">
        <v>141.43</v>
      </c>
      <c r="U602" s="8" t="str">
        <f>IF(T602&lt;=_xlfn.PERCENTILE.INC($T602:$T$633,0.33), "Low", IF(T602&lt;=_xlfn.PERCENTILE.INC($T602:$T$633,0.66), "Medium", "High"))</f>
        <v>Low</v>
      </c>
      <c r="V602" s="10">
        <v>0.107</v>
      </c>
      <c r="W602" s="10">
        <f t="shared" si="106"/>
        <v>0.107</v>
      </c>
      <c r="X602" s="12">
        <v>8</v>
      </c>
      <c r="Y602" s="8">
        <f t="shared" si="99"/>
        <v>1010.3759200000001</v>
      </c>
      <c r="Z602" s="8">
        <f t="shared" si="100"/>
        <v>531.20000000000005</v>
      </c>
      <c r="AA602" s="8">
        <f t="shared" si="107"/>
        <v>479.17592000000002</v>
      </c>
      <c r="AB602" s="10">
        <f t="shared" si="108"/>
        <v>0.47425508715607551</v>
      </c>
      <c r="AC602" s="14">
        <f>_xlfn.MINIFS($C$2:$C$633, $J$2:$J$633, J602)</f>
        <v>44941</v>
      </c>
      <c r="AD602">
        <f>DATEDIF(AC602, C602, "m")</f>
        <v>28</v>
      </c>
      <c r="AE602" s="8">
        <f t="shared" si="109"/>
        <v>126.29699000000001</v>
      </c>
    </row>
    <row r="603" spans="1:31" x14ac:dyDescent="0.3">
      <c r="A603" s="4" t="s">
        <v>437</v>
      </c>
      <c r="B603" s="6">
        <v>45915</v>
      </c>
      <c r="C603" s="14">
        <v>45915</v>
      </c>
      <c r="D603" s="14" t="str">
        <f t="shared" si="101"/>
        <v>Q3 -2025</v>
      </c>
      <c r="E603" s="6">
        <v>45925</v>
      </c>
      <c r="F603" s="6">
        <f t="shared" si="102"/>
        <v>45925</v>
      </c>
      <c r="G603" s="12">
        <f t="shared" si="103"/>
        <v>10</v>
      </c>
      <c r="H603" s="12">
        <f t="shared" si="104"/>
        <v>0</v>
      </c>
      <c r="I603" s="4" t="s">
        <v>647</v>
      </c>
      <c r="J603" s="4" t="s">
        <v>654</v>
      </c>
      <c r="K603" s="4" t="s">
        <v>680</v>
      </c>
      <c r="L603" t="str">
        <f t="shared" si="105"/>
        <v>Asia&gt;India&gt;Delhi</v>
      </c>
      <c r="M603" s="4" t="s">
        <v>704</v>
      </c>
      <c r="N603" s="4" t="s">
        <v>707</v>
      </c>
      <c r="O603" s="4" t="s">
        <v>720</v>
      </c>
      <c r="P603" s="4" t="s">
        <v>730</v>
      </c>
      <c r="Q603" s="4" t="s">
        <v>1156</v>
      </c>
      <c r="R603" s="8">
        <v>1488.91</v>
      </c>
      <c r="S603" s="8">
        <v>1483.74</v>
      </c>
      <c r="T603" s="8">
        <v>1483.74</v>
      </c>
      <c r="U603" s="8" t="str">
        <f>IF(T603&lt;=_xlfn.PERCENTILE.INC($T603:$T$633,0.33), "Low", IF(T603&lt;=_xlfn.PERCENTILE.INC($T603:$T$633,0.66), "Medium", "High"))</f>
        <v>Medium</v>
      </c>
      <c r="V603" s="10">
        <v>0.16800000000000001</v>
      </c>
      <c r="W603" s="10">
        <f t="shared" si="106"/>
        <v>0.16800000000000001</v>
      </c>
      <c r="X603" s="12">
        <v>24</v>
      </c>
      <c r="Y603" s="8">
        <f t="shared" si="99"/>
        <v>29627.320319999999</v>
      </c>
      <c r="Z603" s="8">
        <f t="shared" si="100"/>
        <v>35733.840000000004</v>
      </c>
      <c r="AA603" s="8">
        <f t="shared" si="107"/>
        <v>-6106.5196800000049</v>
      </c>
      <c r="AB603" s="10">
        <f t="shared" si="108"/>
        <v>-0.20611110333450519</v>
      </c>
      <c r="AC603" s="14">
        <f>_xlfn.MINIFS($C$2:$C$633, $J$2:$J$633, J603)</f>
        <v>44955</v>
      </c>
      <c r="AD603">
        <f>DATEDIF(AC603, C603, "m")</f>
        <v>31</v>
      </c>
      <c r="AE603" s="8">
        <f t="shared" si="109"/>
        <v>1234.4716799999999</v>
      </c>
    </row>
    <row r="604" spans="1:31" x14ac:dyDescent="0.3">
      <c r="A604" s="4" t="s">
        <v>29</v>
      </c>
      <c r="B604" s="6">
        <v>45901</v>
      </c>
      <c r="C604" s="14">
        <v>45901</v>
      </c>
      <c r="D604" s="14" t="str">
        <f t="shared" si="101"/>
        <v>Q3 -2025</v>
      </c>
      <c r="E604" s="6">
        <v>45930</v>
      </c>
      <c r="F604" s="6">
        <f t="shared" si="102"/>
        <v>45930</v>
      </c>
      <c r="G604" s="12">
        <f t="shared" si="103"/>
        <v>29</v>
      </c>
      <c r="H604" s="12">
        <f t="shared" si="104"/>
        <v>0</v>
      </c>
      <c r="I604" s="4" t="s">
        <v>648</v>
      </c>
      <c r="J604" s="4" t="s">
        <v>655</v>
      </c>
      <c r="K604" s="4" t="s">
        <v>672</v>
      </c>
      <c r="L604" t="str">
        <f t="shared" si="105"/>
        <v>Americas&gt;Brazil&gt;Brasília</v>
      </c>
      <c r="M604" s="4" t="s">
        <v>702</v>
      </c>
      <c r="N604" s="4" t="s">
        <v>707</v>
      </c>
      <c r="O604" s="4" t="s">
        <v>723</v>
      </c>
      <c r="P604" s="4" t="s">
        <v>733</v>
      </c>
      <c r="Q604" s="4" t="s">
        <v>748</v>
      </c>
      <c r="R604" s="8">
        <v>780.59</v>
      </c>
      <c r="S604" s="8">
        <v>631.57000000000005</v>
      </c>
      <c r="T604" s="8">
        <v>631.57000000000005</v>
      </c>
      <c r="U604" s="8" t="str">
        <f>IF(T604&lt;=_xlfn.PERCENTILE.INC($T604:$T$633,0.33), "Low", IF(T604&lt;=_xlfn.PERCENTILE.INC($T604:$T$633,0.66), "Medium", "High"))</f>
        <v>Low</v>
      </c>
      <c r="V604" s="10">
        <v>0</v>
      </c>
      <c r="W604" s="10">
        <f t="shared" si="106"/>
        <v>0</v>
      </c>
      <c r="X604" s="12">
        <v>12</v>
      </c>
      <c r="Y604" s="8">
        <f t="shared" si="99"/>
        <v>7578.84</v>
      </c>
      <c r="Z604" s="8">
        <f t="shared" si="100"/>
        <v>9367.08</v>
      </c>
      <c r="AA604" s="8">
        <f t="shared" si="107"/>
        <v>-1788.2399999999998</v>
      </c>
      <c r="AB604" s="10">
        <f t="shared" si="108"/>
        <v>-0.23595167598207639</v>
      </c>
      <c r="AC604" s="14">
        <f>_xlfn.MINIFS($C$2:$C$633, $J$2:$J$633, J604)</f>
        <v>44955</v>
      </c>
      <c r="AD604">
        <f>DATEDIF(AC604, C604, "m")</f>
        <v>31</v>
      </c>
      <c r="AE604" s="8">
        <f t="shared" si="109"/>
        <v>631.57000000000005</v>
      </c>
    </row>
    <row r="605" spans="1:31" x14ac:dyDescent="0.3">
      <c r="A605" s="4" t="s">
        <v>33</v>
      </c>
      <c r="B605" s="6">
        <v>45858</v>
      </c>
      <c r="C605" s="14">
        <v>45858</v>
      </c>
      <c r="D605" s="14" t="str">
        <f t="shared" si="101"/>
        <v>Q3 -2025</v>
      </c>
      <c r="E605" s="6">
        <v>45874</v>
      </c>
      <c r="F605" s="6">
        <f t="shared" si="102"/>
        <v>45874</v>
      </c>
      <c r="G605" s="12">
        <f t="shared" si="103"/>
        <v>16</v>
      </c>
      <c r="H605" s="12">
        <f t="shared" si="104"/>
        <v>0</v>
      </c>
      <c r="I605" s="4" t="s">
        <v>648</v>
      </c>
      <c r="J605" s="4" t="s">
        <v>655</v>
      </c>
      <c r="K605" s="4" t="s">
        <v>672</v>
      </c>
      <c r="L605" t="str">
        <f t="shared" si="105"/>
        <v>Americas&gt;Brazil&gt;Brasília</v>
      </c>
      <c r="M605" s="4" t="s">
        <v>706</v>
      </c>
      <c r="N605" s="4" t="s">
        <v>709</v>
      </c>
      <c r="O605" s="4" t="s">
        <v>715</v>
      </c>
      <c r="P605" s="4" t="s">
        <v>733</v>
      </c>
      <c r="Q605" s="4" t="s">
        <v>752</v>
      </c>
      <c r="R605" s="8">
        <v>1068.17</v>
      </c>
      <c r="S605" s="8">
        <v>2375.37</v>
      </c>
      <c r="T605" s="8">
        <v>2375.37</v>
      </c>
      <c r="U605" s="8" t="str">
        <f>IF(T605&lt;=_xlfn.PERCENTILE.INC($T605:$T$633,0.33), "Low", IF(T605&lt;=_xlfn.PERCENTILE.INC($T605:$T$633,0.66), "Medium", "High"))</f>
        <v>High</v>
      </c>
      <c r="V605" s="10">
        <v>0.109</v>
      </c>
      <c r="W605" s="10">
        <f t="shared" si="106"/>
        <v>0.109</v>
      </c>
      <c r="X605" s="12">
        <v>18</v>
      </c>
      <c r="Y605" s="8">
        <f t="shared" si="99"/>
        <v>38096.18406</v>
      </c>
      <c r="Z605" s="8">
        <f t="shared" si="100"/>
        <v>19227.060000000001</v>
      </c>
      <c r="AA605" s="8">
        <f t="shared" si="107"/>
        <v>18869.124059999998</v>
      </c>
      <c r="AB605" s="10">
        <f t="shared" si="108"/>
        <v>0.49530220744108822</v>
      </c>
      <c r="AC605" s="14">
        <f>_xlfn.MINIFS($C$2:$C$633, $J$2:$J$633, J605)</f>
        <v>44955</v>
      </c>
      <c r="AD605">
        <f>DATEDIF(AC605, C605, "m")</f>
        <v>29</v>
      </c>
      <c r="AE605" s="8">
        <f t="shared" si="109"/>
        <v>2116.4546700000001</v>
      </c>
    </row>
    <row r="606" spans="1:31" x14ac:dyDescent="0.3">
      <c r="A606" s="4" t="s">
        <v>190</v>
      </c>
      <c r="B606" s="6">
        <v>45761</v>
      </c>
      <c r="C606" s="14">
        <v>45761</v>
      </c>
      <c r="D606" s="14" t="str">
        <f t="shared" si="101"/>
        <v>Q2 -2025</v>
      </c>
      <c r="E606" s="6">
        <v>45781</v>
      </c>
      <c r="F606" s="6">
        <f t="shared" si="102"/>
        <v>45781</v>
      </c>
      <c r="G606" s="12">
        <f t="shared" si="103"/>
        <v>20</v>
      </c>
      <c r="H606" s="12">
        <f t="shared" si="104"/>
        <v>0</v>
      </c>
      <c r="I606" s="4" t="s">
        <v>649</v>
      </c>
      <c r="J606" s="4" t="s">
        <v>658</v>
      </c>
      <c r="K606" s="4" t="s">
        <v>674</v>
      </c>
      <c r="L606" t="str">
        <f t="shared" si="105"/>
        <v>Europe&gt;United Kingdom&gt;Birmingham</v>
      </c>
      <c r="M606" s="4" t="s">
        <v>706</v>
      </c>
      <c r="N606" s="4" t="s">
        <v>709</v>
      </c>
      <c r="O606" s="4" t="s">
        <v>723</v>
      </c>
      <c r="P606" s="4" t="s">
        <v>732</v>
      </c>
      <c r="Q606" s="4" t="s">
        <v>909</v>
      </c>
      <c r="R606" s="8">
        <v>1413.87</v>
      </c>
      <c r="S606" s="8">
        <v>3275</v>
      </c>
      <c r="T606" s="8">
        <v>3275</v>
      </c>
      <c r="U606" s="8" t="str">
        <f>IF(T606&lt;=_xlfn.PERCENTILE.INC($T606:$T$633,0.33), "Low", IF(T606&lt;=_xlfn.PERCENTILE.INC($T606:$T$633,0.66), "Medium", "High"))</f>
        <v>High</v>
      </c>
      <c r="V606" s="10">
        <v>0.255</v>
      </c>
      <c r="W606" s="10">
        <f t="shared" si="106"/>
        <v>0.255</v>
      </c>
      <c r="X606" s="12">
        <v>38</v>
      </c>
      <c r="Y606" s="8">
        <f t="shared" si="99"/>
        <v>92715.25</v>
      </c>
      <c r="Z606" s="8">
        <f t="shared" si="100"/>
        <v>53727.06</v>
      </c>
      <c r="AA606" s="8">
        <f t="shared" si="107"/>
        <v>38988.19</v>
      </c>
      <c r="AB606" s="10">
        <f t="shared" si="108"/>
        <v>0.42051539525590453</v>
      </c>
      <c r="AC606" s="14">
        <f>_xlfn.MINIFS($C$2:$C$633, $J$2:$J$633, J606)</f>
        <v>44945</v>
      </c>
      <c r="AD606">
        <f>DATEDIF(AC606, C606, "m")</f>
        <v>26</v>
      </c>
      <c r="AE606" s="8">
        <f t="shared" si="109"/>
        <v>2439.875</v>
      </c>
    </row>
    <row r="607" spans="1:31" x14ac:dyDescent="0.3">
      <c r="A607" s="4" t="s">
        <v>608</v>
      </c>
      <c r="B607" s="6">
        <v>45823</v>
      </c>
      <c r="C607" s="14">
        <v>45823</v>
      </c>
      <c r="D607" s="14" t="str">
        <f t="shared" si="101"/>
        <v>Q2 -2025</v>
      </c>
      <c r="E607" s="6">
        <v>45850</v>
      </c>
      <c r="F607" s="6">
        <f t="shared" si="102"/>
        <v>45850</v>
      </c>
      <c r="G607" s="12">
        <f t="shared" si="103"/>
        <v>27</v>
      </c>
      <c r="H607" s="12">
        <f t="shared" si="104"/>
        <v>0</v>
      </c>
      <c r="I607" s="4" t="s">
        <v>649</v>
      </c>
      <c r="J607" s="4" t="s">
        <v>657</v>
      </c>
      <c r="K607" s="4" t="s">
        <v>673</v>
      </c>
      <c r="L607" t="str">
        <f t="shared" si="105"/>
        <v>Europe&gt;France&gt;Marseille</v>
      </c>
      <c r="M607" s="4" t="s">
        <v>704</v>
      </c>
      <c r="N607" s="4" t="s">
        <v>711</v>
      </c>
      <c r="O607" s="4" t="s">
        <v>712</v>
      </c>
      <c r="P607" s="4" t="s">
        <v>733</v>
      </c>
      <c r="Q607" s="4" t="s">
        <v>1326</v>
      </c>
      <c r="R607" s="8">
        <v>318.83</v>
      </c>
      <c r="S607" s="8">
        <v>699.5</v>
      </c>
      <c r="T607" s="8">
        <v>699.5</v>
      </c>
      <c r="U607" s="8" t="str">
        <f>IF(T607&lt;=_xlfn.PERCENTILE.INC($T607:$T$633,0.33), "Low", IF(T607&lt;=_xlfn.PERCENTILE.INC($T607:$T$633,0.66), "Medium", "High"))</f>
        <v>Medium</v>
      </c>
      <c r="V607" s="10">
        <v>0.08</v>
      </c>
      <c r="W607" s="10">
        <f t="shared" si="106"/>
        <v>0.08</v>
      </c>
      <c r="X607" s="12">
        <v>13</v>
      </c>
      <c r="Y607" s="8">
        <f t="shared" si="99"/>
        <v>8366.02</v>
      </c>
      <c r="Z607" s="8">
        <f t="shared" si="100"/>
        <v>4144.79</v>
      </c>
      <c r="AA607" s="8">
        <f t="shared" si="107"/>
        <v>4221.2300000000005</v>
      </c>
      <c r="AB607" s="10">
        <f t="shared" si="108"/>
        <v>0.50456848059172699</v>
      </c>
      <c r="AC607" s="14">
        <f>_xlfn.MINIFS($C$2:$C$633, $J$2:$J$633, J607)</f>
        <v>44936</v>
      </c>
      <c r="AD607">
        <f>DATEDIF(AC607, C607, "m")</f>
        <v>29</v>
      </c>
      <c r="AE607" s="8">
        <f t="shared" si="109"/>
        <v>643.54000000000008</v>
      </c>
    </row>
    <row r="608" spans="1:31" x14ac:dyDescent="0.3">
      <c r="A608" s="4" t="s">
        <v>332</v>
      </c>
      <c r="B608" s="6">
        <v>45748</v>
      </c>
      <c r="C608" s="14">
        <v>45748</v>
      </c>
      <c r="D608" s="14" t="str">
        <f t="shared" si="101"/>
        <v>Q2 -2025</v>
      </c>
      <c r="E608" s="6">
        <v>45774</v>
      </c>
      <c r="F608" s="6">
        <f t="shared" si="102"/>
        <v>45774</v>
      </c>
      <c r="G608" s="12">
        <f t="shared" si="103"/>
        <v>26</v>
      </c>
      <c r="H608" s="12">
        <f t="shared" si="104"/>
        <v>0</v>
      </c>
      <c r="I608" s="4" t="s">
        <v>648</v>
      </c>
      <c r="J608" s="4" t="s">
        <v>660</v>
      </c>
      <c r="K608" s="4" t="s">
        <v>686</v>
      </c>
      <c r="L608" t="str">
        <f t="shared" si="105"/>
        <v>Americas&gt;USA&gt;San Francisco</v>
      </c>
      <c r="M608" s="4" t="s">
        <v>701</v>
      </c>
      <c r="N608" s="4" t="s">
        <v>711</v>
      </c>
      <c r="O608" s="4" t="s">
        <v>714</v>
      </c>
      <c r="P608" s="4" t="s">
        <v>732</v>
      </c>
      <c r="Q608" s="4" t="s">
        <v>1052</v>
      </c>
      <c r="R608" s="8">
        <v>156.55000000000001</v>
      </c>
      <c r="S608" s="8">
        <v>227.45</v>
      </c>
      <c r="T608" s="8">
        <v>227.45</v>
      </c>
      <c r="U608" s="8" t="str">
        <f>IF(T608&lt;=_xlfn.PERCENTILE.INC($T608:$T$633,0.33), "Low", IF(T608&lt;=_xlfn.PERCENTILE.INC($T608:$T$633,0.66), "Medium", "High"))</f>
        <v>Low</v>
      </c>
      <c r="V608" s="10">
        <v>1.4E-2</v>
      </c>
      <c r="W608" s="10">
        <f t="shared" si="106"/>
        <v>1.4E-2</v>
      </c>
      <c r="X608" s="12">
        <v>13</v>
      </c>
      <c r="Y608" s="8">
        <f t="shared" si="99"/>
        <v>2915.4540999999999</v>
      </c>
      <c r="Z608" s="8">
        <f t="shared" si="100"/>
        <v>2035.15</v>
      </c>
      <c r="AA608" s="8">
        <f t="shared" si="107"/>
        <v>880.30409999999983</v>
      </c>
      <c r="AB608" s="10">
        <f t="shared" si="108"/>
        <v>0.3019440779396938</v>
      </c>
      <c r="AC608" s="14">
        <f>_xlfn.MINIFS($C$2:$C$633, $J$2:$J$633, J608)</f>
        <v>44939</v>
      </c>
      <c r="AD608">
        <f>DATEDIF(AC608, C608, "m")</f>
        <v>26</v>
      </c>
      <c r="AE608" s="8">
        <f t="shared" si="109"/>
        <v>224.26569999999998</v>
      </c>
    </row>
    <row r="609" spans="1:31" x14ac:dyDescent="0.3">
      <c r="A609" s="4" t="s">
        <v>102</v>
      </c>
      <c r="B609" s="6">
        <v>45876</v>
      </c>
      <c r="C609" s="14">
        <v>45876</v>
      </c>
      <c r="D609" s="14" t="str">
        <f t="shared" si="101"/>
        <v>Q3 -2025</v>
      </c>
      <c r="E609" s="6">
        <v>45888</v>
      </c>
      <c r="F609" s="6">
        <f t="shared" si="102"/>
        <v>45888</v>
      </c>
      <c r="G609" s="12">
        <f t="shared" si="103"/>
        <v>12</v>
      </c>
      <c r="H609" s="12">
        <f t="shared" si="104"/>
        <v>0</v>
      </c>
      <c r="I609" s="4" t="s">
        <v>646</v>
      </c>
      <c r="J609" s="4" t="s">
        <v>650</v>
      </c>
      <c r="K609" s="4" t="s">
        <v>678</v>
      </c>
      <c r="L609" t="str">
        <f t="shared" si="105"/>
        <v>Africa&gt;Kenya&gt;Nakuru</v>
      </c>
      <c r="M609" s="4" t="s">
        <v>701</v>
      </c>
      <c r="N609" s="4" t="s">
        <v>1423</v>
      </c>
      <c r="O609" s="4" t="s">
        <v>724</v>
      </c>
      <c r="P609" s="4" t="s">
        <v>727</v>
      </c>
      <c r="Q609" s="4" t="s">
        <v>821</v>
      </c>
      <c r="R609" s="8">
        <v>601.51</v>
      </c>
      <c r="S609" s="8">
        <v>679.35</v>
      </c>
      <c r="T609" s="8">
        <v>679.35</v>
      </c>
      <c r="U609" s="8" t="str">
        <f>IF(T609&lt;=_xlfn.PERCENTILE.INC($T609:$T$633,0.33), "Low", IF(T609&lt;=_xlfn.PERCENTILE.INC($T609:$T$633,0.66), "Medium", "High"))</f>
        <v>Low</v>
      </c>
      <c r="V609" s="10">
        <v>0.188</v>
      </c>
      <c r="W609" s="10">
        <f t="shared" si="106"/>
        <v>0.188</v>
      </c>
      <c r="X609" s="12">
        <v>3</v>
      </c>
      <c r="Y609" s="8">
        <f t="shared" si="99"/>
        <v>1654.8966000000003</v>
      </c>
      <c r="Z609" s="8">
        <f t="shared" si="100"/>
        <v>1804.53</v>
      </c>
      <c r="AA609" s="8">
        <f t="shared" si="107"/>
        <v>-149.63339999999971</v>
      </c>
      <c r="AB609" s="10">
        <f t="shared" si="108"/>
        <v>-9.0418579626062243E-2</v>
      </c>
      <c r="AC609" s="14">
        <f>_xlfn.MINIFS($C$2:$C$633, $J$2:$J$633, J609)</f>
        <v>44946</v>
      </c>
      <c r="AD609">
        <f>DATEDIF(AC609, C609, "m")</f>
        <v>30</v>
      </c>
      <c r="AE609" s="8">
        <f t="shared" si="109"/>
        <v>551.63220000000013</v>
      </c>
    </row>
    <row r="610" spans="1:31" x14ac:dyDescent="0.3">
      <c r="A610" s="4" t="s">
        <v>400</v>
      </c>
      <c r="B610" s="6">
        <v>45789</v>
      </c>
      <c r="C610" s="14">
        <v>45789</v>
      </c>
      <c r="D610" s="14" t="str">
        <f t="shared" si="101"/>
        <v>Q2 -2025</v>
      </c>
      <c r="E610" s="6">
        <v>45803</v>
      </c>
      <c r="F610" s="6">
        <f t="shared" si="102"/>
        <v>45803</v>
      </c>
      <c r="G610" s="12">
        <f t="shared" si="103"/>
        <v>14</v>
      </c>
      <c r="H610" s="12">
        <f t="shared" si="104"/>
        <v>0</v>
      </c>
      <c r="I610" s="4" t="s">
        <v>647</v>
      </c>
      <c r="J610" s="4" t="s">
        <v>654</v>
      </c>
      <c r="K610" s="4" t="s">
        <v>696</v>
      </c>
      <c r="L610" t="str">
        <f t="shared" si="105"/>
        <v>Asia&gt;India&gt;Hyderabad</v>
      </c>
      <c r="M610" s="4" t="s">
        <v>701</v>
      </c>
      <c r="N610" s="4" t="s">
        <v>709</v>
      </c>
      <c r="O610" s="4" t="s">
        <v>715</v>
      </c>
      <c r="P610" s="4" t="s">
        <v>728</v>
      </c>
      <c r="Q610" s="4" t="s">
        <v>1119</v>
      </c>
      <c r="R610" s="8">
        <v>320.12</v>
      </c>
      <c r="S610" s="8">
        <v>594.41999999999996</v>
      </c>
      <c r="T610" s="8">
        <v>594.41999999999996</v>
      </c>
      <c r="U610" s="8" t="str">
        <f>IF(T610&lt;=_xlfn.PERCENTILE.INC($T610:$T$633,0.33), "Low", IF(T610&lt;=_xlfn.PERCENTILE.INC($T610:$T$633,0.66), "Medium", "High"))</f>
        <v>Low</v>
      </c>
      <c r="V610" s="10">
        <v>0.104</v>
      </c>
      <c r="W610" s="10">
        <f t="shared" si="106"/>
        <v>0.104</v>
      </c>
      <c r="X610" s="12">
        <v>18</v>
      </c>
      <c r="Y610" s="8">
        <f t="shared" si="99"/>
        <v>9586.8057599999993</v>
      </c>
      <c r="Z610" s="8">
        <f t="shared" si="100"/>
        <v>5762.16</v>
      </c>
      <c r="AA610" s="8">
        <f t="shared" si="107"/>
        <v>3824.6457599999994</v>
      </c>
      <c r="AB610" s="10">
        <f t="shared" si="108"/>
        <v>0.39894891538931104</v>
      </c>
      <c r="AC610" s="14">
        <f>_xlfn.MINIFS($C$2:$C$633, $J$2:$J$633, J610)</f>
        <v>44955</v>
      </c>
      <c r="AD610">
        <f>DATEDIF(AC610, C610, "m")</f>
        <v>27</v>
      </c>
      <c r="AE610" s="8">
        <f t="shared" si="109"/>
        <v>532.60032000000001</v>
      </c>
    </row>
    <row r="611" spans="1:31" x14ac:dyDescent="0.3">
      <c r="A611" s="4" t="s">
        <v>571</v>
      </c>
      <c r="B611" s="6">
        <v>45791</v>
      </c>
      <c r="C611" s="14">
        <v>45791</v>
      </c>
      <c r="D611" s="14" t="str">
        <f t="shared" si="101"/>
        <v>Q2 -2025</v>
      </c>
      <c r="E611" s="6">
        <v>45789</v>
      </c>
      <c r="F611" s="6">
        <f t="shared" si="102"/>
        <v>45796</v>
      </c>
      <c r="G611" s="12">
        <f t="shared" si="103"/>
        <v>5</v>
      </c>
      <c r="H611" s="12">
        <f t="shared" si="104"/>
        <v>1</v>
      </c>
      <c r="I611" s="4" t="s">
        <v>648</v>
      </c>
      <c r="J611" s="4" t="s">
        <v>653</v>
      </c>
      <c r="K611" s="4" t="s">
        <v>688</v>
      </c>
      <c r="L611" t="str">
        <f t="shared" si="105"/>
        <v>Americas&gt;Canada&gt;Vancouver</v>
      </c>
      <c r="M611" s="4" t="s">
        <v>703</v>
      </c>
      <c r="N611" s="4" t="s">
        <v>710</v>
      </c>
      <c r="O611" s="4" t="s">
        <v>721</v>
      </c>
      <c r="P611" s="4" t="s">
        <v>728</v>
      </c>
      <c r="Q611" s="4" t="s">
        <v>1289</v>
      </c>
      <c r="R611" s="8">
        <v>883.5</v>
      </c>
      <c r="S611" s="8">
        <v>1978.91</v>
      </c>
      <c r="T611" s="8">
        <v>1978.91</v>
      </c>
      <c r="U611" s="8" t="str">
        <f>IF(T611&lt;=_xlfn.PERCENTILE.INC($T611:$T$633,0.33), "Low", IF(T611&lt;=_xlfn.PERCENTILE.INC($T611:$T$633,0.66), "Medium", "High"))</f>
        <v>High</v>
      </c>
      <c r="V611" s="10">
        <v>5.3999999999999999E-2</v>
      </c>
      <c r="W611" s="10">
        <f t="shared" si="106"/>
        <v>5.3999999999999999E-2</v>
      </c>
      <c r="X611" s="12">
        <v>27</v>
      </c>
      <c r="Y611" s="8">
        <f t="shared" si="99"/>
        <v>50545.319219999998</v>
      </c>
      <c r="Z611" s="8">
        <f t="shared" si="100"/>
        <v>23854.5</v>
      </c>
      <c r="AA611" s="8">
        <f t="shared" si="107"/>
        <v>26690.819219999998</v>
      </c>
      <c r="AB611" s="10">
        <f t="shared" si="108"/>
        <v>0.52805718970390547</v>
      </c>
      <c r="AC611" s="14">
        <f>_xlfn.MINIFS($C$2:$C$633, $J$2:$J$633, J611)</f>
        <v>44928</v>
      </c>
      <c r="AD611">
        <f>DATEDIF(AC611, C611, "m")</f>
        <v>28</v>
      </c>
      <c r="AE611" s="8">
        <f t="shared" si="109"/>
        <v>1872.0488599999999</v>
      </c>
    </row>
    <row r="612" spans="1:31" x14ac:dyDescent="0.3">
      <c r="A612" s="4" t="s">
        <v>421</v>
      </c>
      <c r="B612" s="6">
        <v>45709</v>
      </c>
      <c r="C612" s="14">
        <v>45709</v>
      </c>
      <c r="D612" s="14" t="str">
        <f t="shared" si="101"/>
        <v>Q1 -2025</v>
      </c>
      <c r="E612" s="6">
        <v>45737</v>
      </c>
      <c r="F612" s="6">
        <f t="shared" si="102"/>
        <v>45737</v>
      </c>
      <c r="G612" s="12">
        <f t="shared" si="103"/>
        <v>28</v>
      </c>
      <c r="H612" s="12">
        <f t="shared" si="104"/>
        <v>0</v>
      </c>
      <c r="I612" s="4" t="s">
        <v>646</v>
      </c>
      <c r="J612" s="4" t="s">
        <v>651</v>
      </c>
      <c r="K612" s="4" t="s">
        <v>669</v>
      </c>
      <c r="L612" t="str">
        <f t="shared" si="105"/>
        <v>Africa&gt;Nigeria&gt;Abuja</v>
      </c>
      <c r="M612" s="4" t="s">
        <v>706</v>
      </c>
      <c r="N612" s="4" t="s">
        <v>709</v>
      </c>
      <c r="O612" s="4" t="s">
        <v>714</v>
      </c>
      <c r="P612" s="4" t="s">
        <v>730</v>
      </c>
      <c r="Q612" s="4" t="s">
        <v>1140</v>
      </c>
      <c r="R612" s="8">
        <v>1437.39</v>
      </c>
      <c r="S612" s="8">
        <v>1388.31</v>
      </c>
      <c r="T612" s="8">
        <v>1388.31</v>
      </c>
      <c r="U612" s="8" t="str">
        <f>IF(T612&lt;=_xlfn.PERCENTILE.INC($T612:$T$633,0.33), "Low", IF(T612&lt;=_xlfn.PERCENTILE.INC($T612:$T$633,0.66), "Medium", "High"))</f>
        <v>Medium</v>
      </c>
      <c r="V612" s="10">
        <v>0.13800000000000001</v>
      </c>
      <c r="W612" s="10">
        <f t="shared" si="106"/>
        <v>0.13800000000000001</v>
      </c>
      <c r="X612" s="12">
        <v>18</v>
      </c>
      <c r="Y612" s="8">
        <f t="shared" si="99"/>
        <v>21541.017959999997</v>
      </c>
      <c r="Z612" s="8">
        <f t="shared" si="100"/>
        <v>25873.02</v>
      </c>
      <c r="AA612" s="8">
        <f t="shared" si="107"/>
        <v>-4332.002040000003</v>
      </c>
      <c r="AB612" s="10">
        <f t="shared" si="108"/>
        <v>-0.20110479681341872</v>
      </c>
      <c r="AC612" s="14">
        <f>_xlfn.MINIFS($C$2:$C$633, $J$2:$J$633, J612)</f>
        <v>44941</v>
      </c>
      <c r="AD612">
        <f>DATEDIF(AC612, C612, "m")</f>
        <v>25</v>
      </c>
      <c r="AE612" s="8">
        <f t="shared" si="109"/>
        <v>1196.7232199999999</v>
      </c>
    </row>
    <row r="613" spans="1:31" x14ac:dyDescent="0.3">
      <c r="A613" s="4" t="s">
        <v>279</v>
      </c>
      <c r="B613" s="6">
        <v>45902</v>
      </c>
      <c r="C613" s="14">
        <v>45902</v>
      </c>
      <c r="D613" s="14" t="str">
        <f t="shared" si="101"/>
        <v>Q3 -2025</v>
      </c>
      <c r="E613" s="6">
        <v>45911</v>
      </c>
      <c r="F613" s="6">
        <f t="shared" si="102"/>
        <v>45911</v>
      </c>
      <c r="G613" s="12">
        <f t="shared" si="103"/>
        <v>9</v>
      </c>
      <c r="H613" s="12">
        <f t="shared" si="104"/>
        <v>0</v>
      </c>
      <c r="I613" s="4" t="s">
        <v>648</v>
      </c>
      <c r="J613" s="4" t="s">
        <v>653</v>
      </c>
      <c r="K613" s="4" t="s">
        <v>667</v>
      </c>
      <c r="L613" t="str">
        <f t="shared" si="105"/>
        <v>Americas&gt;Canada&gt;Toronto</v>
      </c>
      <c r="M613" s="4" t="s">
        <v>701</v>
      </c>
      <c r="N613" s="4" t="s">
        <v>710</v>
      </c>
      <c r="O613" s="4" t="s">
        <v>724</v>
      </c>
      <c r="P613" s="4" t="s">
        <v>728</v>
      </c>
      <c r="Q613" s="4" t="s">
        <v>999</v>
      </c>
      <c r="R613" s="8">
        <v>1207.6300000000001</v>
      </c>
      <c r="S613" s="8">
        <v>921.68</v>
      </c>
      <c r="T613" s="8">
        <v>921.68</v>
      </c>
      <c r="U613" s="8" t="str">
        <f>IF(T613&lt;=_xlfn.PERCENTILE.INC($T613:$T$633,0.33), "Low", IF(T613&lt;=_xlfn.PERCENTILE.INC($T613:$T$633,0.66), "Medium", "High"))</f>
        <v>Medium</v>
      </c>
      <c r="V613" s="10">
        <v>0.19600000000000001</v>
      </c>
      <c r="W613" s="10">
        <f t="shared" si="106"/>
        <v>0.19600000000000001</v>
      </c>
      <c r="X613" s="12">
        <v>17</v>
      </c>
      <c r="Y613" s="8">
        <f t="shared" si="99"/>
        <v>12597.52224</v>
      </c>
      <c r="Z613" s="8">
        <f t="shared" si="100"/>
        <v>20529.710000000003</v>
      </c>
      <c r="AA613" s="8">
        <f t="shared" si="107"/>
        <v>-7932.1877600000025</v>
      </c>
      <c r="AB613" s="10">
        <f t="shared" si="108"/>
        <v>-0.62966253274897988</v>
      </c>
      <c r="AC613" s="14">
        <f>_xlfn.MINIFS($C$2:$C$633, $J$2:$J$633, J613)</f>
        <v>44928</v>
      </c>
      <c r="AD613">
        <f>DATEDIF(AC613, C613, "m")</f>
        <v>32</v>
      </c>
      <c r="AE613" s="8">
        <f t="shared" si="109"/>
        <v>741.03071999999997</v>
      </c>
    </row>
    <row r="614" spans="1:31" x14ac:dyDescent="0.3">
      <c r="A614" s="4" t="s">
        <v>197</v>
      </c>
      <c r="B614" s="6">
        <v>45690</v>
      </c>
      <c r="C614" s="14">
        <v>45690</v>
      </c>
      <c r="D614" s="14" t="str">
        <f t="shared" si="101"/>
        <v>Q1 -2025</v>
      </c>
      <c r="E614" s="6">
        <v>45720</v>
      </c>
      <c r="F614" s="6">
        <f t="shared" si="102"/>
        <v>45720</v>
      </c>
      <c r="G614" s="12">
        <f t="shared" si="103"/>
        <v>30</v>
      </c>
      <c r="H614" s="12">
        <f t="shared" si="104"/>
        <v>0</v>
      </c>
      <c r="I614" s="4" t="s">
        <v>647</v>
      </c>
      <c r="J614" s="4" t="s">
        <v>652</v>
      </c>
      <c r="K614" s="4" t="s">
        <v>666</v>
      </c>
      <c r="L614" t="str">
        <f t="shared" si="105"/>
        <v>Asia&gt;Japan&gt;Osaka</v>
      </c>
      <c r="M614" s="4" t="s">
        <v>702</v>
      </c>
      <c r="N614" s="4" t="s">
        <v>710</v>
      </c>
      <c r="O614" s="4" t="s">
        <v>716</v>
      </c>
      <c r="P614" s="4" t="s">
        <v>733</v>
      </c>
      <c r="Q614" s="4" t="s">
        <v>916</v>
      </c>
      <c r="R614" s="8">
        <v>766.59</v>
      </c>
      <c r="S614" s="8">
        <v>1912.8</v>
      </c>
      <c r="T614" s="8">
        <v>1912.8</v>
      </c>
      <c r="U614" s="8" t="str">
        <f>IF(T614&lt;=_xlfn.PERCENTILE.INC($T614:$T$633,0.33), "Low", IF(T614&lt;=_xlfn.PERCENTILE.INC($T614:$T$633,0.66), "Medium", "High"))</f>
        <v>High</v>
      </c>
      <c r="V614" s="10">
        <v>0.19600000000000001</v>
      </c>
      <c r="W614" s="10">
        <f t="shared" si="106"/>
        <v>0.19600000000000001</v>
      </c>
      <c r="X614" s="12">
        <v>5</v>
      </c>
      <c r="Y614" s="8">
        <f t="shared" si="99"/>
        <v>7689.4560000000001</v>
      </c>
      <c r="Z614" s="8">
        <f t="shared" si="100"/>
        <v>3832.9500000000003</v>
      </c>
      <c r="AA614" s="8">
        <f t="shared" si="107"/>
        <v>3856.5059999999999</v>
      </c>
      <c r="AB614" s="10">
        <f t="shared" si="108"/>
        <v>0.50153170783472845</v>
      </c>
      <c r="AC614" s="14">
        <f>_xlfn.MINIFS($C$2:$C$633, $J$2:$J$633, J614)</f>
        <v>44988</v>
      </c>
      <c r="AD614">
        <f>DATEDIF(AC614, C614, "m")</f>
        <v>22</v>
      </c>
      <c r="AE614" s="8">
        <f t="shared" si="109"/>
        <v>1537.8912</v>
      </c>
    </row>
    <row r="615" spans="1:31" x14ac:dyDescent="0.3">
      <c r="A615" s="4" t="s">
        <v>635</v>
      </c>
      <c r="B615" s="6">
        <v>45764</v>
      </c>
      <c r="C615" s="14">
        <v>45764</v>
      </c>
      <c r="D615" s="14" t="str">
        <f t="shared" si="101"/>
        <v>Q2 -2025</v>
      </c>
      <c r="E615" s="6">
        <v>45780</v>
      </c>
      <c r="F615" s="6">
        <f t="shared" si="102"/>
        <v>45780</v>
      </c>
      <c r="G615" s="12">
        <f t="shared" si="103"/>
        <v>16</v>
      </c>
      <c r="H615" s="12">
        <f t="shared" si="104"/>
        <v>0</v>
      </c>
      <c r="I615" s="4" t="s">
        <v>648</v>
      </c>
      <c r="J615" s="4" t="s">
        <v>655</v>
      </c>
      <c r="K615" s="4" t="s">
        <v>692</v>
      </c>
      <c r="L615" t="str">
        <f t="shared" si="105"/>
        <v>Americas&gt;Brazil&gt;Rio de Janeiro</v>
      </c>
      <c r="M615" s="4" t="s">
        <v>704</v>
      </c>
      <c r="N615" s="4" t="s">
        <v>709</v>
      </c>
      <c r="O615" s="4" t="s">
        <v>713</v>
      </c>
      <c r="P615" s="4" t="s">
        <v>729</v>
      </c>
      <c r="Q615" s="4" t="s">
        <v>1353</v>
      </c>
      <c r="R615" s="8">
        <v>168.68</v>
      </c>
      <c r="S615" s="8">
        <v>413.34</v>
      </c>
      <c r="T615" s="8">
        <v>413.34</v>
      </c>
      <c r="U615" s="8" t="str">
        <f>IF(T615&lt;=_xlfn.PERCENTILE.INC($T615:$T$633,0.33), "Low", IF(T615&lt;=_xlfn.PERCENTILE.INC($T615:$T$633,0.66), "Medium", "High"))</f>
        <v>Low</v>
      </c>
      <c r="V615" s="10">
        <v>0.186</v>
      </c>
      <c r="W615" s="10">
        <f t="shared" si="106"/>
        <v>0.186</v>
      </c>
      <c r="X615" s="12">
        <v>7</v>
      </c>
      <c r="Y615" s="8">
        <f t="shared" si="99"/>
        <v>2355.2113199999999</v>
      </c>
      <c r="Z615" s="8">
        <f t="shared" si="100"/>
        <v>1180.76</v>
      </c>
      <c r="AA615" s="8">
        <f t="shared" si="107"/>
        <v>1174.4513199999999</v>
      </c>
      <c r="AB615" s="10">
        <f t="shared" si="108"/>
        <v>0.49866069767361682</v>
      </c>
      <c r="AC615" s="14">
        <f>_xlfn.MINIFS($C$2:$C$633, $J$2:$J$633, J615)</f>
        <v>44955</v>
      </c>
      <c r="AD615">
        <f>DATEDIF(AC615, C615, "m")</f>
        <v>26</v>
      </c>
      <c r="AE615" s="8">
        <f t="shared" si="109"/>
        <v>336.45875999999998</v>
      </c>
    </row>
    <row r="616" spans="1:31" x14ac:dyDescent="0.3">
      <c r="A616" s="4" t="s">
        <v>277</v>
      </c>
      <c r="B616" s="6">
        <v>45829</v>
      </c>
      <c r="C616" s="14">
        <v>45829</v>
      </c>
      <c r="D616" s="14" t="str">
        <f t="shared" si="101"/>
        <v>Q2 -2025</v>
      </c>
      <c r="E616" s="6">
        <v>45835</v>
      </c>
      <c r="F616" s="6">
        <f t="shared" si="102"/>
        <v>45835</v>
      </c>
      <c r="G616" s="12">
        <f t="shared" si="103"/>
        <v>6</v>
      </c>
      <c r="H616" s="12">
        <f t="shared" si="104"/>
        <v>1</v>
      </c>
      <c r="I616" s="4" t="s">
        <v>646</v>
      </c>
      <c r="J616" s="4" t="s">
        <v>661</v>
      </c>
      <c r="K616" s="4" t="s">
        <v>687</v>
      </c>
      <c r="L616" t="str">
        <f t="shared" si="105"/>
        <v>Africa&gt;South Africa&gt;Durban</v>
      </c>
      <c r="M616" s="4" t="s">
        <v>706</v>
      </c>
      <c r="N616" s="4" t="s">
        <v>710</v>
      </c>
      <c r="O616" s="4" t="s">
        <v>725</v>
      </c>
      <c r="P616" s="4" t="s">
        <v>730</v>
      </c>
      <c r="Q616" s="4" t="s">
        <v>997</v>
      </c>
      <c r="R616" s="8">
        <v>93.91</v>
      </c>
      <c r="S616" s="8">
        <v>99.04</v>
      </c>
      <c r="T616" s="8">
        <v>99.04</v>
      </c>
      <c r="U616" s="8" t="str">
        <f>IF(T616&lt;=_xlfn.PERCENTILE.INC($T616:$T$633,0.33), "Low", IF(T616&lt;=_xlfn.PERCENTILE.INC($T616:$T$633,0.66), "Medium", "High"))</f>
        <v>Low</v>
      </c>
      <c r="V616" s="10">
        <v>5.7000000000000002E-2</v>
      </c>
      <c r="W616" s="10">
        <f t="shared" si="106"/>
        <v>5.7000000000000002E-2</v>
      </c>
      <c r="X616" s="12">
        <v>6</v>
      </c>
      <c r="Y616" s="8">
        <f t="shared" si="99"/>
        <v>560.36831999999993</v>
      </c>
      <c r="Z616" s="8">
        <f t="shared" si="100"/>
        <v>563.46</v>
      </c>
      <c r="AA616" s="8">
        <f t="shared" si="107"/>
        <v>-3.0916800000001103</v>
      </c>
      <c r="AB616" s="10">
        <f t="shared" si="108"/>
        <v>-5.5172283829323376E-3</v>
      </c>
      <c r="AC616" s="14">
        <f>_xlfn.MINIFS($C$2:$C$633, $J$2:$J$633, J616)</f>
        <v>44933</v>
      </c>
      <c r="AD616">
        <f>DATEDIF(AC616, C616, "m")</f>
        <v>29</v>
      </c>
      <c r="AE616" s="8">
        <f t="shared" si="109"/>
        <v>93.394719999999992</v>
      </c>
    </row>
    <row r="617" spans="1:31" x14ac:dyDescent="0.3">
      <c r="A617" s="4" t="s">
        <v>418</v>
      </c>
      <c r="B617" s="6">
        <v>45677</v>
      </c>
      <c r="C617" s="14">
        <v>45677</v>
      </c>
      <c r="D617" s="14" t="str">
        <f t="shared" si="101"/>
        <v>Q1 -2025</v>
      </c>
      <c r="E617" s="6">
        <v>45691</v>
      </c>
      <c r="F617" s="6">
        <f t="shared" si="102"/>
        <v>45691</v>
      </c>
      <c r="G617" s="12">
        <f t="shared" si="103"/>
        <v>14</v>
      </c>
      <c r="H617" s="12">
        <f t="shared" si="104"/>
        <v>0</v>
      </c>
      <c r="I617" s="4" t="s">
        <v>648</v>
      </c>
      <c r="J617" s="4" t="s">
        <v>655</v>
      </c>
      <c r="K617" s="4" t="s">
        <v>672</v>
      </c>
      <c r="L617" t="str">
        <f t="shared" si="105"/>
        <v>Americas&gt;Brazil&gt;Brasília</v>
      </c>
      <c r="M617" s="4" t="s">
        <v>706</v>
      </c>
      <c r="N617" s="4" t="s">
        <v>709</v>
      </c>
      <c r="O617" s="4" t="s">
        <v>721</v>
      </c>
      <c r="P617" s="4" t="s">
        <v>727</v>
      </c>
      <c r="Q617" s="4" t="s">
        <v>1137</v>
      </c>
      <c r="R617" s="8">
        <v>974.11</v>
      </c>
      <c r="S617" s="8">
        <v>880.99</v>
      </c>
      <c r="T617" s="8">
        <v>880.99</v>
      </c>
      <c r="U617" s="8" t="str">
        <f>IF(T617&lt;=_xlfn.PERCENTILE.INC($T617:$T$633,0.33), "Low", IF(T617&lt;=_xlfn.PERCENTILE.INC($T617:$T$633,0.66), "Medium", "High"))</f>
        <v>Low</v>
      </c>
      <c r="V617" s="10">
        <v>0.111</v>
      </c>
      <c r="W617" s="10">
        <f t="shared" si="106"/>
        <v>0.111</v>
      </c>
      <c r="X617" s="12">
        <v>10</v>
      </c>
      <c r="Y617" s="8">
        <f t="shared" si="99"/>
        <v>7832.0010999999995</v>
      </c>
      <c r="Z617" s="8">
        <f t="shared" si="100"/>
        <v>9741.1</v>
      </c>
      <c r="AA617" s="8">
        <f t="shared" si="107"/>
        <v>-1909.0989000000009</v>
      </c>
      <c r="AB617" s="10">
        <f t="shared" si="108"/>
        <v>-0.2437562093805121</v>
      </c>
      <c r="AC617" s="14">
        <f>_xlfn.MINIFS($C$2:$C$633, $J$2:$J$633, J617)</f>
        <v>44955</v>
      </c>
      <c r="AD617">
        <f>DATEDIF(AC617, C617, "m")</f>
        <v>23</v>
      </c>
      <c r="AE617" s="8">
        <f t="shared" si="109"/>
        <v>783.20011</v>
      </c>
    </row>
    <row r="618" spans="1:31" x14ac:dyDescent="0.3">
      <c r="A618" s="4" t="s">
        <v>393</v>
      </c>
      <c r="B618" s="6">
        <v>45694</v>
      </c>
      <c r="C618" s="14">
        <v>45694</v>
      </c>
      <c r="D618" s="14" t="str">
        <f t="shared" si="101"/>
        <v>Q1 -2025</v>
      </c>
      <c r="E618" s="6">
        <v>45703</v>
      </c>
      <c r="F618" s="6">
        <f t="shared" si="102"/>
        <v>45703</v>
      </c>
      <c r="G618" s="12">
        <f t="shared" si="103"/>
        <v>9</v>
      </c>
      <c r="H618" s="12">
        <f t="shared" si="104"/>
        <v>0</v>
      </c>
      <c r="I618" s="4" t="s">
        <v>648</v>
      </c>
      <c r="J618" s="4" t="s">
        <v>655</v>
      </c>
      <c r="K618" s="4" t="s">
        <v>670</v>
      </c>
      <c r="L618" t="str">
        <f t="shared" si="105"/>
        <v>Americas&gt;Brazil&gt;São Paulo</v>
      </c>
      <c r="M618" s="4" t="s">
        <v>703</v>
      </c>
      <c r="N618" s="4" t="s">
        <v>710</v>
      </c>
      <c r="O618" s="4" t="s">
        <v>721</v>
      </c>
      <c r="P618" s="4" t="s">
        <v>729</v>
      </c>
      <c r="Q618" s="4" t="s">
        <v>1113</v>
      </c>
      <c r="R618" s="8">
        <v>837.39</v>
      </c>
      <c r="S618" s="8">
        <v>1905.42</v>
      </c>
      <c r="T618" s="8">
        <v>1905.42</v>
      </c>
      <c r="U618" s="8" t="str">
        <f>IF(T618&lt;=_xlfn.PERCENTILE.INC($T618:$T$633,0.33), "Low", IF(T618&lt;=_xlfn.PERCENTILE.INC($T618:$T$633,0.66), "Medium", "High"))</f>
        <v>Medium</v>
      </c>
      <c r="V618" s="10">
        <v>3.2000000000000001E-2</v>
      </c>
      <c r="W618" s="10">
        <f t="shared" si="106"/>
        <v>3.2000000000000001E-2</v>
      </c>
      <c r="X618" s="12">
        <v>18</v>
      </c>
      <c r="Y618" s="8">
        <f t="shared" si="99"/>
        <v>33200.038079999998</v>
      </c>
      <c r="Z618" s="8">
        <f t="shared" si="100"/>
        <v>15073.02</v>
      </c>
      <c r="AA618" s="8">
        <f t="shared" si="107"/>
        <v>18127.018079999998</v>
      </c>
      <c r="AB618" s="10">
        <f t="shared" si="108"/>
        <v>0.54599389423350919</v>
      </c>
      <c r="AC618" s="14">
        <f>_xlfn.MINIFS($C$2:$C$633, $J$2:$J$633, J618)</f>
        <v>44955</v>
      </c>
      <c r="AD618">
        <f>DATEDIF(AC618, C618, "m")</f>
        <v>24</v>
      </c>
      <c r="AE618" s="8">
        <f t="shared" si="109"/>
        <v>1844.4465599999999</v>
      </c>
    </row>
    <row r="619" spans="1:31" x14ac:dyDescent="0.3">
      <c r="A619" s="4" t="s">
        <v>304</v>
      </c>
      <c r="B619" s="6">
        <v>45897</v>
      </c>
      <c r="C619" s="14">
        <v>45897</v>
      </c>
      <c r="D619" s="14" t="str">
        <f t="shared" si="101"/>
        <v>Q3 -2025</v>
      </c>
      <c r="E619" s="6">
        <v>45895</v>
      </c>
      <c r="F619" s="6">
        <f t="shared" si="102"/>
        <v>45902</v>
      </c>
      <c r="G619" s="12">
        <f t="shared" si="103"/>
        <v>5</v>
      </c>
      <c r="H619" s="12">
        <f t="shared" si="104"/>
        <v>1</v>
      </c>
      <c r="I619" s="4" t="s">
        <v>646</v>
      </c>
      <c r="J619" s="4" t="s">
        <v>651</v>
      </c>
      <c r="K619" s="4" t="s">
        <v>663</v>
      </c>
      <c r="L619" t="str">
        <f t="shared" si="105"/>
        <v>Africa&gt;Nigeria&gt;Port Harcourt</v>
      </c>
      <c r="M619" s="4" t="s">
        <v>705</v>
      </c>
      <c r="N619" s="4" t="s">
        <v>707</v>
      </c>
      <c r="O619" s="4" t="s">
        <v>720</v>
      </c>
      <c r="P619" s="4" t="s">
        <v>733</v>
      </c>
      <c r="Q619" s="4" t="s">
        <v>1024</v>
      </c>
      <c r="R619" s="8">
        <v>521.05999999999995</v>
      </c>
      <c r="S619" s="8">
        <v>1240.31</v>
      </c>
      <c r="T619" s="8">
        <v>1240.31</v>
      </c>
      <c r="U619" s="8" t="str">
        <f>IF(T619&lt;=_xlfn.PERCENTILE.INC($T619:$T$633,0.33), "Low", IF(T619&lt;=_xlfn.PERCENTILE.INC($T619:$T$633,0.66), "Medium", "High"))</f>
        <v>Medium</v>
      </c>
      <c r="V619" s="10">
        <v>0.14599999999999999</v>
      </c>
      <c r="W619" s="10">
        <f t="shared" si="106"/>
        <v>0.14599999999999999</v>
      </c>
      <c r="X619" s="12">
        <v>18</v>
      </c>
      <c r="Y619" s="8">
        <f t="shared" si="99"/>
        <v>19066.045319999997</v>
      </c>
      <c r="Z619" s="8">
        <f t="shared" si="100"/>
        <v>9379.0799999999981</v>
      </c>
      <c r="AA619" s="8">
        <f t="shared" si="107"/>
        <v>9686.9653199999993</v>
      </c>
      <c r="AB619" s="10">
        <f t="shared" si="108"/>
        <v>0.50807417885650974</v>
      </c>
      <c r="AC619" s="14">
        <f>_xlfn.MINIFS($C$2:$C$633, $J$2:$J$633, J619)</f>
        <v>44941</v>
      </c>
      <c r="AD619">
        <f>DATEDIF(AC619, C619, "m")</f>
        <v>31</v>
      </c>
      <c r="AE619" s="8">
        <f t="shared" si="109"/>
        <v>1059.2247399999999</v>
      </c>
    </row>
    <row r="620" spans="1:31" x14ac:dyDescent="0.3">
      <c r="A620" s="4" t="s">
        <v>545</v>
      </c>
      <c r="B620" s="6">
        <v>45727</v>
      </c>
      <c r="C620" s="14">
        <v>45727</v>
      </c>
      <c r="D620" s="14" t="str">
        <f t="shared" si="101"/>
        <v>Q1 -2025</v>
      </c>
      <c r="E620" s="6">
        <v>45742</v>
      </c>
      <c r="F620" s="6">
        <f t="shared" si="102"/>
        <v>45742</v>
      </c>
      <c r="G620" s="12">
        <f t="shared" si="103"/>
        <v>15</v>
      </c>
      <c r="H620" s="12">
        <f t="shared" si="104"/>
        <v>0</v>
      </c>
      <c r="I620" s="4" t="s">
        <v>649</v>
      </c>
      <c r="J620" s="4" t="s">
        <v>656</v>
      </c>
      <c r="K620" s="4" t="s">
        <v>671</v>
      </c>
      <c r="L620" t="str">
        <f t="shared" si="105"/>
        <v>Europe&gt;Germany&gt;Berlin</v>
      </c>
      <c r="M620" s="4" t="s">
        <v>705</v>
      </c>
      <c r="N620" s="4" t="s">
        <v>708</v>
      </c>
      <c r="O620" s="4" t="s">
        <v>714</v>
      </c>
      <c r="P620" s="4" t="s">
        <v>730</v>
      </c>
      <c r="Q620" s="4" t="s">
        <v>1264</v>
      </c>
      <c r="R620" s="8">
        <v>116.97</v>
      </c>
      <c r="S620" s="8">
        <v>140.82</v>
      </c>
      <c r="T620" s="8">
        <v>140.82</v>
      </c>
      <c r="U620" s="8" t="str">
        <f>IF(T620&lt;=_xlfn.PERCENTILE.INC($T620:$T$633,0.33), "Low", IF(T620&lt;=_xlfn.PERCENTILE.INC($T620:$T$633,0.66), "Medium", "High"))</f>
        <v>Low</v>
      </c>
      <c r="V620" s="10">
        <v>0.122</v>
      </c>
      <c r="W620" s="10">
        <f t="shared" si="106"/>
        <v>0.122</v>
      </c>
      <c r="X620" s="12">
        <v>5</v>
      </c>
      <c r="Y620" s="8">
        <f t="shared" si="99"/>
        <v>618.19979999999987</v>
      </c>
      <c r="Z620" s="8">
        <f t="shared" si="100"/>
        <v>584.85</v>
      </c>
      <c r="AA620" s="8">
        <f t="shared" si="107"/>
        <v>33.349799999999846</v>
      </c>
      <c r="AB620" s="10">
        <f t="shared" si="108"/>
        <v>5.3946636669891926E-2</v>
      </c>
      <c r="AC620" s="14">
        <f>_xlfn.MINIFS($C$2:$C$633, $J$2:$J$633, J620)</f>
        <v>44948</v>
      </c>
      <c r="AD620">
        <f>DATEDIF(AC620, C620, "m")</f>
        <v>25</v>
      </c>
      <c r="AE620" s="8">
        <f t="shared" si="109"/>
        <v>123.63995999999997</v>
      </c>
    </row>
    <row r="621" spans="1:31" x14ac:dyDescent="0.3">
      <c r="A621" s="4" t="s">
        <v>581</v>
      </c>
      <c r="B621" s="6">
        <v>45834</v>
      </c>
      <c r="C621" s="14">
        <v>45834</v>
      </c>
      <c r="D621" s="14" t="str">
        <f t="shared" si="101"/>
        <v>Q2 -2025</v>
      </c>
      <c r="E621" s="6">
        <v>45849</v>
      </c>
      <c r="F621" s="6">
        <f t="shared" si="102"/>
        <v>45849</v>
      </c>
      <c r="G621" s="12">
        <f t="shared" si="103"/>
        <v>15</v>
      </c>
      <c r="H621" s="12">
        <f t="shared" si="104"/>
        <v>0</v>
      </c>
      <c r="I621" s="4" t="s">
        <v>646</v>
      </c>
      <c r="J621" s="4" t="s">
        <v>651</v>
      </c>
      <c r="K621" s="4" t="s">
        <v>663</v>
      </c>
      <c r="L621" t="str">
        <f t="shared" si="105"/>
        <v>Africa&gt;Nigeria&gt;Port Harcourt</v>
      </c>
      <c r="M621" s="4" t="s">
        <v>705</v>
      </c>
      <c r="N621" s="4" t="s">
        <v>708</v>
      </c>
      <c r="O621" s="4" t="s">
        <v>720</v>
      </c>
      <c r="P621" s="4" t="s">
        <v>731</v>
      </c>
      <c r="Q621" s="4" t="s">
        <v>1299</v>
      </c>
      <c r="R621" s="8">
        <v>1170.1500000000001</v>
      </c>
      <c r="S621" s="8">
        <v>2115.19</v>
      </c>
      <c r="T621" s="8">
        <v>2115.19</v>
      </c>
      <c r="U621" s="8" t="str">
        <f>IF(T621&lt;=_xlfn.PERCENTILE.INC($T621:$T$633,0.33), "Low", IF(T621&lt;=_xlfn.PERCENTILE.INC($T621:$T$633,0.66), "Medium", "High"))</f>
        <v>High</v>
      </c>
      <c r="V621" s="10">
        <v>9.1999999999999998E-2</v>
      </c>
      <c r="W621" s="10">
        <f t="shared" si="106"/>
        <v>9.1999999999999998E-2</v>
      </c>
      <c r="X621" s="12">
        <v>23</v>
      </c>
      <c r="Y621" s="8">
        <f t="shared" si="99"/>
        <v>44173.627960000005</v>
      </c>
      <c r="Z621" s="8">
        <f t="shared" si="100"/>
        <v>26913.45</v>
      </c>
      <c r="AA621" s="8">
        <f t="shared" si="107"/>
        <v>17260.177960000005</v>
      </c>
      <c r="AB621" s="10">
        <f t="shared" si="108"/>
        <v>0.39073489674946776</v>
      </c>
      <c r="AC621" s="14">
        <f>_xlfn.MINIFS($C$2:$C$633, $J$2:$J$633, J621)</f>
        <v>44941</v>
      </c>
      <c r="AD621">
        <f>DATEDIF(AC621, C621, "m")</f>
        <v>29</v>
      </c>
      <c r="AE621" s="8">
        <f t="shared" si="109"/>
        <v>1920.5925200000001</v>
      </c>
    </row>
    <row r="622" spans="1:31" x14ac:dyDescent="0.3">
      <c r="A622" s="4" t="s">
        <v>71</v>
      </c>
      <c r="B622" s="6">
        <v>45697</v>
      </c>
      <c r="C622" s="14">
        <v>45697</v>
      </c>
      <c r="D622" s="14" t="str">
        <f t="shared" si="101"/>
        <v>Q1 -2025</v>
      </c>
      <c r="E622" s="6">
        <v>45717</v>
      </c>
      <c r="F622" s="6">
        <f t="shared" si="102"/>
        <v>45717</v>
      </c>
      <c r="G622" s="12">
        <f t="shared" si="103"/>
        <v>20</v>
      </c>
      <c r="H622" s="12">
        <f t="shared" si="104"/>
        <v>0</v>
      </c>
      <c r="I622" s="4" t="s">
        <v>648</v>
      </c>
      <c r="J622" s="4" t="s">
        <v>655</v>
      </c>
      <c r="K622" s="4" t="s">
        <v>670</v>
      </c>
      <c r="L622" t="str">
        <f t="shared" si="105"/>
        <v>Americas&gt;Brazil&gt;São Paulo</v>
      </c>
      <c r="M622" s="4" t="s">
        <v>701</v>
      </c>
      <c r="N622" s="4" t="s">
        <v>710</v>
      </c>
      <c r="O622" s="4" t="s">
        <v>717</v>
      </c>
      <c r="P622" s="4" t="s">
        <v>731</v>
      </c>
      <c r="Q622" s="4" t="s">
        <v>790</v>
      </c>
      <c r="R622" s="8">
        <v>1154.6400000000001</v>
      </c>
      <c r="S622" s="8">
        <v>2794.13</v>
      </c>
      <c r="T622" s="8">
        <v>2794.13</v>
      </c>
      <c r="U622" s="8" t="str">
        <f>IF(T622&lt;=_xlfn.PERCENTILE.INC($T622:$T$633,0.33), "Low", IF(T622&lt;=_xlfn.PERCENTILE.INC($T622:$T$633,0.66), "Medium", "High"))</f>
        <v>High</v>
      </c>
      <c r="V622" s="10">
        <v>3.5000000000000003E-2</v>
      </c>
      <c r="W622" s="10">
        <f t="shared" si="106"/>
        <v>3.5000000000000003E-2</v>
      </c>
      <c r="X622" s="12">
        <v>11</v>
      </c>
      <c r="Y622" s="8">
        <f t="shared" si="99"/>
        <v>29659.68995</v>
      </c>
      <c r="Z622" s="8">
        <f t="shared" si="100"/>
        <v>12701.04</v>
      </c>
      <c r="AA622" s="8">
        <f t="shared" si="107"/>
        <v>16958.649949999999</v>
      </c>
      <c r="AB622" s="10">
        <f t="shared" si="108"/>
        <v>0.57177435025749479</v>
      </c>
      <c r="AC622" s="14">
        <f>_xlfn.MINIFS($C$2:$C$633, $J$2:$J$633, J622)</f>
        <v>44955</v>
      </c>
      <c r="AD622">
        <f>DATEDIF(AC622, C622, "m")</f>
        <v>24</v>
      </c>
      <c r="AE622" s="8">
        <f t="shared" si="109"/>
        <v>2696.33545</v>
      </c>
    </row>
    <row r="623" spans="1:31" x14ac:dyDescent="0.3">
      <c r="A623" s="4" t="s">
        <v>313</v>
      </c>
      <c r="B623" s="6">
        <v>45679</v>
      </c>
      <c r="C623" s="14">
        <v>45679</v>
      </c>
      <c r="D623" s="14" t="str">
        <f t="shared" si="101"/>
        <v>Q1 -2025</v>
      </c>
      <c r="E623" s="6">
        <v>45679</v>
      </c>
      <c r="F623" s="6">
        <f t="shared" si="102"/>
        <v>45679</v>
      </c>
      <c r="G623" s="12">
        <f t="shared" si="103"/>
        <v>0</v>
      </c>
      <c r="H623" s="12">
        <f t="shared" si="104"/>
        <v>1</v>
      </c>
      <c r="I623" s="4" t="s">
        <v>649</v>
      </c>
      <c r="J623" s="4" t="s">
        <v>657</v>
      </c>
      <c r="K623" s="4" t="s">
        <v>679</v>
      </c>
      <c r="L623" t="str">
        <f t="shared" si="105"/>
        <v>Europe&gt;France&gt;Lyon</v>
      </c>
      <c r="M623" s="4" t="s">
        <v>705</v>
      </c>
      <c r="N623" s="4" t="s">
        <v>708</v>
      </c>
      <c r="O623" s="4" t="s">
        <v>717</v>
      </c>
      <c r="P623" s="4" t="s">
        <v>733</v>
      </c>
      <c r="Q623" s="4" t="s">
        <v>1033</v>
      </c>
      <c r="R623" s="8">
        <v>591.72</v>
      </c>
      <c r="S623" s="8">
        <v>577.24</v>
      </c>
      <c r="T623" s="8">
        <v>577.24</v>
      </c>
      <c r="U623" s="8" t="str">
        <f>IF(T623&lt;=_xlfn.PERCENTILE.INC($T623:$T$633,0.33), "Low", IF(T623&lt;=_xlfn.PERCENTILE.INC($T623:$T$633,0.66), "Medium", "High"))</f>
        <v>Low</v>
      </c>
      <c r="V623" s="10">
        <v>0</v>
      </c>
      <c r="W623" s="10">
        <f t="shared" si="106"/>
        <v>0</v>
      </c>
      <c r="X623" s="12">
        <v>22</v>
      </c>
      <c r="Y623" s="8">
        <f t="shared" si="99"/>
        <v>12699.28</v>
      </c>
      <c r="Z623" s="8">
        <f t="shared" si="100"/>
        <v>13017.84</v>
      </c>
      <c r="AA623" s="8">
        <f t="shared" si="107"/>
        <v>-318.55999999999949</v>
      </c>
      <c r="AB623" s="10">
        <f t="shared" si="108"/>
        <v>-2.5084886702238195E-2</v>
      </c>
      <c r="AC623" s="14">
        <f>_xlfn.MINIFS($C$2:$C$633, $J$2:$J$633, J623)</f>
        <v>44936</v>
      </c>
      <c r="AD623">
        <f>DATEDIF(AC623, C623, "m")</f>
        <v>24</v>
      </c>
      <c r="AE623" s="8">
        <f t="shared" si="109"/>
        <v>577.24</v>
      </c>
    </row>
    <row r="624" spans="1:31" x14ac:dyDescent="0.3">
      <c r="A624" s="4" t="s">
        <v>320</v>
      </c>
      <c r="B624" s="6">
        <v>45741</v>
      </c>
      <c r="C624" s="14">
        <v>45741</v>
      </c>
      <c r="D624" s="14" t="str">
        <f t="shared" si="101"/>
        <v>Q1 -2025</v>
      </c>
      <c r="E624" s="6">
        <v>45742</v>
      </c>
      <c r="F624" s="6">
        <f t="shared" si="102"/>
        <v>45742</v>
      </c>
      <c r="G624" s="12">
        <f t="shared" si="103"/>
        <v>1</v>
      </c>
      <c r="H624" s="12">
        <f t="shared" si="104"/>
        <v>1</v>
      </c>
      <c r="I624" s="4" t="s">
        <v>646</v>
      </c>
      <c r="J624" s="4" t="s">
        <v>651</v>
      </c>
      <c r="K624" s="4" t="s">
        <v>665</v>
      </c>
      <c r="L624" t="str">
        <f t="shared" si="105"/>
        <v>Africa&gt;Nigeria&gt;Lagos</v>
      </c>
      <c r="M624" s="4" t="s">
        <v>702</v>
      </c>
      <c r="N624" s="4" t="s">
        <v>710</v>
      </c>
      <c r="O624" s="4" t="s">
        <v>715</v>
      </c>
      <c r="P624" s="4" t="s">
        <v>733</v>
      </c>
      <c r="Q624" s="4" t="s">
        <v>1040</v>
      </c>
      <c r="R624" s="8">
        <v>1450.43</v>
      </c>
      <c r="S624" s="8">
        <v>1994.67</v>
      </c>
      <c r="T624" s="8">
        <v>1994.67</v>
      </c>
      <c r="U624" s="8" t="str">
        <f>IF(T624&lt;=_xlfn.PERCENTILE.INC($T624:$T$633,0.33), "Low", IF(T624&lt;=_xlfn.PERCENTILE.INC($T624:$T$633,0.66), "Medium", "High"))</f>
        <v>High</v>
      </c>
      <c r="V624" s="10">
        <v>0.1</v>
      </c>
      <c r="W624" s="10">
        <f t="shared" si="106"/>
        <v>0.1</v>
      </c>
      <c r="X624" s="12">
        <v>24</v>
      </c>
      <c r="Y624" s="8">
        <f t="shared" si="99"/>
        <v>43084.872000000003</v>
      </c>
      <c r="Z624" s="8">
        <f t="shared" si="100"/>
        <v>34810.32</v>
      </c>
      <c r="AA624" s="8">
        <f t="shared" si="107"/>
        <v>8274.5520000000033</v>
      </c>
      <c r="AB624" s="10">
        <f t="shared" si="108"/>
        <v>0.19205237513529116</v>
      </c>
      <c r="AC624" s="14">
        <f>_xlfn.MINIFS($C$2:$C$633, $J$2:$J$633, J624)</f>
        <v>44941</v>
      </c>
      <c r="AD624">
        <f>DATEDIF(AC624, C624, "m")</f>
        <v>26</v>
      </c>
      <c r="AE624" s="8">
        <f t="shared" si="109"/>
        <v>1795.2030000000002</v>
      </c>
    </row>
    <row r="625" spans="1:31" x14ac:dyDescent="0.3">
      <c r="A625" s="4" t="s">
        <v>261</v>
      </c>
      <c r="B625" s="6">
        <v>45769</v>
      </c>
      <c r="C625" s="14">
        <v>45769</v>
      </c>
      <c r="D625" s="14" t="str">
        <f t="shared" si="101"/>
        <v>Q2 -2025</v>
      </c>
      <c r="E625" s="6">
        <v>45779</v>
      </c>
      <c r="F625" s="6">
        <f t="shared" si="102"/>
        <v>45779</v>
      </c>
      <c r="G625" s="12">
        <f t="shared" si="103"/>
        <v>10</v>
      </c>
      <c r="H625" s="12">
        <f t="shared" si="104"/>
        <v>0</v>
      </c>
      <c r="I625" s="4" t="s">
        <v>649</v>
      </c>
      <c r="J625" s="4" t="s">
        <v>656</v>
      </c>
      <c r="K625" s="4" t="s">
        <v>671</v>
      </c>
      <c r="L625" t="str">
        <f t="shared" si="105"/>
        <v>Europe&gt;Germany&gt;Berlin</v>
      </c>
      <c r="M625" s="4" t="s">
        <v>701</v>
      </c>
      <c r="N625" s="4" t="s">
        <v>709</v>
      </c>
      <c r="O625" s="4" t="s">
        <v>712</v>
      </c>
      <c r="P625" s="4" t="s">
        <v>732</v>
      </c>
      <c r="Q625" s="4" t="s">
        <v>981</v>
      </c>
      <c r="R625" s="8">
        <v>20.149999999999999</v>
      </c>
      <c r="S625" s="8">
        <v>39.74</v>
      </c>
      <c r="T625" s="8">
        <v>39.74</v>
      </c>
      <c r="U625" s="8" t="str">
        <f>IF(T625&lt;=_xlfn.PERCENTILE.INC($T625:$T$633,0.33), "Low", IF(T625&lt;=_xlfn.PERCENTILE.INC($T625:$T$633,0.66), "Medium", "High"))</f>
        <v>Low</v>
      </c>
      <c r="V625" s="10">
        <v>0.151</v>
      </c>
      <c r="W625" s="10">
        <f t="shared" si="106"/>
        <v>0.151</v>
      </c>
      <c r="X625" s="12">
        <v>18</v>
      </c>
      <c r="Y625" s="8">
        <f t="shared" si="99"/>
        <v>607.30668000000003</v>
      </c>
      <c r="Z625" s="8">
        <f t="shared" si="100"/>
        <v>362.7</v>
      </c>
      <c r="AA625" s="8">
        <f t="shared" si="107"/>
        <v>244.60668000000004</v>
      </c>
      <c r="AB625" s="10">
        <f t="shared" si="108"/>
        <v>0.4027729120318585</v>
      </c>
      <c r="AC625" s="14">
        <f>_xlfn.MINIFS($C$2:$C$633, $J$2:$J$633, J625)</f>
        <v>44948</v>
      </c>
      <c r="AD625">
        <f>DATEDIF(AC625, C625, "m")</f>
        <v>27</v>
      </c>
      <c r="AE625" s="8">
        <f t="shared" si="109"/>
        <v>33.739260000000002</v>
      </c>
    </row>
    <row r="626" spans="1:31" x14ac:dyDescent="0.3">
      <c r="A626" s="4" t="s">
        <v>483</v>
      </c>
      <c r="B626" s="6">
        <v>45739</v>
      </c>
      <c r="C626" s="14">
        <v>45739</v>
      </c>
      <c r="D626" s="14" t="str">
        <f t="shared" si="101"/>
        <v>Q1 -2025</v>
      </c>
      <c r="E626" s="6">
        <v>45749</v>
      </c>
      <c r="F626" s="6">
        <f t="shared" si="102"/>
        <v>45749</v>
      </c>
      <c r="G626" s="12">
        <f t="shared" si="103"/>
        <v>10</v>
      </c>
      <c r="H626" s="12">
        <f t="shared" si="104"/>
        <v>0</v>
      </c>
      <c r="I626" s="4" t="s">
        <v>649</v>
      </c>
      <c r="J626" s="4" t="s">
        <v>656</v>
      </c>
      <c r="K626" s="4" t="s">
        <v>671</v>
      </c>
      <c r="L626" t="str">
        <f t="shared" si="105"/>
        <v>Europe&gt;Germany&gt;Berlin</v>
      </c>
      <c r="M626" s="4" t="s">
        <v>706</v>
      </c>
      <c r="N626" s="4" t="s">
        <v>708</v>
      </c>
      <c r="O626" s="4" t="s">
        <v>718</v>
      </c>
      <c r="P626" s="4" t="s">
        <v>728</v>
      </c>
      <c r="Q626" s="4" t="s">
        <v>1202</v>
      </c>
      <c r="R626" s="8">
        <v>663.61</v>
      </c>
      <c r="S626" s="8">
        <v>1002.11</v>
      </c>
      <c r="T626" s="8">
        <v>1002.11</v>
      </c>
      <c r="U626" s="8" t="str">
        <f>IF(T626&lt;=_xlfn.PERCENTILE.INC($T626:$T$633,0.33), "Low", IF(T626&lt;=_xlfn.PERCENTILE.INC($T626:$T$633,0.66), "Medium", "High"))</f>
        <v>Low</v>
      </c>
      <c r="V626" s="10">
        <v>4.5999999999999999E-2</v>
      </c>
      <c r="W626" s="10">
        <f t="shared" si="106"/>
        <v>4.5999999999999999E-2</v>
      </c>
      <c r="X626" s="12">
        <v>17</v>
      </c>
      <c r="Y626" s="8">
        <f t="shared" si="99"/>
        <v>16252.219979999998</v>
      </c>
      <c r="Z626" s="8">
        <f t="shared" si="100"/>
        <v>11281.37</v>
      </c>
      <c r="AA626" s="8">
        <f t="shared" si="107"/>
        <v>4970.8499799999972</v>
      </c>
      <c r="AB626" s="10">
        <f t="shared" si="108"/>
        <v>0.30585667595670812</v>
      </c>
      <c r="AC626" s="14">
        <f>_xlfn.MINIFS($C$2:$C$633, $J$2:$J$633, J626)</f>
        <v>44948</v>
      </c>
      <c r="AD626">
        <f>DATEDIF(AC626, C626, "m")</f>
        <v>26</v>
      </c>
      <c r="AE626" s="8">
        <f t="shared" si="109"/>
        <v>956.01293999999984</v>
      </c>
    </row>
    <row r="627" spans="1:31" x14ac:dyDescent="0.3">
      <c r="A627" s="4" t="s">
        <v>370</v>
      </c>
      <c r="B627" s="6">
        <v>45883</v>
      </c>
      <c r="C627" s="14">
        <v>45883</v>
      </c>
      <c r="D627" s="14" t="str">
        <f t="shared" si="101"/>
        <v>Q3 -2025</v>
      </c>
      <c r="E627" s="6">
        <v>45911</v>
      </c>
      <c r="F627" s="6">
        <f t="shared" si="102"/>
        <v>45911</v>
      </c>
      <c r="G627" s="12">
        <f t="shared" si="103"/>
        <v>28</v>
      </c>
      <c r="H627" s="12">
        <f t="shared" si="104"/>
        <v>0</v>
      </c>
      <c r="I627" s="4" t="s">
        <v>648</v>
      </c>
      <c r="J627" s="4" t="s">
        <v>655</v>
      </c>
      <c r="K627" s="4" t="s">
        <v>670</v>
      </c>
      <c r="L627" t="str">
        <f t="shared" si="105"/>
        <v>Americas&gt;Brazil&gt;São Paulo</v>
      </c>
      <c r="M627" s="4" t="s">
        <v>703</v>
      </c>
      <c r="N627" s="4" t="s">
        <v>711</v>
      </c>
      <c r="O627" s="4" t="s">
        <v>721</v>
      </c>
      <c r="P627" s="4" t="s">
        <v>728</v>
      </c>
      <c r="Q627" s="4" t="s">
        <v>1090</v>
      </c>
      <c r="R627" s="8">
        <v>1203.02</v>
      </c>
      <c r="S627" s="8">
        <v>2439.33</v>
      </c>
      <c r="T627" s="8">
        <v>2439.33</v>
      </c>
      <c r="U627" s="8" t="str">
        <f>IF(T627&lt;=_xlfn.PERCENTILE.INC($T627:$T$633,0.33), "Low", IF(T627&lt;=_xlfn.PERCENTILE.INC($T627:$T$633,0.66), "Medium", "High"))</f>
        <v>High</v>
      </c>
      <c r="V627" s="10">
        <v>0</v>
      </c>
      <c r="W627" s="10">
        <f t="shared" si="106"/>
        <v>0</v>
      </c>
      <c r="X627" s="12">
        <v>18</v>
      </c>
      <c r="Y627" s="8">
        <f t="shared" si="99"/>
        <v>43907.94</v>
      </c>
      <c r="Z627" s="8">
        <f t="shared" si="100"/>
        <v>21654.36</v>
      </c>
      <c r="AA627" s="8">
        <f t="shared" si="107"/>
        <v>22253.58</v>
      </c>
      <c r="AB627" s="10">
        <f t="shared" si="108"/>
        <v>0.50682359500354612</v>
      </c>
      <c r="AC627" s="14">
        <f>_xlfn.MINIFS($C$2:$C$633, $J$2:$J$633, J627)</f>
        <v>44955</v>
      </c>
      <c r="AD627">
        <f>DATEDIF(AC627, C627, "m")</f>
        <v>30</v>
      </c>
      <c r="AE627" s="8">
        <f t="shared" si="109"/>
        <v>2439.33</v>
      </c>
    </row>
    <row r="628" spans="1:31" x14ac:dyDescent="0.3">
      <c r="A628" s="4" t="s">
        <v>134</v>
      </c>
      <c r="B628" s="6">
        <v>45847</v>
      </c>
      <c r="C628" s="14">
        <v>45847</v>
      </c>
      <c r="D628" s="14" t="str">
        <f t="shared" si="101"/>
        <v>Q3 -2025</v>
      </c>
      <c r="E628" s="6">
        <v>45856</v>
      </c>
      <c r="F628" s="6">
        <f t="shared" si="102"/>
        <v>45856</v>
      </c>
      <c r="G628" s="12">
        <f t="shared" si="103"/>
        <v>9</v>
      </c>
      <c r="H628" s="12">
        <f t="shared" si="104"/>
        <v>0</v>
      </c>
      <c r="I628" s="4" t="s">
        <v>648</v>
      </c>
      <c r="J628" s="4" t="s">
        <v>653</v>
      </c>
      <c r="K628" s="4" t="s">
        <v>688</v>
      </c>
      <c r="L628" t="str">
        <f t="shared" si="105"/>
        <v>Americas&gt;Canada&gt;Vancouver</v>
      </c>
      <c r="M628" s="4" t="s">
        <v>702</v>
      </c>
      <c r="N628" s="4" t="s">
        <v>710</v>
      </c>
      <c r="O628" s="4" t="s">
        <v>714</v>
      </c>
      <c r="P628" s="4" t="s">
        <v>731</v>
      </c>
      <c r="Q628" s="4" t="s">
        <v>853</v>
      </c>
      <c r="R628" s="8">
        <v>57.96</v>
      </c>
      <c r="S628" s="8">
        <v>88.51</v>
      </c>
      <c r="T628" s="8">
        <v>88.51</v>
      </c>
      <c r="U628" s="8" t="str">
        <f>IF(T628&lt;=_xlfn.PERCENTILE.INC($T628:$T$633,0.33), "Low", IF(T628&lt;=_xlfn.PERCENTILE.INC($T628:$T$633,0.66), "Medium", "High"))</f>
        <v>Low</v>
      </c>
      <c r="V628" s="10">
        <v>4.2999999999999997E-2</v>
      </c>
      <c r="W628" s="10">
        <f t="shared" si="106"/>
        <v>4.2999999999999997E-2</v>
      </c>
      <c r="X628" s="12">
        <v>7</v>
      </c>
      <c r="Y628" s="8">
        <f t="shared" si="99"/>
        <v>592.92849000000001</v>
      </c>
      <c r="Z628" s="8">
        <f t="shared" si="100"/>
        <v>405.72</v>
      </c>
      <c r="AA628" s="8">
        <f t="shared" si="107"/>
        <v>187.20848999999998</v>
      </c>
      <c r="AB628" s="10">
        <f t="shared" si="108"/>
        <v>0.3157353595877978</v>
      </c>
      <c r="AC628" s="14">
        <f>_xlfn.MINIFS($C$2:$C$633, $J$2:$J$633, J628)</f>
        <v>44928</v>
      </c>
      <c r="AD628">
        <f>DATEDIF(AC628, C628, "m")</f>
        <v>30</v>
      </c>
      <c r="AE628" s="8">
        <f t="shared" si="109"/>
        <v>84.704070000000002</v>
      </c>
    </row>
    <row r="629" spans="1:31" x14ac:dyDescent="0.3">
      <c r="A629" s="4" t="s">
        <v>559</v>
      </c>
      <c r="B629" s="6">
        <v>45889</v>
      </c>
      <c r="C629" s="14">
        <v>45889</v>
      </c>
      <c r="D629" s="14" t="str">
        <f t="shared" si="101"/>
        <v>Q3 -2025</v>
      </c>
      <c r="E629" s="6">
        <v>45895</v>
      </c>
      <c r="F629" s="6">
        <f t="shared" si="102"/>
        <v>45895</v>
      </c>
      <c r="G629" s="12">
        <f t="shared" si="103"/>
        <v>6</v>
      </c>
      <c r="H629" s="12">
        <f t="shared" si="104"/>
        <v>1</v>
      </c>
      <c r="I629" s="4" t="s">
        <v>648</v>
      </c>
      <c r="J629" s="4" t="s">
        <v>660</v>
      </c>
      <c r="K629" s="4" t="s">
        <v>700</v>
      </c>
      <c r="L629" t="str">
        <f t="shared" si="105"/>
        <v>Americas&gt;USA&gt;New York</v>
      </c>
      <c r="M629" s="4" t="s">
        <v>701</v>
      </c>
      <c r="N629" s="4" t="s">
        <v>707</v>
      </c>
      <c r="O629" s="4" t="s">
        <v>724</v>
      </c>
      <c r="P629" s="4" t="s">
        <v>729</v>
      </c>
      <c r="Q629" s="4" t="s">
        <v>1277</v>
      </c>
      <c r="R629" s="8">
        <v>1304.95</v>
      </c>
      <c r="S629" s="8">
        <v>1712.03</v>
      </c>
      <c r="T629" s="8">
        <v>1712.03</v>
      </c>
      <c r="U629" s="8" t="str">
        <f>IF(T629&lt;=_xlfn.PERCENTILE.INC($T629:$T$633,0.33), "Low", IF(T629&lt;=_xlfn.PERCENTILE.INC($T629:$T$633,0.66), "Medium", "High"))</f>
        <v>Medium</v>
      </c>
      <c r="V629" s="10">
        <v>0.21199999999999999</v>
      </c>
      <c r="W629" s="10">
        <f t="shared" si="106"/>
        <v>0.21199999999999999</v>
      </c>
      <c r="X629" s="12">
        <v>8</v>
      </c>
      <c r="Y629" s="8">
        <f t="shared" si="99"/>
        <v>10792.637119999999</v>
      </c>
      <c r="Z629" s="8">
        <f t="shared" si="100"/>
        <v>10439.6</v>
      </c>
      <c r="AA629" s="8">
        <f t="shared" si="107"/>
        <v>353.03711999999905</v>
      </c>
      <c r="AB629" s="10">
        <f t="shared" si="108"/>
        <v>3.2710922833287949E-2</v>
      </c>
      <c r="AC629" s="14">
        <f>_xlfn.MINIFS($C$2:$C$633, $J$2:$J$633, J629)</f>
        <v>44939</v>
      </c>
      <c r="AD629">
        <f>DATEDIF(AC629, C629, "m")</f>
        <v>31</v>
      </c>
      <c r="AE629" s="8">
        <f t="shared" si="109"/>
        <v>1349.0796399999999</v>
      </c>
    </row>
    <row r="630" spans="1:31" x14ac:dyDescent="0.3">
      <c r="A630" s="4" t="s">
        <v>218</v>
      </c>
      <c r="B630" s="6">
        <v>45692</v>
      </c>
      <c r="C630" s="14">
        <v>45692</v>
      </c>
      <c r="D630" s="14" t="str">
        <f t="shared" si="101"/>
        <v>Q1 -2025</v>
      </c>
      <c r="E630" s="6">
        <v>45713</v>
      </c>
      <c r="F630" s="6">
        <f t="shared" si="102"/>
        <v>45713</v>
      </c>
      <c r="G630" s="12">
        <f t="shared" si="103"/>
        <v>21</v>
      </c>
      <c r="H630" s="12">
        <f t="shared" si="104"/>
        <v>0</v>
      </c>
      <c r="I630" s="4" t="s">
        <v>649</v>
      </c>
      <c r="J630" s="4" t="s">
        <v>658</v>
      </c>
      <c r="K630" s="4" t="s">
        <v>674</v>
      </c>
      <c r="L630" t="str">
        <f t="shared" si="105"/>
        <v>Europe&gt;United Kingdom&gt;Birmingham</v>
      </c>
      <c r="M630" s="4" t="s">
        <v>701</v>
      </c>
      <c r="N630" s="4" t="s">
        <v>709</v>
      </c>
      <c r="O630" s="4" t="s">
        <v>726</v>
      </c>
      <c r="P630" s="4" t="s">
        <v>732</v>
      </c>
      <c r="Q630" s="4" t="s">
        <v>938</v>
      </c>
      <c r="R630" s="8">
        <v>1016.32</v>
      </c>
      <c r="S630" s="8">
        <v>2253.42</v>
      </c>
      <c r="T630" s="8">
        <v>2253.42</v>
      </c>
      <c r="U630" s="8" t="str">
        <f>IF(T630&lt;=_xlfn.PERCENTILE.INC($T630:$T$633,0.33), "Low", IF(T630&lt;=_xlfn.PERCENTILE.INC($T630:$T$633,0.66), "Medium", "High"))</f>
        <v>High</v>
      </c>
      <c r="V630" s="10">
        <v>5.5E-2</v>
      </c>
      <c r="W630" s="10">
        <f t="shared" si="106"/>
        <v>5.5E-2</v>
      </c>
      <c r="X630" s="12">
        <v>12</v>
      </c>
      <c r="Y630" s="8">
        <f t="shared" si="99"/>
        <v>25553.782800000001</v>
      </c>
      <c r="Z630" s="8">
        <f t="shared" si="100"/>
        <v>12195.84</v>
      </c>
      <c r="AA630" s="8">
        <f t="shared" si="107"/>
        <v>13357.942800000001</v>
      </c>
      <c r="AB630" s="10">
        <f t="shared" si="108"/>
        <v>0.52273837124419797</v>
      </c>
      <c r="AC630" s="14">
        <f>_xlfn.MINIFS($C$2:$C$633, $J$2:$J$633, J630)</f>
        <v>44945</v>
      </c>
      <c r="AD630">
        <f>DATEDIF(AC630, C630, "m")</f>
        <v>24</v>
      </c>
      <c r="AE630" s="8">
        <f t="shared" si="109"/>
        <v>2129.4819000000002</v>
      </c>
    </row>
    <row r="631" spans="1:31" x14ac:dyDescent="0.3">
      <c r="A631" s="4" t="s">
        <v>297</v>
      </c>
      <c r="B631" s="6">
        <v>45794</v>
      </c>
      <c r="C631" s="14">
        <v>45794</v>
      </c>
      <c r="D631" s="14" t="str">
        <f t="shared" si="101"/>
        <v>Q2 -2025</v>
      </c>
      <c r="E631" s="6">
        <v>45805</v>
      </c>
      <c r="F631" s="6">
        <f t="shared" si="102"/>
        <v>45805</v>
      </c>
      <c r="G631" s="12">
        <f t="shared" si="103"/>
        <v>11</v>
      </c>
      <c r="H631" s="12">
        <f t="shared" si="104"/>
        <v>0</v>
      </c>
      <c r="I631" s="4" t="s">
        <v>647</v>
      </c>
      <c r="J631" s="4" t="s">
        <v>654</v>
      </c>
      <c r="K631" s="4" t="s">
        <v>668</v>
      </c>
      <c r="L631" t="str">
        <f t="shared" si="105"/>
        <v>Asia&gt;India&gt;Bengaluru</v>
      </c>
      <c r="M631" s="4" t="s">
        <v>701</v>
      </c>
      <c r="N631" s="4" t="s">
        <v>710</v>
      </c>
      <c r="O631" s="4" t="s">
        <v>717</v>
      </c>
      <c r="P631" s="4" t="s">
        <v>731</v>
      </c>
      <c r="Q631" s="4" t="s">
        <v>1017</v>
      </c>
      <c r="R631" s="8">
        <v>623.4</v>
      </c>
      <c r="S631" s="8">
        <v>1100.0899999999999</v>
      </c>
      <c r="T631" s="8">
        <v>1100.0899999999999</v>
      </c>
      <c r="U631" s="8" t="str">
        <f>IF(T631&lt;=_xlfn.PERCENTILE.INC($T631:$T$633,0.33), "Low", IF(T631&lt;=_xlfn.PERCENTILE.INC($T631:$T$633,0.66), "Medium", "High"))</f>
        <v>Medium</v>
      </c>
      <c r="V631" s="10">
        <v>0.114</v>
      </c>
      <c r="W631" s="10">
        <f t="shared" si="106"/>
        <v>0.114</v>
      </c>
      <c r="X631" s="12">
        <v>12</v>
      </c>
      <c r="Y631" s="8">
        <f t="shared" si="99"/>
        <v>11696.156879999999</v>
      </c>
      <c r="Z631" s="8">
        <f t="shared" si="100"/>
        <v>7480.7999999999993</v>
      </c>
      <c r="AA631" s="8">
        <f t="shared" si="107"/>
        <v>4215.3568799999994</v>
      </c>
      <c r="AB631" s="10">
        <f t="shared" si="108"/>
        <v>0.36040529579490388</v>
      </c>
      <c r="AC631" s="14">
        <f>_xlfn.MINIFS($C$2:$C$633, $J$2:$J$633, J631)</f>
        <v>44955</v>
      </c>
      <c r="AD631">
        <f>DATEDIF(AC631, C631, "m")</f>
        <v>27</v>
      </c>
      <c r="AE631" s="8">
        <f t="shared" si="109"/>
        <v>974.67973999999992</v>
      </c>
    </row>
    <row r="632" spans="1:31" x14ac:dyDescent="0.3">
      <c r="A632" s="4" t="s">
        <v>605</v>
      </c>
      <c r="B632" s="6">
        <v>45899</v>
      </c>
      <c r="C632" s="14">
        <v>45899</v>
      </c>
      <c r="D632" s="14" t="str">
        <f t="shared" si="101"/>
        <v>Q3 -2025</v>
      </c>
      <c r="E632" s="6">
        <v>45922</v>
      </c>
      <c r="F632" s="6">
        <f t="shared" si="102"/>
        <v>45922</v>
      </c>
      <c r="G632" s="12">
        <f t="shared" si="103"/>
        <v>23</v>
      </c>
      <c r="H632" s="12">
        <f t="shared" si="104"/>
        <v>0</v>
      </c>
      <c r="I632" s="4" t="s">
        <v>649</v>
      </c>
      <c r="J632" s="4" t="s">
        <v>657</v>
      </c>
      <c r="K632" s="4" t="s">
        <v>673</v>
      </c>
      <c r="L632" t="str">
        <f t="shared" si="105"/>
        <v>Europe&gt;France&gt;Marseille</v>
      </c>
      <c r="M632" s="4" t="s">
        <v>701</v>
      </c>
      <c r="N632" s="4" t="s">
        <v>711</v>
      </c>
      <c r="O632" s="4" t="s">
        <v>718</v>
      </c>
      <c r="P632" s="4" t="s">
        <v>727</v>
      </c>
      <c r="Q632" s="4" t="s">
        <v>1323</v>
      </c>
      <c r="R632" s="8">
        <v>663.9</v>
      </c>
      <c r="S632" s="8">
        <v>947.77</v>
      </c>
      <c r="T632" s="8">
        <v>947.77</v>
      </c>
      <c r="U632" s="8" t="str">
        <f>IF(T632&lt;=_xlfn.PERCENTILE.INC($T632:$T$633,0.33), "Low", IF(T632&lt;=_xlfn.PERCENTILE.INC($T632:$T$633,0.66), "Medium", "High"))</f>
        <v>Low</v>
      </c>
      <c r="V632" s="10">
        <v>0.17399999999999999</v>
      </c>
      <c r="W632" s="10">
        <f t="shared" si="106"/>
        <v>0.17399999999999999</v>
      </c>
      <c r="X632" s="12">
        <v>15</v>
      </c>
      <c r="Y632" s="8">
        <f t="shared" si="99"/>
        <v>11742.8703</v>
      </c>
      <c r="Z632" s="8">
        <f t="shared" si="100"/>
        <v>9958.5</v>
      </c>
      <c r="AA632" s="8">
        <f t="shared" si="107"/>
        <v>1784.3703000000005</v>
      </c>
      <c r="AB632" s="10">
        <f t="shared" si="108"/>
        <v>0.1519535049280073</v>
      </c>
      <c r="AC632" s="14">
        <f>_xlfn.MINIFS($C$2:$C$633, $J$2:$J$633, J632)</f>
        <v>44936</v>
      </c>
      <c r="AD632">
        <f>DATEDIF(AC632, C632, "m")</f>
        <v>31</v>
      </c>
      <c r="AE632" s="8">
        <f t="shared" si="109"/>
        <v>782.85802000000001</v>
      </c>
    </row>
    <row r="633" spans="1:31" x14ac:dyDescent="0.3">
      <c r="A633" s="4" t="s">
        <v>24</v>
      </c>
      <c r="B633" s="6">
        <v>45798</v>
      </c>
      <c r="C633" s="14">
        <v>45798</v>
      </c>
      <c r="D633" s="14" t="str">
        <f t="shared" si="101"/>
        <v>Q2 -2025</v>
      </c>
      <c r="E633" s="6">
        <v>45817</v>
      </c>
      <c r="F633" s="6">
        <f t="shared" si="102"/>
        <v>45817</v>
      </c>
      <c r="G633" s="12">
        <f t="shared" si="103"/>
        <v>19</v>
      </c>
      <c r="H633" s="12">
        <f t="shared" si="104"/>
        <v>0</v>
      </c>
      <c r="I633" s="4" t="s">
        <v>648</v>
      </c>
      <c r="J633" s="4" t="s">
        <v>655</v>
      </c>
      <c r="K633" s="4" t="s">
        <v>670</v>
      </c>
      <c r="L633" t="str">
        <f t="shared" si="105"/>
        <v>Americas&gt;Brazil&gt;São Paulo</v>
      </c>
      <c r="M633" s="4" t="s">
        <v>703</v>
      </c>
      <c r="N633" s="4" t="s">
        <v>708</v>
      </c>
      <c r="O633" s="4" t="s">
        <v>720</v>
      </c>
      <c r="P633" s="4" t="s">
        <v>727</v>
      </c>
      <c r="Q633" s="4" t="s">
        <v>743</v>
      </c>
      <c r="R633" s="8">
        <v>1331.38</v>
      </c>
      <c r="S633" s="8">
        <v>2309.56</v>
      </c>
      <c r="T633" s="8">
        <v>2309.56</v>
      </c>
      <c r="U633" s="8" t="str">
        <f>IF(T633&lt;=_xlfn.PERCENTILE.INC($T633:$T$633,0.33), "Low", IF(T633&lt;=_xlfn.PERCENTILE.INC($T633:$T$633,0.66), "Medium", "High"))</f>
        <v>Low</v>
      </c>
      <c r="V633" s="10">
        <v>0.14899999999999999</v>
      </c>
      <c r="W633" s="10">
        <f t="shared" si="106"/>
        <v>0.14899999999999999</v>
      </c>
      <c r="X633" s="12">
        <v>31</v>
      </c>
      <c r="Y633" s="8">
        <f t="shared" si="99"/>
        <v>60928.502359999999</v>
      </c>
      <c r="Z633" s="8">
        <f t="shared" si="100"/>
        <v>41272.780000000006</v>
      </c>
      <c r="AA633" s="8">
        <f t="shared" si="107"/>
        <v>19655.722359999992</v>
      </c>
      <c r="AB633" s="10">
        <f t="shared" si="108"/>
        <v>0.32260307735553528</v>
      </c>
      <c r="AC633" s="14">
        <f>_xlfn.MINIFS($C$2:$C$633, $J$2:$J$633, J633)</f>
        <v>44955</v>
      </c>
      <c r="AD633">
        <f>DATEDIF(AC633, C633, "m")</f>
        <v>27</v>
      </c>
      <c r="AE633" s="8">
        <f t="shared" si="109"/>
        <v>1965.4355599999999</v>
      </c>
    </row>
    <row r="634" spans="1:31" x14ac:dyDescent="0.3">
      <c r="H634" s="18">
        <f>AVERAGE(H2:H633)</f>
        <v>0.27215189873417722</v>
      </c>
      <c r="Y634" s="8">
        <f>SUM(Y2:Y633)</f>
        <v>10945767.912949994</v>
      </c>
      <c r="AA634" s="8">
        <f>SUM(AA2:AA633)</f>
        <v>3418020.2029499956</v>
      </c>
      <c r="AB634" s="10">
        <f>AA634/Y634</f>
        <v>0.31226865306600537</v>
      </c>
      <c r="AE634" s="8">
        <f>AVERAGE(AE2:AE633)</f>
        <v>1150.8714413765808</v>
      </c>
    </row>
  </sheetData>
  <sortState xmlns:xlrd2="http://schemas.microsoft.com/office/spreadsheetml/2017/richdata2" ref="A2:X633">
    <sortCondition ref="A1:A633"/>
  </sortState>
  <conditionalFormatting sqref="A1:A1048576">
    <cfRule type="duplicateValues" dxfId="18" priority="4"/>
  </conditionalFormatting>
  <conditionalFormatting sqref="G2:H633">
    <cfRule type="cellIs" dxfId="17" priority="1" operator="lessThan">
      <formula>0</formula>
    </cfRule>
  </conditionalFormatting>
  <conditionalFormatting sqref="V2:W633">
    <cfRule type="cellIs" dxfId="15" priority="2" operator="greaterThan">
      <formula>0.3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8BDEA96A-2214-4FC6-9A46-8F485CA7E206}">
            <xm:f>NOT(ISERROR(SEARCH("-",S2)))</xm:f>
            <xm:f>"-"</xm:f>
            <x14:dxf>
              <font>
                <color rgb="FF9C0006"/>
              </font>
              <fill>
                <patternFill>
                  <bgColor rgb="FFFFC7CE"/>
                </patternFill>
              </fill>
            </x14:dxf>
          </x14:cfRule>
          <xm:sqref>S2:U633</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461C1-F58C-4747-AEC9-DE713ADF1772}">
  <dimension ref="F12:H13"/>
  <sheetViews>
    <sheetView showGridLines="0" tabSelected="1" zoomScale="80" zoomScaleNormal="80" workbookViewId="0">
      <selection activeCell="X45" sqref="X45"/>
    </sheetView>
  </sheetViews>
  <sheetFormatPr defaultRowHeight="16.5" x14ac:dyDescent="0.3"/>
  <sheetData>
    <row r="12" spans="6:8" x14ac:dyDescent="0.3">
      <c r="F12" s="10"/>
    </row>
    <row r="13" spans="6:8" x14ac:dyDescent="0.3">
      <c r="H13" s="3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Brief</vt:lpstr>
      <vt:lpstr>Original Data</vt:lpstr>
      <vt:lpstr>MonthyRevenue by Country</vt:lpstr>
      <vt:lpstr>ABC Analysis by SKU</vt:lpstr>
      <vt:lpstr>RevenueByChannel</vt:lpstr>
      <vt:lpstr>PriceCompliance Pivot</vt:lpstr>
      <vt:lpstr>HighDiscount</vt:lpstr>
      <vt:lpstr>PriceCompliance</vt:lpstr>
      <vt:lpstr>KPI Pivot</vt:lpstr>
      <vt:lpstr>Profit by channel and Region</vt:lpstr>
      <vt:lpstr>Top 10 SKUs</vt:lpstr>
      <vt:lpstr>Discountpivot</vt:lpstr>
      <vt:lpstr>Discount Scatter plot</vt:lpstr>
      <vt:lpstr>Revenue by Month</vt:lpstr>
      <vt:lpstr>ServiceLevelProxy</vt:lpstr>
      <vt:lpstr>Scenario Modeling</vt:lpstr>
      <vt:lpstr>Staging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Jason K. Ndalamia</cp:lastModifiedBy>
  <dcterms:created xsi:type="dcterms:W3CDTF">2025-09-28T10:49:35Z</dcterms:created>
  <dcterms:modified xsi:type="dcterms:W3CDTF">2026-01-30T13:49:27Z</dcterms:modified>
</cp:coreProperties>
</file>